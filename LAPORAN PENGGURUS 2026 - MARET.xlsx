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6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</sheets>
  <calcPr calcId="114210"/>
</workbook>
</file>

<file path=xl/sharedStrings.xml><?xml version="1.0" encoding="utf-8"?>
<sst xmlns="http://schemas.openxmlformats.org/spreadsheetml/2006/main" uniqueCount="61" count="61">
  <si>
    <t>LAPORAN PENGELUARAN SUSU</t>
  </si>
  <si>
    <t>KOPERASI AGRIBISNIS DANA MULYA</t>
  </si>
  <si>
    <t>PERIODE : DESEMBER 2025</t>
  </si>
  <si>
    <t>NO.</t>
  </si>
  <si>
    <t xml:space="preserve">UNTUK PENJUALAN </t>
  </si>
  <si>
    <t>UNTUK LAIN - LAIN</t>
  </si>
  <si>
    <t>KG</t>
  </si>
  <si>
    <t>KETERANGAN</t>
  </si>
  <si>
    <t>PADA</t>
  </si>
  <si>
    <t>DI PERGUNAKAN</t>
  </si>
  <si>
    <t>PERUSAHAAN / KOMUNAL</t>
  </si>
  <si>
    <t>PER ORANGAN</t>
  </si>
  <si>
    <t>RP</t>
  </si>
  <si>
    <t>KARENA</t>
  </si>
  <si>
    <t>NESTLE</t>
  </si>
  <si>
    <t>PECAH / RUSAK</t>
  </si>
  <si>
    <t>LOKAL</t>
  </si>
  <si>
    <t>SOSIAL / SUMBANGAN</t>
  </si>
  <si>
    <t>AGEN</t>
  </si>
  <si>
    <t>KARYAWAN</t>
  </si>
  <si>
    <t>RS.DR SOETOMO</t>
  </si>
  <si>
    <t>SAMPURNA</t>
  </si>
  <si>
    <t>ALFAN</t>
  </si>
  <si>
    <t>DIDIK</t>
  </si>
  <si>
    <t>KEJU</t>
  </si>
  <si>
    <t>MAMA</t>
  </si>
  <si>
    <t>HARI</t>
  </si>
  <si>
    <t>WARDI</t>
  </si>
  <si>
    <t>SUZANA</t>
  </si>
  <si>
    <t>KRISTIN</t>
  </si>
  <si>
    <t>DEPOT</t>
  </si>
  <si>
    <t>PONDOK</t>
  </si>
  <si>
    <t>HENDRO</t>
  </si>
  <si>
    <t>YAYAK</t>
  </si>
  <si>
    <t>WIDODO</t>
  </si>
  <si>
    <t>YUSUF</t>
  </si>
  <si>
    <t>HARTATIK</t>
  </si>
  <si>
    <t xml:space="preserve">JUMLAH </t>
  </si>
  <si>
    <t xml:space="preserve">TOTAL </t>
  </si>
  <si>
    <t>PACET, 15 JANUARI 2025</t>
  </si>
  <si>
    <t>DRH.H.M.ILHAM SUPRAYITNO</t>
  </si>
  <si>
    <t>USMAN HADI</t>
  </si>
  <si>
    <t>PERIODE :       2026</t>
  </si>
  <si>
    <t>PERIODE : JANUARI 2026</t>
  </si>
  <si>
    <t>PACET, 15 FEBRUARI 2025</t>
  </si>
  <si>
    <t>PACET, 15 FEBRUARI 2026</t>
  </si>
  <si>
    <t>PERIODE : FEBRUARI 2026</t>
  </si>
  <si>
    <t>PACET, 15 MARET  2026</t>
  </si>
  <si>
    <t>PERIODE : MARET 2026</t>
  </si>
  <si>
    <t>PACET, 15 APRIL 2026</t>
  </si>
  <si>
    <t>PERIODE : APRIL  2026</t>
  </si>
  <si>
    <t>PACET, 15 MEI 2026</t>
  </si>
  <si>
    <t>PERIODE : MEI 2026</t>
  </si>
  <si>
    <t>PACET, 15 MEI2026</t>
  </si>
  <si>
    <t>PACET, 15 MEI026</t>
  </si>
  <si>
    <t>PACET, 15 JUNI 2026</t>
  </si>
  <si>
    <t>PERIODE :JUNI 2026</t>
  </si>
  <si>
    <t>PACET, 15 JULI 2026</t>
  </si>
  <si>
    <t>PERIODE :JULI 2026</t>
  </si>
  <si>
    <t>PACET, 15 JULI  2026</t>
  </si>
  <si>
    <t>PACET, 15 AGUSTUS  2026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</si>
</sst>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_(* #,##0_);_(* \(#,##0\);_(* &quot;-&quot;_);_(@_)"/>
  </numFmts>
  <fonts count="33">
    <font>
      <name val="Arial"/>
      <sz val="11"/>
    </font>
    <font>
      <name val="Arial Narrow"/>
      <b/>
      <sz val="16"/>
      <color rgb="FF000000"/>
    </font>
    <font>
      <name val="Arial Narrow"/>
      <b/>
      <sz val="16"/>
      <color rgb="FF000000"/>
    </font>
    <font>
      <name val="Arial Narrow"/>
      <b/>
      <sz val="12"/>
      <color rgb="FF000000"/>
    </font>
    <font>
      <name val="Arial Narrow"/>
      <b/>
      <sz val="12"/>
      <color rgb="FF000000"/>
    </font>
    <font>
      <name val="Arial Narrow"/>
      <b/>
      <sz val="12"/>
      <color rgb="FF000000"/>
    </font>
    <font>
      <name val="Arial Narrow"/>
      <b/>
      <sz val="12"/>
      <color rgb="FF000000"/>
    </font>
    <font>
      <name val="Arial Narrow"/>
      <b/>
      <sz val="10"/>
      <color rgb="FF000000"/>
    </font>
    <font>
      <name val="Arial Narrow"/>
      <b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Calibri"/>
      <charset val="1"/>
      <sz val="12"/>
      <color rgb="FF000000"/>
    </font>
    <font>
      <name val="Arial Narrow"/>
      <b/>
      <sz val="12"/>
      <color rgb="FF000000"/>
    </font>
    <font>
      <name val="Arial Narrow"/>
      <sz val="12"/>
      <color rgb="FF000000"/>
    </font>
    <font>
      <name val="Calibri"/>
      <charset val="1"/>
      <sz val="12"/>
      <color rgb="FF000000"/>
    </font>
    <font>
      <name val="Arial Narrow"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charset val="1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595959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/>
    </xf>
    <xf numFmtId="0" fontId="9" fillId="2" borderId="5" xfId="0" applyNumberFormat="1" applyFont="1" applyFill="1" applyBorder="1">
      <alignment vertical="center"/>
    </xf>
    <xf numFmtId="0" fontId="10" fillId="2" borderId="4" xfId="0" applyNumberFormat="1" applyFont="1" applyFill="1" applyBorder="1">
      <alignment vertical="center"/>
    </xf>
    <xf numFmtId="0" fontId="11" fillId="2" borderId="6" xfId="0" applyNumberFormat="1" applyFont="1" applyFill="1" applyBorder="1">
      <alignment vertical="center"/>
    </xf>
    <xf numFmtId="0" fontId="12" fillId="0" borderId="5" xfId="0" applyNumberFormat="1" applyFont="1" applyBorder="1" applyAlignment="1">
      <alignment horizontal="center" vertical="center"/>
    </xf>
    <xf numFmtId="0" fontId="13" fillId="0" borderId="4" xfId="0" applyNumberFormat="1" applyFont="1" applyBorder="1">
      <alignment vertical="center"/>
    </xf>
    <xf numFmtId="164" fontId="14" fillId="0" borderId="4" xfId="0" applyNumberFormat="1" applyFont="1" applyBorder="1">
      <alignment vertical="center"/>
    </xf>
    <xf numFmtId="0" fontId="15" fillId="0" borderId="6" xfId="0" applyNumberFormat="1" applyFont="1" applyBorder="1">
      <alignment vertical="center"/>
    </xf>
    <xf numFmtId="0" fontId="16" fillId="0" borderId="4" xfId="0" applyNumberFormat="1" applyFont="1" applyBorder="1" applyAlignment="1">
      <alignment horizontal="left" vertical="center"/>
    </xf>
    <xf numFmtId="0" fontId="17" fillId="0" borderId="4" xfId="0" applyNumberFormat="1" applyFont="1" applyBorder="1">
      <alignment vertical="center"/>
    </xf>
    <xf numFmtId="0" fontId="18" fillId="0" borderId="4" xfId="0" applyNumberFormat="1" applyFont="1" applyBorder="1">
      <alignment vertical="center"/>
    </xf>
    <xf numFmtId="0" fontId="19" fillId="0" borderId="4" xfId="0" applyNumberFormat="1" applyFont="1" applyBorder="1" applyAlignment="1">
      <alignment horizontal="center" vertical="center"/>
    </xf>
    <xf numFmtId="0" fontId="20" fillId="0" borderId="6" xfId="0" applyNumberFormat="1" applyFont="1" applyBorder="1">
      <alignment vertical="center"/>
    </xf>
    <xf numFmtId="164" fontId="21" fillId="0" borderId="7" xfId="0" applyNumberFormat="1" applyFont="1" applyBorder="1">
      <alignment vertical="center"/>
    </xf>
    <xf numFmtId="0" fontId="22" fillId="0" borderId="8" xfId="0" applyNumberFormat="1" applyFont="1" applyBorder="1" applyAlignment="1">
      <alignment horizontal="center" vertical="center"/>
    </xf>
    <xf numFmtId="164" fontId="23" fillId="0" borderId="9" xfId="0" applyNumberFormat="1" applyFont="1" applyBorder="1">
      <alignment vertical="center"/>
    </xf>
    <xf numFmtId="0" fontId="24" fillId="0" borderId="8" xfId="0" applyNumberFormat="1" applyFont="1" applyBorder="1">
      <alignment vertical="center"/>
    </xf>
    <xf numFmtId="164" fontId="25" fillId="0" borderId="8" xfId="0" applyNumberFormat="1" applyFont="1" applyBorder="1">
      <alignment vertical="center"/>
    </xf>
    <xf numFmtId="0" fontId="26" fillId="0" borderId="8" xfId="0" applyNumberFormat="1" applyFont="1" applyBorder="1" applyAlignment="1">
      <alignment horizontal="center" vertical="center"/>
    </xf>
    <xf numFmtId="0" fontId="27" fillId="0" borderId="9" xfId="0" applyNumberFormat="1" applyFont="1" applyBorder="1">
      <alignment vertical="center"/>
    </xf>
    <xf numFmtId="0" fontId="22" fillId="0" borderId="10" xfId="0" applyNumberFormat="1" applyFont="1" applyBorder="1" applyAlignment="1">
      <alignment horizontal="center" vertical="center"/>
    </xf>
    <xf numFmtId="0" fontId="28" fillId="0" borderId="11" xfId="0" applyNumberFormat="1" applyFont="1" applyBorder="1">
      <alignment vertical="center"/>
    </xf>
    <xf numFmtId="0" fontId="29" fillId="0" borderId="12" xfId="0" applyNumberFormat="1" applyFont="1" applyBorder="1">
      <alignment vertical="center"/>
    </xf>
    <xf numFmtId="0" fontId="30" fillId="0" borderId="0" xfId="0" applyNumberFormat="1" applyFont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0" fontId="32" fillId="0" borderId="0" xfId="0" applyNumberFormat="1" applyFont="1">
      <alignment vertical="center"/>
    </xf>
    <xf numFmtId="0" fontId="3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V39"/>
  <sheetViews>
    <sheetView workbookViewId="0" topLeftCell="A5">
      <selection activeCell="A1" sqref="A1:XFD1048576"/>
    </sheetView>
  </sheetViews>
  <sheetFormatPr defaultRowHeight="14.25" defaultColWidth="10"/>
  <cols>
    <col min="2" max="2" customWidth="1" width="14.4609375" style="0"/>
    <col min="3" max="3" customWidth="1" width="22.152344" style="0"/>
    <col min="5" max="5" hidden="1" customWidth="1" bestFit="1" width="10.0" style="0"/>
    <col min="6" max="6" customWidth="1" width="18.382812" style="0"/>
    <col min="7" max="7" customWidth="1" width="25.074219" style="0"/>
    <col min="9" max="9" customWidth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43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 ht="14.5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 ht="14.5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53340.0</v>
      </c>
      <c r="E9" s="16"/>
      <c r="F9" s="16">
        <v>3.863621275E8</v>
      </c>
      <c r="G9" s="15" t="s">
        <v>15</v>
      </c>
      <c r="H9" s="15">
        <v>30.0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160.0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40.0</v>
      </c>
      <c r="I11" s="17"/>
    </row>
    <row r="12" spans="8:8" ht="16.35">
      <c r="A12" s="14">
        <v>4.0</v>
      </c>
      <c r="B12" s="15"/>
      <c r="C12" s="18" t="s">
        <v>20</v>
      </c>
      <c r="D12" s="16">
        <v>3255.0</v>
      </c>
      <c r="E12" s="16">
        <v>12400.0</v>
      </c>
      <c r="F12" s="16">
        <f>D12*E12</f>
        <v>4.0362E7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>
        <v>422.0</v>
      </c>
      <c r="E14" s="16">
        <v>9500.0</v>
      </c>
      <c r="F14" s="16">
        <f>D14*E14</f>
        <v>4009000.0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9500.0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9500.0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9500.0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335.0</v>
      </c>
      <c r="E18" s="16">
        <v>9500.0</v>
      </c>
      <c r="F18" s="16">
        <f>D18*E18</f>
        <v>3182500.0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2559.0</v>
      </c>
      <c r="E19" s="16">
        <v>9500.0</v>
      </c>
      <c r="F19" s="16">
        <f>D19*E19</f>
        <v>2.43105E7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>
        <v>80.0</v>
      </c>
      <c r="E20" s="16">
        <v>9500.0</v>
      </c>
      <c r="F20" s="16">
        <f>D20*E20</f>
        <v>760000.0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9500.0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36134.0</v>
      </c>
      <c r="E22" s="16">
        <v>9000.0</v>
      </c>
      <c r="F22" s="16">
        <f>D22*E22</f>
        <v>3.25206E8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75.0</v>
      </c>
      <c r="E23" s="16">
        <v>9500.0</v>
      </c>
      <c r="F23" s="16">
        <f>D23*E23</f>
        <v>712500.0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9500.0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9500.0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9500.0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9500.0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9500.0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96200.0</v>
      </c>
      <c r="E29" s="26"/>
      <c r="F29" s="27">
        <f>SUM(F9:F28)</f>
        <v>7.849046275E8</v>
      </c>
      <c r="G29" s="28" t="s">
        <v>37</v>
      </c>
      <c r="H29" s="29">
        <f>SUM(H9:H11)</f>
        <v>230.0</v>
      </c>
      <c r="I29" s="26"/>
    </row>
    <row r="30" spans="8:8" ht="16.35">
      <c r="A30" s="30" t="s">
        <v>38</v>
      </c>
      <c r="B30" s="30"/>
      <c r="C30" s="30"/>
      <c r="D30" s="27">
        <f>D29+H29</f>
        <v>96430.0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 ht="14.5">
      <c r="A32" s="33"/>
      <c r="B32" s="33"/>
      <c r="C32" s="34" t="s">
        <v>45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 ht="14.5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A1:I1"/>
    <mergeCell ref="A2:I2"/>
    <mergeCell ref="A3:I3"/>
    <mergeCell ref="I5:I7"/>
    <mergeCell ref="H5:H7"/>
    <mergeCell ref="A5:A7"/>
    <mergeCell ref="B5:F5"/>
    <mergeCell ref="A30:C30"/>
    <mergeCell ref="A29:C29"/>
    <mergeCell ref="C32:I32"/>
    <mergeCell ref="D37:G37"/>
    <mergeCell ref="H37:I37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9"/>
  <sheetViews>
    <sheetView workbookViewId="0" topLeftCell="B1">
      <selection activeCell="D13" sqref="D13"/>
    </sheetView>
  </sheetViews>
  <sheetFormatPr defaultRowHeight="14.25" defaultColWidth="10"/>
  <cols>
    <col min="2" max="2" customWidth="1" bestFit="1" width="14.4609375" style="0"/>
    <col min="3" max="3" customWidth="1" bestFit="1" width="22.152344" style="0"/>
    <col min="5" max="5" hidden="1" customWidth="1" bestFit="1" width="10.0" style="0"/>
    <col min="6" max="6" customWidth="1" bestFit="1" width="18.382812" style="0"/>
    <col min="7" max="7" customWidth="1" bestFit="1" width="25.074219" style="0"/>
    <col min="9" max="9" customWidth="1" bestFit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46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 ht="14.5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 ht="14.5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52460.0</v>
      </c>
      <c r="E9" s="16"/>
      <c r="F9" s="16">
        <v>4.00698074E8</v>
      </c>
      <c r="G9" s="15" t="s">
        <v>15</v>
      </c>
      <c r="H9" s="15">
        <v>260.0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80.0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90.0</v>
      </c>
      <c r="I11" s="17"/>
    </row>
    <row r="12" spans="8:8" ht="16.35">
      <c r="A12" s="14">
        <v>4.0</v>
      </c>
      <c r="B12" s="15"/>
      <c r="C12" s="18" t="s">
        <v>20</v>
      </c>
      <c r="D12" s="16">
        <v>2950.0</v>
      </c>
      <c r="E12" s="16">
        <v>12400.0</v>
      </c>
      <c r="F12" s="16">
        <f>D12*E12</f>
        <v>3.658E7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>
        <v>246.0</v>
      </c>
      <c r="E14" s="16">
        <v>9500.0</v>
      </c>
      <c r="F14" s="16">
        <f>D14*E14</f>
        <v>2337000.0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9500.0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9500.0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9500.0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202.0</v>
      </c>
      <c r="E18" s="16">
        <v>9500.0</v>
      </c>
      <c r="F18" s="16">
        <f>D18*E18</f>
        <v>1919000.0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1822.0</v>
      </c>
      <c r="E19" s="16">
        <v>9500.0</v>
      </c>
      <c r="F19" s="16">
        <f>D19*E19</f>
        <v>1.7309E7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/>
      <c r="E20" s="16">
        <v>9500.0</v>
      </c>
      <c r="F20" s="16">
        <f>D20*E20</f>
        <v>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9500.0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24930.0</v>
      </c>
      <c r="E22" s="16">
        <v>9000.0</v>
      </c>
      <c r="F22" s="16">
        <f>D22*E22</f>
        <v>2.2437E8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280.0</v>
      </c>
      <c r="E23" s="16">
        <v>9500.0</v>
      </c>
      <c r="F23" s="16">
        <f>D23*E23</f>
        <v>2660000.0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9500.0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9500.0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9500.0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9500.0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9500.0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82890.0</v>
      </c>
      <c r="E29" s="26"/>
      <c r="F29" s="27">
        <f>SUM(F9:F28)</f>
        <v>6.85873074E8</v>
      </c>
      <c r="G29" s="28" t="s">
        <v>37</v>
      </c>
      <c r="H29" s="29">
        <f>SUM(H9:H11)</f>
        <v>430.0</v>
      </c>
      <c r="I29" s="26"/>
    </row>
    <row r="30" spans="8:8" ht="16.35">
      <c r="A30" s="30" t="s">
        <v>38</v>
      </c>
      <c r="B30" s="30"/>
      <c r="C30" s="30"/>
      <c r="D30" s="27">
        <f>D29+H29</f>
        <v>83320.0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 ht="14.5">
      <c r="A32" s="33"/>
      <c r="B32" s="33"/>
      <c r="C32" s="34" t="s">
        <v>47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 ht="14.5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H37:I37"/>
    <mergeCell ref="D37:G37"/>
    <mergeCell ref="C32:I32"/>
    <mergeCell ref="A29:C29"/>
    <mergeCell ref="A30:C30"/>
    <mergeCell ref="B5:F5"/>
    <mergeCell ref="A5:A7"/>
    <mergeCell ref="H5:H7"/>
    <mergeCell ref="I5:I7"/>
    <mergeCell ref="A3:I3"/>
    <mergeCell ref="A2:I2"/>
    <mergeCell ref="A1:I1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N39"/>
  <sheetViews>
    <sheetView workbookViewId="0" topLeftCell="B4">
      <selection activeCell="A1" sqref="A1:XFD1048576"/>
    </sheetView>
  </sheetViews>
  <sheetFormatPr defaultRowHeight="14.25" defaultColWidth="10"/>
  <cols>
    <col min="2" max="2" customWidth="1" bestFit="1" width="14.4609375" style="0"/>
    <col min="3" max="3" customWidth="1" bestFit="1" width="22.152344" style="0"/>
    <col min="5" max="5" hidden="1" customWidth="1" bestFit="1" width="10.0" style="0"/>
    <col min="6" max="6" customWidth="1" bestFit="1" width="18.382812" style="0"/>
    <col min="7" max="7" customWidth="1" bestFit="1" width="25.074219" style="0"/>
    <col min="9" max="9" customWidth="1" bestFit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48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 ht="14.5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 ht="14.5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65540.0</v>
      </c>
      <c r="E9" s="16"/>
      <c r="F9" s="16">
        <v>5.074661037E8</v>
      </c>
      <c r="G9" s="15" t="s">
        <v>15</v>
      </c>
      <c r="H9" s="15">
        <v>55.0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120.0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90.0</v>
      </c>
      <c r="I11" s="17"/>
    </row>
    <row r="12" spans="8:8" ht="16.35">
      <c r="A12" s="14">
        <v>4.0</v>
      </c>
      <c r="B12" s="15"/>
      <c r="C12" s="18" t="s">
        <v>20</v>
      </c>
      <c r="D12" s="16">
        <v>2970.0</v>
      </c>
      <c r="E12" s="16">
        <v>12400.0</v>
      </c>
      <c r="F12" s="16">
        <f>D12*E12</f>
        <v>3.6828E7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/>
      <c r="E14" s="16">
        <v>9500.0</v>
      </c>
      <c r="F14" s="16">
        <f>D14*E14</f>
        <v>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9500.0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9500.0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9500.0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58.0</v>
      </c>
      <c r="E18" s="16">
        <v>9500.0</v>
      </c>
      <c r="F18" s="16">
        <f>D18*E18</f>
        <v>551000.0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1520.0</v>
      </c>
      <c r="E19" s="16">
        <v>9500.0</v>
      </c>
      <c r="F19" s="16">
        <f>D19*E19</f>
        <v>1.444E7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>
        <v>60.0</v>
      </c>
      <c r="E20" s="16">
        <v>9500.0</v>
      </c>
      <c r="F20" s="16">
        <f>D20*E20</f>
        <v>570000.0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9500.0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25952.0</v>
      </c>
      <c r="E22" s="16">
        <v>9000.0</v>
      </c>
      <c r="F22" s="16">
        <f>D22*E22</f>
        <v>2.33568E8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35.0</v>
      </c>
      <c r="E23" s="16">
        <v>9500.0</v>
      </c>
      <c r="F23" s="16">
        <f>D23*E23</f>
        <v>332500.0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9500.0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9500.0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9500.0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9500.0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9500.0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96135.0</v>
      </c>
      <c r="E29" s="26"/>
      <c r="F29" s="27">
        <f>SUM(F9:F28)</f>
        <v>7.937556037E8</v>
      </c>
      <c r="G29" s="28" t="s">
        <v>37</v>
      </c>
      <c r="H29" s="29">
        <f>SUM(H9:H11)</f>
        <v>265.0</v>
      </c>
      <c r="I29" s="26"/>
    </row>
    <row r="30" spans="8:8" ht="16.35">
      <c r="A30" s="30" t="s">
        <v>38</v>
      </c>
      <c r="B30" s="30"/>
      <c r="C30" s="30"/>
      <c r="D30" s="27">
        <f>D29+H29</f>
        <v>96400.0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 ht="14.5">
      <c r="A32" s="33"/>
      <c r="B32" s="33"/>
      <c r="C32" s="34" t="s">
        <v>49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 ht="14.5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A1:I1"/>
    <mergeCell ref="A2:I2"/>
    <mergeCell ref="A3:I3"/>
    <mergeCell ref="I5:I7"/>
    <mergeCell ref="H5:H7"/>
    <mergeCell ref="A5:A7"/>
    <mergeCell ref="B5:F5"/>
    <mergeCell ref="A30:C30"/>
    <mergeCell ref="A29:C29"/>
    <mergeCell ref="C32:I32"/>
    <mergeCell ref="D37:G37"/>
    <mergeCell ref="H37:I37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D39"/>
  <sheetViews>
    <sheetView workbookViewId="0" topLeftCell="A8">
      <selection activeCell="A1" sqref="A1:XFD1048576"/>
    </sheetView>
  </sheetViews>
  <sheetFormatPr defaultRowHeight="16.25" defaultColWidth="10"/>
  <cols>
    <col min="2" max="2" customWidth="1" bestFit="1" width="14.4609375" style="0"/>
    <col min="3" max="3" customWidth="1" bestFit="1" width="22.152344" style="0"/>
    <col min="5" max="5" hidden="1" customWidth="1" bestFit="1" width="10.0" style="0"/>
    <col min="6" max="6" customWidth="1" bestFit="1" width="18.382812" style="0"/>
    <col min="7" max="7" customWidth="1" bestFit="1" width="25.074219" style="0"/>
    <col min="9" max="9" customWidth="1" bestFit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50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 ht="14.5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 ht="14.5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48800.0</v>
      </c>
      <c r="E9" s="16"/>
      <c r="F9" s="16">
        <v>3.793190135E8</v>
      </c>
      <c r="G9" s="15" t="s">
        <v>15</v>
      </c>
      <c r="H9" s="15">
        <v>40.0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180.0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90.0</v>
      </c>
      <c r="I11" s="17"/>
    </row>
    <row r="12" spans="8:8" ht="16.35">
      <c r="A12" s="14">
        <v>4.0</v>
      </c>
      <c r="B12" s="15"/>
      <c r="C12" s="18" t="s">
        <v>20</v>
      </c>
      <c r="D12" s="16">
        <v>2920.0</v>
      </c>
      <c r="E12" s="16">
        <v>12400.0</v>
      </c>
      <c r="F12" s="16">
        <f>D12*E12</f>
        <v>3.6208E7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>
        <v>300.0</v>
      </c>
      <c r="E14" s="16">
        <v>9500.0</v>
      </c>
      <c r="F14" s="16">
        <f>D14*E14</f>
        <v>2850000.0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9500.0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9500.0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9500.0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320.0</v>
      </c>
      <c r="E18" s="16">
        <v>9500.0</v>
      </c>
      <c r="F18" s="16">
        <f>D18*E18</f>
        <v>3040000.0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2438.0</v>
      </c>
      <c r="E19" s="16">
        <v>9500.0</v>
      </c>
      <c r="F19" s="16">
        <f>D19*E19</f>
        <v>2.3161E7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>
        <v>100.0</v>
      </c>
      <c r="E20" s="16">
        <v>9500.0</v>
      </c>
      <c r="F20" s="16">
        <f>D20*E20</f>
        <v>950000.0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9500.0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35180.0</v>
      </c>
      <c r="E22" s="16">
        <v>9000.0</v>
      </c>
      <c r="F22" s="16">
        <f>D22*E22</f>
        <v>3.1662E8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263.0</v>
      </c>
      <c r="E23" s="16">
        <v>9500.0</v>
      </c>
      <c r="F23" s="16">
        <f>D23*E23</f>
        <v>2498500.0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9500.0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9500.0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9500.0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9500.0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9500.0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90321.0</v>
      </c>
      <c r="E29" s="26"/>
      <c r="F29" s="27">
        <f>SUM(F9:F28)</f>
        <v>7.646465135E8</v>
      </c>
      <c r="G29" s="28" t="s">
        <v>37</v>
      </c>
      <c r="H29" s="29">
        <f>SUM(H9:H11)</f>
        <v>310.0</v>
      </c>
      <c r="I29" s="26"/>
    </row>
    <row r="30" spans="8:8" ht="16.35">
      <c r="A30" s="30" t="s">
        <v>38</v>
      </c>
      <c r="B30" s="30"/>
      <c r="C30" s="30"/>
      <c r="D30" s="27">
        <f>D29+H29</f>
        <v>90631.0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>
      <c r="A32" s="33"/>
      <c r="B32" s="33"/>
      <c r="C32" s="34" t="s">
        <v>51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H37:I37"/>
    <mergeCell ref="D37:G37"/>
    <mergeCell ref="C32:I32"/>
    <mergeCell ref="A29:C29"/>
    <mergeCell ref="A30:C30"/>
    <mergeCell ref="B5:F5"/>
    <mergeCell ref="A5:A7"/>
    <mergeCell ref="H5:H7"/>
    <mergeCell ref="I5:I7"/>
    <mergeCell ref="A3:I3"/>
    <mergeCell ref="A2:I2"/>
    <mergeCell ref="A1:I1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Y39"/>
  <sheetViews>
    <sheetView workbookViewId="0">
      <selection activeCell="A1" sqref="A1:XFD1048576"/>
    </sheetView>
  </sheetViews>
  <sheetFormatPr defaultRowHeight="16.25" defaultColWidth="10"/>
  <cols>
    <col min="2" max="2" customWidth="1" bestFit="1" width="14.4609375" style="0"/>
    <col min="3" max="3" customWidth="1" bestFit="1" width="22.152344" style="0"/>
    <col min="5" max="5" hidden="1" customWidth="1" bestFit="1" width="10.0" style="0"/>
    <col min="6" max="6" customWidth="1" bestFit="1" width="18.382812" style="0"/>
    <col min="7" max="7" customWidth="1" bestFit="1" width="25.074219" style="0"/>
    <col min="9" max="9" customWidth="1" bestFit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52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 ht="14.5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 ht="14.5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55490.0</v>
      </c>
      <c r="E9" s="16"/>
      <c r="F9" s="16">
        <v>4.328200641E8</v>
      </c>
      <c r="G9" s="15" t="s">
        <v>15</v>
      </c>
      <c r="H9" s="15">
        <v>60.0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180.0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130.0</v>
      </c>
      <c r="I11" s="17"/>
    </row>
    <row r="12" spans="8:8" ht="16.35">
      <c r="A12" s="14">
        <v>4.0</v>
      </c>
      <c r="B12" s="15"/>
      <c r="C12" s="18" t="s">
        <v>20</v>
      </c>
      <c r="D12" s="16">
        <v>3140.0</v>
      </c>
      <c r="E12" s="16">
        <v>12400.0</v>
      </c>
      <c r="F12" s="16">
        <f>D12*E12</f>
        <v>3.8936E7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>
        <v>429.0</v>
      </c>
      <c r="E14" s="16">
        <v>9500.0</v>
      </c>
      <c r="F14" s="16">
        <f>D14*E14</f>
        <v>4075500.0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9500.0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9500.0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9500.0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354.0</v>
      </c>
      <c r="E18" s="16">
        <v>9500.0</v>
      </c>
      <c r="F18" s="16">
        <f>D18*E18</f>
        <v>3363000.0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2725.0</v>
      </c>
      <c r="E19" s="16">
        <v>9500.0</v>
      </c>
      <c r="F19" s="16">
        <f>D19*E19</f>
        <v>2.58875E7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>
        <v>20.0</v>
      </c>
      <c r="E20" s="16">
        <v>9500.0</v>
      </c>
      <c r="F20" s="16">
        <f>D20*E20</f>
        <v>190000.0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9500.0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41052.0</v>
      </c>
      <c r="E22" s="16">
        <v>9000.0</v>
      </c>
      <c r="F22" s="16">
        <f>D22*E22</f>
        <v>3.69468E8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280.0</v>
      </c>
      <c r="E23" s="16">
        <v>9500.0</v>
      </c>
      <c r="F23" s="16">
        <f>D23*E23</f>
        <v>2660000.0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9500.0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9500.0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9500.0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9500.0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9500.0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103490.0</v>
      </c>
      <c r="E29" s="26"/>
      <c r="F29" s="27">
        <f>SUM(F9:F28)</f>
        <v>8.774000641E8</v>
      </c>
      <c r="G29" s="28" t="s">
        <v>37</v>
      </c>
      <c r="H29" s="29">
        <f>SUM(H9:H11)</f>
        <v>370.0</v>
      </c>
      <c r="I29" s="26"/>
    </row>
    <row r="30" spans="8:8" ht="16.35">
      <c r="A30" s="30" t="s">
        <v>38</v>
      </c>
      <c r="B30" s="30"/>
      <c r="C30" s="30"/>
      <c r="D30" s="27">
        <f>D29+H29</f>
        <v>103860.0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>
      <c r="A32" s="33"/>
      <c r="B32" s="33"/>
      <c r="C32" s="34" t="s">
        <v>55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A1:I1"/>
    <mergeCell ref="A2:I2"/>
    <mergeCell ref="A3:I3"/>
    <mergeCell ref="I5:I7"/>
    <mergeCell ref="H5:H7"/>
    <mergeCell ref="A5:A7"/>
    <mergeCell ref="B5:F5"/>
    <mergeCell ref="A30:C30"/>
    <mergeCell ref="A29:C29"/>
    <mergeCell ref="C32:I32"/>
    <mergeCell ref="D37:G37"/>
    <mergeCell ref="H37:I37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U39"/>
  <sheetViews>
    <sheetView workbookViewId="0" topLeftCell="C11">
      <selection activeCell="I33" sqref="I33"/>
    </sheetView>
  </sheetViews>
  <sheetFormatPr defaultRowHeight="16.25" defaultColWidth="10"/>
  <cols>
    <col min="2" max="2" customWidth="1" bestFit="1" width="14.4609375" style="0"/>
    <col min="3" max="3" customWidth="1" bestFit="1" width="22.152344" style="0"/>
    <col min="5" max="5" hidden="1" customWidth="1" bestFit="1" width="10.0" style="0"/>
    <col min="6" max="6" customWidth="1" bestFit="1" width="18.382812" style="0"/>
    <col min="7" max="7" customWidth="1" bestFit="1" width="25.074219" style="0"/>
    <col min="9" max="9" customWidth="1" bestFit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56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 ht="14.5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 ht="14.5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54590.0</v>
      </c>
      <c r="E9" s="16"/>
      <c r="F9" s="16">
        <v>4.452328362E8</v>
      </c>
      <c r="G9" s="15" t="s">
        <v>15</v>
      </c>
      <c r="H9" s="15">
        <v>30.0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180.0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80.0</v>
      </c>
      <c r="I11" s="17"/>
    </row>
    <row r="12" spans="8:8" ht="16.35">
      <c r="A12" s="14">
        <v>4.0</v>
      </c>
      <c r="B12" s="15"/>
      <c r="C12" s="18" t="s">
        <v>20</v>
      </c>
      <c r="D12" s="16">
        <v>3165.0</v>
      </c>
      <c r="E12" s="16">
        <v>12400.0</v>
      </c>
      <c r="F12" s="16">
        <f>D12*E12</f>
        <v>3.9246E7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>
        <v>459.0</v>
      </c>
      <c r="E14" s="16">
        <v>9500.0</v>
      </c>
      <c r="F14" s="16">
        <f>D14*E14</f>
        <v>4360500.0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9500.0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9500.0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9500.0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352.0</v>
      </c>
      <c r="E18" s="16">
        <v>9500.0</v>
      </c>
      <c r="F18" s="16">
        <f>D18*E18</f>
        <v>3344000.0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3352.0</v>
      </c>
      <c r="E19" s="16">
        <v>9500.0</v>
      </c>
      <c r="F19" s="16">
        <f>D19*E19</f>
        <v>3.1844E7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>
        <v>60.0</v>
      </c>
      <c r="E20" s="16">
        <v>9500.0</v>
      </c>
      <c r="F20" s="16">
        <f>D20*E20</f>
        <v>570000.0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9500.0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39675.0</v>
      </c>
      <c r="E22" s="16">
        <v>9000.0</v>
      </c>
      <c r="F22" s="16">
        <f>D22*E22</f>
        <v>3.57075E8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140.0</v>
      </c>
      <c r="E23" s="16">
        <v>9500.0</v>
      </c>
      <c r="F23" s="16">
        <f>D23*E23</f>
        <v>1330000.0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9500.0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9500.0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9500.0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9500.0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9500.0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101793.0</v>
      </c>
      <c r="E29" s="26"/>
      <c r="F29" s="27">
        <f>SUM(F9:F28)</f>
        <v>8.830023362E8</v>
      </c>
      <c r="G29" s="28" t="s">
        <v>37</v>
      </c>
      <c r="H29" s="29">
        <f>SUM(H9:H11)</f>
        <v>290.0</v>
      </c>
      <c r="I29" s="26"/>
    </row>
    <row r="30" spans="8:8" ht="16.35">
      <c r="A30" s="30" t="s">
        <v>38</v>
      </c>
      <c r="B30" s="30"/>
      <c r="C30" s="30"/>
      <c r="D30" s="27">
        <f>D29+H29</f>
        <v>102083.0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>
      <c r="A32" s="33"/>
      <c r="B32" s="33"/>
      <c r="C32" s="34" t="s">
        <v>57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H37:I37"/>
    <mergeCell ref="D37:G37"/>
    <mergeCell ref="C32:I32"/>
    <mergeCell ref="A29:C29"/>
    <mergeCell ref="A30:C30"/>
    <mergeCell ref="B5:F5"/>
    <mergeCell ref="A5:A7"/>
    <mergeCell ref="H5:H7"/>
    <mergeCell ref="I5:I7"/>
    <mergeCell ref="A3:I3"/>
    <mergeCell ref="A2:I2"/>
    <mergeCell ref="A1:I1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Q39"/>
  <sheetViews>
    <sheetView tabSelected="1" workbookViewId="0" topLeftCell="B1">
      <selection activeCell="D33" sqref="D33"/>
    </sheetView>
  </sheetViews>
  <sheetFormatPr defaultRowHeight="16.25" defaultColWidth="10"/>
  <cols>
    <col min="2" max="2" customWidth="1" bestFit="1" width="14.4609375" style="0"/>
    <col min="3" max="3" customWidth="1" bestFit="1" width="22.152344" style="0"/>
    <col min="4" max="4" customWidth="1" bestFit="1" width="10.0" style="0"/>
    <col min="5" max="5" customWidth="1" bestFit="1" width="10.0" style="0"/>
    <col min="6" max="6" customWidth="1" bestFit="1" width="18.382812" style="0"/>
    <col min="7" max="7" customWidth="1" bestFit="1" width="25.074219" style="0"/>
    <col min="9" max="9" customWidth="1" bestFit="1" width="17.152344" style="0"/>
  </cols>
  <sheetData>
    <row r="1" spans="8:8" ht="19.1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8:8" ht="19.1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8:8" ht="19.15">
      <c r="A3" s="1" t="s">
        <v>58</v>
      </c>
      <c r="B3" s="1"/>
      <c r="C3" s="1"/>
      <c r="D3" s="1"/>
      <c r="E3" s="1"/>
      <c r="F3" s="1"/>
      <c r="G3" s="1"/>
      <c r="H3" s="1"/>
      <c r="I3" s="1"/>
    </row>
    <row r="4" spans="8:8" ht="18.7">
      <c r="A4" s="2"/>
      <c r="B4" s="2"/>
      <c r="C4" s="2"/>
      <c r="D4" s="2"/>
      <c r="E4" s="2"/>
      <c r="F4" s="2"/>
      <c r="G4" s="2"/>
      <c r="H4" s="2"/>
      <c r="I4" s="2"/>
    </row>
    <row r="5" spans="8:8">
      <c r="A5" s="3" t="s">
        <v>3</v>
      </c>
      <c r="B5" s="4" t="s">
        <v>4</v>
      </c>
      <c r="C5" s="4"/>
      <c r="D5" s="4"/>
      <c r="E5" s="4"/>
      <c r="F5" s="4"/>
      <c r="G5" s="5" t="s">
        <v>5</v>
      </c>
      <c r="H5" s="4" t="s">
        <v>6</v>
      </c>
      <c r="I5" s="6" t="s">
        <v>7</v>
      </c>
    </row>
    <row r="6" spans="8:8">
      <c r="A6" s="3"/>
      <c r="B6" s="7" t="s">
        <v>8</v>
      </c>
      <c r="C6" s="7"/>
      <c r="D6" s="7"/>
      <c r="E6" s="7"/>
      <c r="F6" s="7"/>
      <c r="G6" s="8" t="s">
        <v>9</v>
      </c>
      <c r="H6" s="4"/>
      <c r="I6" s="6"/>
    </row>
    <row r="7" spans="8:8" ht="36.45">
      <c r="A7" s="3"/>
      <c r="B7" s="9" t="s">
        <v>10</v>
      </c>
      <c r="C7" s="10" t="s">
        <v>11</v>
      </c>
      <c r="D7" s="10" t="s">
        <v>6</v>
      </c>
      <c r="E7" s="10" t="s">
        <v>12</v>
      </c>
      <c r="F7" s="10" t="s">
        <v>12</v>
      </c>
      <c r="G7" s="10" t="s">
        <v>13</v>
      </c>
      <c r="H7" s="4"/>
      <c r="I7" s="6"/>
    </row>
    <row r="8" spans="8:8">
      <c r="A8" s="11"/>
      <c r="B8" s="12"/>
      <c r="C8" s="12"/>
      <c r="D8" s="12"/>
      <c r="E8" s="12"/>
      <c r="F8" s="12"/>
      <c r="G8" s="12"/>
      <c r="H8" s="12"/>
      <c r="I8" s="13"/>
    </row>
    <row r="9" spans="8:8" ht="16.35">
      <c r="A9" s="14">
        <v>1.0</v>
      </c>
      <c r="B9" s="15" t="s">
        <v>14</v>
      </c>
      <c r="C9" s="15"/>
      <c r="D9" s="16">
        <v>66140.0</v>
      </c>
      <c r="E9" s="16"/>
      <c r="F9" s="16">
        <v>5.492877839E8</v>
      </c>
      <c r="G9" s="15" t="s">
        <v>15</v>
      </c>
      <c r="H9" s="15">
        <v>80.0</v>
      </c>
      <c r="I9" s="17"/>
    </row>
    <row r="10" spans="8:8" ht="16.35">
      <c r="A10" s="14">
        <v>2.0</v>
      </c>
      <c r="B10" s="15" t="s">
        <v>16</v>
      </c>
      <c r="C10" s="15"/>
      <c r="D10" s="16"/>
      <c r="E10" s="16">
        <v>0.0</v>
      </c>
      <c r="F10" s="16">
        <f>D10*E10</f>
        <v>0.0</v>
      </c>
      <c r="G10" s="15" t="s">
        <v>17</v>
      </c>
      <c r="H10" s="15">
        <v>186.0</v>
      </c>
      <c r="I10" s="17"/>
    </row>
    <row r="11" spans="8:8" ht="16.35">
      <c r="A11" s="14">
        <v>3.0</v>
      </c>
      <c r="B11" s="15" t="s">
        <v>18</v>
      </c>
      <c r="C11" s="15"/>
      <c r="D11" s="16"/>
      <c r="E11" s="16"/>
      <c r="F11" s="16"/>
      <c r="G11" s="15" t="s">
        <v>19</v>
      </c>
      <c r="H11" s="15">
        <v>140.0</v>
      </c>
      <c r="I11" s="17"/>
    </row>
    <row r="12" spans="8:8" ht="16.35">
      <c r="A12" s="14">
        <v>4.0</v>
      </c>
      <c r="B12" s="15"/>
      <c r="C12" s="18" t="s">
        <v>20</v>
      </c>
      <c r="D12" s="16">
        <v>3245.0</v>
      </c>
      <c r="E12" s="16">
        <v>12400.0</v>
      </c>
      <c r="F12" s="16">
        <f>D12*E12</f>
        <v>4.0238E7</v>
      </c>
      <c r="G12" s="19"/>
      <c r="H12" s="15"/>
      <c r="I12" s="17"/>
    </row>
    <row r="13" spans="8:8" ht="16.35">
      <c r="A13" s="14">
        <v>5.0</v>
      </c>
      <c r="B13" s="15"/>
      <c r="C13" s="18" t="s">
        <v>21</v>
      </c>
      <c r="D13" s="16"/>
      <c r="E13" s="16">
        <v>12000.0</v>
      </c>
      <c r="F13" s="16">
        <f>D13*E13</f>
        <v>0.0</v>
      </c>
      <c r="G13" s="15"/>
      <c r="H13" s="15"/>
      <c r="I13" s="17"/>
    </row>
    <row r="14" spans="8:8" ht="16.35">
      <c r="A14" s="14">
        <v>6.0</v>
      </c>
      <c r="B14" s="15"/>
      <c r="C14" s="18" t="s">
        <v>22</v>
      </c>
      <c r="D14" s="16">
        <v>473.0</v>
      </c>
      <c r="E14" s="16">
        <v>10000.0</v>
      </c>
      <c r="F14" s="16">
        <f>D14*E14</f>
        <v>4730000.0</v>
      </c>
      <c r="G14" s="15"/>
      <c r="H14" s="15"/>
      <c r="I14" s="17"/>
    </row>
    <row r="15" spans="8:8" ht="16.35">
      <c r="A15" s="14">
        <v>7.0</v>
      </c>
      <c r="B15" s="15"/>
      <c r="C15" s="18" t="s">
        <v>23</v>
      </c>
      <c r="D15" s="16"/>
      <c r="E15" s="16">
        <v>10000.0</v>
      </c>
      <c r="F15" s="16">
        <f>D15*E15</f>
        <v>0.0</v>
      </c>
      <c r="G15" s="15"/>
      <c r="H15" s="15"/>
      <c r="I15" s="17"/>
    </row>
    <row r="16" spans="8:8" ht="16.35">
      <c r="A16" s="14">
        <v>8.0</v>
      </c>
      <c r="B16" s="15"/>
      <c r="C16" s="18" t="s">
        <v>24</v>
      </c>
      <c r="D16" s="16"/>
      <c r="E16" s="16">
        <v>10000.0</v>
      </c>
      <c r="F16" s="16">
        <f>D16*E16</f>
        <v>0.0</v>
      </c>
      <c r="G16" s="15"/>
      <c r="H16" s="15"/>
      <c r="I16" s="17"/>
    </row>
    <row r="17" spans="8:8" ht="16.35">
      <c r="A17" s="14">
        <v>9.0</v>
      </c>
      <c r="B17" s="15"/>
      <c r="C17" s="18" t="s">
        <v>25</v>
      </c>
      <c r="D17" s="16"/>
      <c r="E17" s="16">
        <v>10000.0</v>
      </c>
      <c r="F17" s="16">
        <f>D17*E17</f>
        <v>0.0</v>
      </c>
      <c r="G17" s="15"/>
      <c r="H17" s="15"/>
      <c r="I17" s="17"/>
    </row>
    <row r="18" spans="8:8" ht="16.35">
      <c r="A18" s="14">
        <v>10.0</v>
      </c>
      <c r="B18" s="20"/>
      <c r="C18" s="18" t="s">
        <v>26</v>
      </c>
      <c r="D18" s="16">
        <v>318.0</v>
      </c>
      <c r="E18" s="16">
        <v>10000.0</v>
      </c>
      <c r="F18" s="16">
        <f>D18*E18</f>
        <v>3180000.0</v>
      </c>
      <c r="G18" s="10"/>
      <c r="H18" s="15"/>
      <c r="I18" s="17"/>
    </row>
    <row r="19" spans="8:8" ht="16.35">
      <c r="A19" s="14">
        <v>11.0</v>
      </c>
      <c r="B19" s="20"/>
      <c r="C19" s="18" t="s">
        <v>27</v>
      </c>
      <c r="D19" s="16">
        <v>3417.0</v>
      </c>
      <c r="E19" s="16">
        <v>10000.0</v>
      </c>
      <c r="F19" s="16">
        <f>D19*E19</f>
        <v>3.417E7</v>
      </c>
      <c r="G19" s="21"/>
      <c r="H19" s="15"/>
      <c r="I19" s="17"/>
    </row>
    <row r="20" spans="8:8" ht="16.35">
      <c r="A20" s="14">
        <v>12.0</v>
      </c>
      <c r="B20" s="19"/>
      <c r="C20" s="18" t="s">
        <v>28</v>
      </c>
      <c r="D20" s="16">
        <v>40.0</v>
      </c>
      <c r="E20" s="16">
        <v>10000.0</v>
      </c>
      <c r="F20" s="16">
        <f>D20*E20</f>
        <v>400000.0</v>
      </c>
      <c r="G20" s="19"/>
      <c r="H20" s="19"/>
      <c r="I20" s="22"/>
    </row>
    <row r="21" spans="8:8" ht="16.35">
      <c r="A21" s="14">
        <v>13.0</v>
      </c>
      <c r="B21" s="19"/>
      <c r="C21" s="18" t="s">
        <v>29</v>
      </c>
      <c r="D21" s="16"/>
      <c r="E21" s="16">
        <v>10000.0</v>
      </c>
      <c r="F21" s="16">
        <f>D21*E21</f>
        <v>0.0</v>
      </c>
      <c r="G21" s="19"/>
      <c r="H21" s="19"/>
      <c r="I21" s="22"/>
    </row>
    <row r="22" spans="8:8" ht="16.35">
      <c r="A22" s="14">
        <v>14.0</v>
      </c>
      <c r="B22" s="19"/>
      <c r="C22" s="18" t="s">
        <v>30</v>
      </c>
      <c r="D22" s="16">
        <v>38030.0</v>
      </c>
      <c r="E22" s="16">
        <v>10000.0</v>
      </c>
      <c r="F22" s="16">
        <f>D22*E22</f>
        <v>3.803E8</v>
      </c>
      <c r="G22" s="19"/>
      <c r="H22" s="19"/>
      <c r="I22" s="22"/>
    </row>
    <row r="23" spans="8:8" ht="16.35">
      <c r="A23" s="14">
        <v>15.0</v>
      </c>
      <c r="B23" s="19"/>
      <c r="C23" s="18" t="s">
        <v>31</v>
      </c>
      <c r="D23" s="16">
        <v>190.0</v>
      </c>
      <c r="E23" s="16">
        <v>10000.0</v>
      </c>
      <c r="F23" s="16">
        <f>D23*E23</f>
        <v>1900000.0</v>
      </c>
      <c r="G23" s="19"/>
      <c r="H23" s="19"/>
      <c r="I23" s="22"/>
    </row>
    <row r="24" spans="8:8" ht="16.35">
      <c r="A24" s="14">
        <v>16.0</v>
      </c>
      <c r="B24" s="19"/>
      <c r="C24" s="18" t="s">
        <v>32</v>
      </c>
      <c r="D24" s="16"/>
      <c r="E24" s="16">
        <v>10000.0</v>
      </c>
      <c r="F24" s="16">
        <f>D24*E24</f>
        <v>0.0</v>
      </c>
      <c r="G24" s="19"/>
      <c r="H24" s="19"/>
      <c r="I24" s="22"/>
    </row>
    <row r="25" spans="8:8" ht="16.35">
      <c r="A25" s="14">
        <v>17.0</v>
      </c>
      <c r="B25" s="19"/>
      <c r="C25" s="18" t="s">
        <v>33</v>
      </c>
      <c r="D25" s="16"/>
      <c r="E25" s="16">
        <v>10000.0</v>
      </c>
      <c r="F25" s="16">
        <f>D25*E25</f>
        <v>0.0</v>
      </c>
      <c r="G25" s="19"/>
      <c r="H25" s="19"/>
      <c r="I25" s="22"/>
    </row>
    <row r="26" spans="8:8" ht="16.35">
      <c r="A26" s="14">
        <v>18.0</v>
      </c>
      <c r="B26" s="19"/>
      <c r="C26" s="18" t="s">
        <v>34</v>
      </c>
      <c r="D26" s="16"/>
      <c r="E26" s="16">
        <v>10000.0</v>
      </c>
      <c r="F26" s="16">
        <f>D26*E26</f>
        <v>0.0</v>
      </c>
      <c r="G26" s="19"/>
      <c r="H26" s="19"/>
      <c r="I26" s="22"/>
    </row>
    <row r="27" spans="8:8" ht="16.35">
      <c r="A27" s="14">
        <v>19.0</v>
      </c>
      <c r="B27" s="19"/>
      <c r="C27" s="18" t="s">
        <v>35</v>
      </c>
      <c r="D27" s="16"/>
      <c r="E27" s="16">
        <v>10000.0</v>
      </c>
      <c r="F27" s="16">
        <f>D27*E27</f>
        <v>0.0</v>
      </c>
      <c r="G27" s="19"/>
      <c r="H27" s="19"/>
      <c r="I27" s="22"/>
    </row>
    <row r="28" spans="8:8" ht="16.35">
      <c r="A28" s="14">
        <v>20.0</v>
      </c>
      <c r="B28" s="19"/>
      <c r="C28" s="18" t="s">
        <v>36</v>
      </c>
      <c r="D28" s="16"/>
      <c r="E28" s="23">
        <v>10000.0</v>
      </c>
      <c r="F28" s="16">
        <f>D28*E28</f>
        <v>0.0</v>
      </c>
      <c r="G28" s="19"/>
      <c r="H28" s="19"/>
      <c r="I28" s="22"/>
    </row>
    <row r="29" spans="8:8" ht="16.35">
      <c r="A29" s="24" t="s">
        <v>37</v>
      </c>
      <c r="B29" s="24"/>
      <c r="C29" s="24"/>
      <c r="D29" s="25">
        <f>SUM(D9:D28)</f>
        <v>111853.0</v>
      </c>
      <c r="E29" s="26"/>
      <c r="F29" s="27">
        <f>SUM(F9:F28)</f>
        <v>1.0142057839E9</v>
      </c>
      <c r="G29" s="28" t="s">
        <v>37</v>
      </c>
      <c r="H29" s="29">
        <f>SUM(H9:H11)</f>
        <v>406.0</v>
      </c>
      <c r="I29" s="26"/>
    </row>
    <row r="30" spans="8:8" ht="16.35">
      <c r="A30" s="30" t="s">
        <v>38</v>
      </c>
      <c r="B30" s="30"/>
      <c r="C30" s="30"/>
      <c r="D30" s="27">
        <f>D29+H29</f>
        <v>112259.0</v>
      </c>
      <c r="E30" s="31"/>
      <c r="F30" s="26"/>
      <c r="G30" s="31"/>
      <c r="H30" s="26"/>
      <c r="I30" s="32"/>
    </row>
    <row r="31" spans="8:8">
      <c r="A31" s="33"/>
      <c r="B31" s="33"/>
      <c r="C31" s="33"/>
      <c r="D31" s="33"/>
      <c r="E31" s="33"/>
      <c r="F31" s="33"/>
      <c r="G31" s="33"/>
      <c r="H31" s="33"/>
      <c r="I31" s="33"/>
    </row>
    <row r="32" spans="8:8">
      <c r="A32" s="33"/>
      <c r="B32" s="33"/>
      <c r="C32" s="34" t="s">
        <v>60</v>
      </c>
      <c r="D32" s="34"/>
      <c r="E32" s="34"/>
      <c r="F32" s="34"/>
      <c r="G32" s="34"/>
      <c r="H32" s="34"/>
      <c r="I32" s="34"/>
    </row>
    <row r="33" spans="8:8">
      <c r="A33" s="33"/>
      <c r="B33" s="33"/>
      <c r="C33" s="33"/>
      <c r="D33" s="33"/>
      <c r="E33" s="33"/>
      <c r="F33" s="35"/>
      <c r="G33" s="35"/>
      <c r="H33" s="35"/>
      <c r="I33" s="35"/>
    </row>
    <row r="34" spans="8:8">
      <c r="A34" s="33"/>
      <c r="B34" s="33"/>
      <c r="C34" s="33"/>
      <c r="D34" s="33"/>
      <c r="E34" s="33"/>
      <c r="F34" s="36"/>
      <c r="G34" s="36"/>
      <c r="H34" s="36"/>
      <c r="I34" s="36"/>
    </row>
    <row r="35" spans="8:8">
      <c r="A35" s="33"/>
      <c r="B35" s="33"/>
      <c r="C35" s="33"/>
      <c r="D35" s="33"/>
      <c r="E35" s="33"/>
      <c r="F35" s="36"/>
      <c r="G35" s="36"/>
      <c r="H35" s="36"/>
      <c r="I35" s="36"/>
    </row>
    <row r="36" spans="8:8">
      <c r="A36" s="33"/>
      <c r="B36" s="33"/>
      <c r="C36" s="33"/>
      <c r="D36" s="33"/>
      <c r="E36" s="33"/>
      <c r="F36" s="36"/>
      <c r="G36" s="36"/>
      <c r="H36" s="36"/>
      <c r="I36" s="36"/>
    </row>
    <row r="37" spans="8:8">
      <c r="A37" s="33"/>
      <c r="B37" s="33"/>
      <c r="C37" s="33"/>
      <c r="D37" s="37" t="s">
        <v>40</v>
      </c>
      <c r="E37" s="37"/>
      <c r="F37" s="37"/>
      <c r="G37" s="37"/>
      <c r="H37" s="37" t="s">
        <v>41</v>
      </c>
      <c r="I37" s="37"/>
    </row>
    <row r="38" spans="8:8">
      <c r="A38" s="33"/>
      <c r="B38" s="33"/>
      <c r="C38" s="33"/>
      <c r="D38" s="33"/>
      <c r="E38" s="33"/>
      <c r="F38" s="33"/>
      <c r="G38" s="33"/>
      <c r="H38" s="33"/>
      <c r="I38" s="33"/>
    </row>
    <row r="39" spans="8:8">
      <c r="A39" s="33"/>
      <c r="B39" s="33"/>
      <c r="C39" s="33"/>
      <c r="D39" s="33"/>
      <c r="E39" s="33"/>
      <c r="F39" s="33"/>
      <c r="G39" s="33"/>
      <c r="H39" s="33"/>
      <c r="I39" s="33"/>
    </row>
  </sheetData>
  <mergeCells count="12">
    <mergeCell ref="A1:I1"/>
    <mergeCell ref="A2:I2"/>
    <mergeCell ref="A3:I3"/>
    <mergeCell ref="I5:I7"/>
    <mergeCell ref="H5:H7"/>
    <mergeCell ref="A5:A7"/>
    <mergeCell ref="B5:F5"/>
    <mergeCell ref="A30:C30"/>
    <mergeCell ref="A29:C29"/>
    <mergeCell ref="C32:I32"/>
    <mergeCell ref="D37:G37"/>
    <mergeCell ref="H37:I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SM-P619</dc:creator>
  <dcterms:created xsi:type="dcterms:W3CDTF">2025-12-23T03:16:35Z</dcterms:created>
  <dcterms:modified xsi:type="dcterms:W3CDTF">2026-08-13T23:06:42Z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77d7908773774ebf95ea19ae8176aca2</vt:lpwstr>
  </property>
</Properties>
</file>