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2527"/>
  <workbookPr defaultThemeVersion="166925"/>
  <bookViews>
    <workbookView xWindow="-120" yWindow="-120" windowWidth="29040" windowHeight="17640" activeTab="6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</sheets>
  <calcPr calcId="114210"/>
</workbook>
</file>

<file path=xl/sharedStrings.xml><?xml version="1.0" encoding="utf-8"?>
<sst xmlns="http://schemas.openxmlformats.org/spreadsheetml/2006/main" uniqueCount="55" count="55">
  <si>
    <t>LAPORAN PENERIMAAN SUSU</t>
  </si>
  <si>
    <t>KOPERASI AGRIBISNIS DANA MULYA</t>
  </si>
  <si>
    <t>BULAN  DESEMBER 2025</t>
  </si>
  <si>
    <t>NO</t>
  </si>
  <si>
    <t>DARI ANGGOTA</t>
  </si>
  <si>
    <t>DARI NON ANGGOTA</t>
  </si>
  <si>
    <t>JUMLAH</t>
  </si>
  <si>
    <t>KETERANGAN</t>
  </si>
  <si>
    <t>KELOMPOK</t>
  </si>
  <si>
    <t>KG</t>
  </si>
  <si>
    <t>RP</t>
  </si>
  <si>
    <t>WILAYAH</t>
  </si>
  <si>
    <t>CEMBOR</t>
  </si>
  <si>
    <t>TAWAR</t>
  </si>
  <si>
    <t>CLAKET</t>
  </si>
  <si>
    <t>PRAMBON</t>
  </si>
  <si>
    <t>MLIGI</t>
  </si>
  <si>
    <t>BRANGKAL</t>
  </si>
  <si>
    <t>KAMBENGAN</t>
  </si>
  <si>
    <t>KRIAN</t>
  </si>
  <si>
    <t>SOSO</t>
  </si>
  <si>
    <t>WONOAYU</t>
  </si>
  <si>
    <t>BARAAN</t>
  </si>
  <si>
    <t>PASINAN</t>
  </si>
  <si>
    <t>PACET / WARU GUNUNG</t>
  </si>
  <si>
    <t>KEMIRI / TRECEH</t>
  </si>
  <si>
    <t>JUMLAH I</t>
  </si>
  <si>
    <t>JUMLAH II</t>
  </si>
  <si>
    <t>TOTAL I + II</t>
  </si>
  <si>
    <t xml:space="preserve">     PACET,  15 JANUARI 2025</t>
  </si>
  <si>
    <t>BAG PENERIMAN SUSU</t>
  </si>
  <si>
    <t>DRH.H.M.ILHAM SUPRAYITNO</t>
  </si>
  <si>
    <t xml:space="preserve">     </t>
  </si>
  <si>
    <t>USMAN HADI</t>
  </si>
  <si>
    <t>BULAN  DESEMBER 2026</t>
  </si>
  <si>
    <t>BULAN      2026</t>
  </si>
  <si>
    <t>BULAN  JANUARI 2026</t>
  </si>
  <si>
    <t xml:space="preserve">     PACET,  15 FEBRUARI 2026</t>
  </si>
  <si>
    <t>BULAN  FEBRUARI 2026</t>
  </si>
  <si>
    <t xml:space="preserve">     PACET,  15 MARET 2026</t>
  </si>
  <si>
    <t>BULAN  MARET 2026</t>
  </si>
  <si>
    <t xml:space="preserve">     PACET,  15 APRIL 2026</t>
  </si>
  <si>
    <t>MOJOSARI</t>
  </si>
  <si>
    <t>BULAN  APRIL2026</t>
  </si>
  <si>
    <t xml:space="preserve">     PACET,  15 MEI 2026</t>
  </si>
  <si>
    <t>POJEJER</t>
  </si>
  <si>
    <t>TANEN</t>
  </si>
  <si>
    <t>BULAN  MEI 2026</t>
  </si>
  <si>
    <t xml:space="preserve">     PACET,  15 JUNI 2026</t>
  </si>
  <si>
    <t>BULAN  APRI L2026</t>
  </si>
  <si>
    <t>BULAN  JUNI 2026</t>
  </si>
  <si>
    <t xml:space="preserve">     PACET,  15 JULI 2026</t>
  </si>
  <si>
    <t>BULAN  JULI 2026</t>
  </si>
  <si>
    <t xml:space="preserve">     PACET,  15 JULI2026</t>
  </si>
  <si>
    <t xml:space="preserve">     PACET,  15 AGUSTUS 2026</t>
  </si>
</sst>
</file>

<file path=xl/styles.xml><?xml version="1.0" encoding="utf-8"?>
<styleSheet xmlns="http://schemas.openxmlformats.org/spreadsheetml/2006/main">
  <numFmts count="2">
    <numFmt numFmtId="0" formatCode="General"/>
    <numFmt numFmtId="3" formatCode="#,##0"/>
  </numFmts>
  <fonts count="65">
    <font>
      <name val="Arial"/>
      <sz val="11"/>
    </font>
    <font>
      <name val="Arial Narrow"/>
      <b/>
      <sz val="20"/>
      <color rgb="FF000000"/>
    </font>
    <font>
      <name val="Calibri"/>
      <sz val="11"/>
    </font>
    <font>
      <name val="Arial Narrow"/>
      <b/>
      <sz val="12"/>
      <color rgb="FF000000"/>
    </font>
    <font>
      <name val="Arial Narrow"/>
      <b/>
      <sz val="14"/>
      <color rgb="FF000000"/>
    </font>
    <font>
      <name val="Arial Narrow"/>
      <b/>
      <sz val="14"/>
      <color rgb="FF000000"/>
    </font>
    <font>
      <name val="Arial Narrow"/>
      <b/>
      <sz val="14"/>
      <color rgb="FF000000"/>
    </font>
    <font>
      <name val="Arial Narrow"/>
      <b/>
      <sz val="14"/>
      <color rgb="FF000000"/>
    </font>
    <font>
      <name val="Arial Narrow"/>
      <b/>
      <sz val="11"/>
      <color rgb="FF000000"/>
    </font>
    <font>
      <name val="Arial Narrow"/>
      <b/>
      <sz val="12"/>
      <color rgb="FF000000"/>
    </font>
    <font>
      <name val="Arial Narrow"/>
      <b/>
      <sz val="14"/>
      <color rgb="FF000000"/>
    </font>
    <font>
      <name val="Arial Narrow"/>
      <b/>
      <sz val="14"/>
      <color rgb="FF000000"/>
    </font>
    <font>
      <name val="Arial Narrow"/>
      <sz val="12"/>
      <color rgb="FF000000"/>
    </font>
    <font>
      <name val="Arial Narrow"/>
      <sz val="12"/>
      <color rgb="FF000000"/>
    </font>
    <font>
      <name val="Arial Narrow"/>
      <sz val="12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0"/>
      <color rgb="FF000000"/>
    </font>
    <font>
      <name val="Calibri"/>
      <charset val="1"/>
      <sz val="10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2"/>
      <color rgb="FF000000"/>
    </font>
    <font>
      <name val="Arial Narrow"/>
      <sz val="16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b/>
      <sz val="16"/>
      <color rgb="FF000000"/>
    </font>
    <font>
      <name val="Arial Narrow"/>
      <sz val="16"/>
      <color rgb="FF000000"/>
    </font>
    <font>
      <name val="Arial Narrow"/>
      <b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Arial Narrow"/>
      <sz val="16"/>
      <color rgb="FF000000"/>
    </font>
    <font>
      <name val="Calibri"/>
      <charset val="1"/>
      <sz val="16"/>
      <color rgb="FF000000"/>
    </font>
    <font>
      <name val="Arial Narrow"/>
      <sz val="16"/>
      <color rgb="FF000000"/>
    </font>
    <font>
      <name val="Arial Narrow"/>
      <b/>
      <u/>
      <sz val="16"/>
      <color rgb="FF000000"/>
    </font>
    <font>
      <name val="Arial Narrow"/>
      <b/>
      <sz val="16"/>
      <color rgb="FF000000"/>
    </font>
    <font>
      <name val="Arial Narrow"/>
      <b/>
      <u/>
      <sz val="16"/>
      <color rgb="FF000000"/>
    </font>
    <font>
      <name val="Calibri"/>
      <charset val="1"/>
      <sz val="14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595959"/>
      </patternFill>
    </fill>
    <fill>
      <patternFill patternType="solid">
        <fgColor rgb="FFFFFFFF"/>
      </patternFill>
    </fill>
  </fills>
  <borders count="3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0" xfId="0" applyNumberFormat="1" applyFont="1" applyBorder="1" applyAlignment="1">
      <alignment horizontal="center" vertical="center"/>
    </xf>
    <xf numFmtId="0" fontId="2" fillId="0" borderId="0" xfId="0" applyNumberFormat="1" applyFont="1">
      <alignment vertical="center"/>
    </xf>
    <xf numFmtId="0" fontId="3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7" fillId="0" borderId="5" xfId="0" applyNumberFormat="1" applyFont="1" applyBorder="1" applyAlignment="1">
      <alignment horizontal="center" vertical="center"/>
    </xf>
    <xf numFmtId="0" fontId="8" fillId="0" borderId="6" xfId="0" applyNumberFormat="1" applyFont="1" applyBorder="1" applyAlignment="1">
      <alignment horizontal="center" vertical="center"/>
    </xf>
    <xf numFmtId="0" fontId="9" fillId="0" borderId="7" xfId="0" applyNumberFormat="1" applyFont="1" applyBorder="1" applyAlignment="1">
      <alignment horizontal="center" vertical="center"/>
    </xf>
    <xf numFmtId="0" fontId="10" fillId="0" borderId="8" xfId="0" applyNumberFormat="1" applyFont="1" applyBorder="1" applyAlignment="1">
      <alignment horizontal="center" vertical="center"/>
    </xf>
    <xf numFmtId="0" fontId="11" fillId="0" borderId="9" xfId="0" applyNumberFormat="1" applyFont="1" applyBorder="1" applyAlignment="1">
      <alignment horizontal="center" vertical="center"/>
    </xf>
    <xf numFmtId="0" fontId="12" fillId="2" borderId="10" xfId="0" applyNumberFormat="1" applyFont="1" applyFill="1" applyBorder="1">
      <alignment vertical="center"/>
    </xf>
    <xf numFmtId="0" fontId="13" fillId="2" borderId="11" xfId="0" applyNumberFormat="1" applyFont="1" applyFill="1" applyBorder="1">
      <alignment vertical="center"/>
    </xf>
    <xf numFmtId="0" fontId="14" fillId="2" borderId="12" xfId="0" applyNumberFormat="1" applyFont="1" applyFill="1" applyBorder="1">
      <alignment vertical="center"/>
    </xf>
    <xf numFmtId="0" fontId="15" fillId="0" borderId="1" xfId="0" applyNumberFormat="1" applyFont="1" applyBorder="1" applyAlignment="1">
      <alignment horizontal="center" vertical="center"/>
    </xf>
    <xf numFmtId="0" fontId="16" fillId="0" borderId="2" xfId="0" applyNumberFormat="1" applyFont="1" applyBorder="1">
      <alignment vertical="center"/>
    </xf>
    <xf numFmtId="3" fontId="17" fillId="0" borderId="2" xfId="0" applyNumberFormat="1" applyFont="1" applyBorder="1" applyAlignment="1">
      <alignment horizontal="center" vertical="center"/>
    </xf>
    <xf numFmtId="3" fontId="18" fillId="0" borderId="2" xfId="0" applyNumberFormat="1" applyFont="1" applyBorder="1">
      <alignment vertical="center"/>
    </xf>
    <xf numFmtId="3" fontId="19" fillId="0" borderId="13" xfId="0" applyNumberFormat="1" applyFont="1" applyBorder="1" applyAlignment="1">
      <alignment horizontal="center" vertical="center"/>
    </xf>
    <xf numFmtId="0" fontId="20" fillId="0" borderId="14" xfId="0" applyNumberFormat="1" applyFont="1" applyBorder="1">
      <alignment vertical="center"/>
    </xf>
    <xf numFmtId="0" fontId="21" fillId="0" borderId="15" xfId="0" applyNumberFormat="1" applyFont="1" applyBorder="1">
      <alignment vertical="center"/>
    </xf>
    <xf numFmtId="0" fontId="22" fillId="0" borderId="16" xfId="0" applyNumberFormat="1" applyFont="1" applyBorder="1">
      <alignment vertical="center"/>
    </xf>
    <xf numFmtId="0" fontId="23" fillId="0" borderId="7" xfId="0" applyNumberFormat="1" applyFont="1" applyBorder="1" applyAlignment="1">
      <alignment horizontal="center" vertical="center"/>
    </xf>
    <xf numFmtId="0" fontId="24" fillId="0" borderId="8" xfId="0" applyNumberFormat="1" applyFont="1" applyBorder="1">
      <alignment vertical="center"/>
    </xf>
    <xf numFmtId="3" fontId="25" fillId="0" borderId="8" xfId="0" applyNumberFormat="1" applyFont="1" applyBorder="1" applyAlignment="1">
      <alignment horizontal="center" vertical="center"/>
    </xf>
    <xf numFmtId="3" fontId="26" fillId="0" borderId="8" xfId="0" applyNumberFormat="1" applyFont="1" applyBorder="1">
      <alignment vertical="center"/>
    </xf>
    <xf numFmtId="3" fontId="27" fillId="0" borderId="17" xfId="0" applyNumberFormat="1" applyFont="1" applyBorder="1" applyAlignment="1">
      <alignment horizontal="center" vertical="center"/>
    </xf>
    <xf numFmtId="0" fontId="28" fillId="0" borderId="18" xfId="0" applyNumberFormat="1" applyFont="1" applyBorder="1">
      <alignment vertical="center"/>
    </xf>
    <xf numFmtId="0" fontId="29" fillId="0" borderId="19" xfId="0" applyNumberFormat="1" applyFont="1" applyBorder="1">
      <alignment vertical="center"/>
    </xf>
    <xf numFmtId="0" fontId="30" fillId="0" borderId="16" xfId="0" applyNumberFormat="1" applyFont="1" applyBorder="1">
      <alignment vertical="center"/>
    </xf>
    <xf numFmtId="0" fontId="31" fillId="0" borderId="0" xfId="0" applyNumberFormat="1" applyFont="1">
      <alignment vertical="center"/>
    </xf>
    <xf numFmtId="3" fontId="32" fillId="0" borderId="20" xfId="0" applyNumberFormat="1" applyFont="1" applyBorder="1" applyAlignment="1">
      <alignment horizontal="center" vertical="center"/>
    </xf>
    <xf numFmtId="0" fontId="33" fillId="0" borderId="8" xfId="0" applyNumberFormat="1" applyFont="1" applyBorder="1" applyAlignment="1">
      <alignment horizontal="center" vertical="center"/>
    </xf>
    <xf numFmtId="3" fontId="34" fillId="3" borderId="8" xfId="0" applyNumberFormat="1" applyFont="1" applyFill="1" applyBorder="1">
      <alignment vertical="center"/>
    </xf>
    <xf numFmtId="0" fontId="35" fillId="0" borderId="9" xfId="0" applyNumberFormat="1" applyFont="1" applyBorder="1">
      <alignment vertical="center"/>
    </xf>
    <xf numFmtId="0" fontId="36" fillId="0" borderId="8" xfId="0" applyNumberFormat="1" applyFont="1" applyBorder="1">
      <alignment vertical="center"/>
    </xf>
    <xf numFmtId="3" fontId="37" fillId="3" borderId="8" xfId="0" applyNumberFormat="1" applyFont="1" applyFill="1" applyBorder="1" applyAlignment="1">
      <alignment horizontal="center" vertical="center"/>
    </xf>
    <xf numFmtId="0" fontId="38" fillId="0" borderId="10" xfId="0" applyNumberFormat="1" applyFont="1" applyBorder="1" applyAlignment="1">
      <alignment horizontal="center" vertical="center"/>
    </xf>
    <xf numFmtId="0" fontId="39" fillId="0" borderId="11" xfId="0" applyNumberFormat="1" applyFont="1" applyBorder="1">
      <alignment vertical="center"/>
    </xf>
    <xf numFmtId="3" fontId="40" fillId="0" borderId="11" xfId="0" applyNumberFormat="1" applyFont="1" applyBorder="1" applyAlignment="1">
      <alignment horizontal="center" vertical="center"/>
    </xf>
    <xf numFmtId="3" fontId="41" fillId="0" borderId="11" xfId="0" applyNumberFormat="1" applyFont="1" applyBorder="1">
      <alignment vertical="center"/>
    </xf>
    <xf numFmtId="0" fontId="42" fillId="0" borderId="11" xfId="0" applyNumberFormat="1" applyFont="1" applyBorder="1" applyAlignment="1">
      <alignment horizontal="center" vertical="center"/>
    </xf>
    <xf numFmtId="0" fontId="43" fillId="0" borderId="12" xfId="0" applyNumberFormat="1" applyFont="1" applyBorder="1">
      <alignment vertical="center"/>
    </xf>
    <xf numFmtId="0" fontId="44" fillId="0" borderId="21" xfId="0" applyNumberFormat="1" applyFont="1" applyBorder="1">
      <alignment vertical="center"/>
    </xf>
    <xf numFmtId="0" fontId="45" fillId="0" borderId="22" xfId="0" applyNumberFormat="1" applyFont="1" applyBorder="1">
      <alignment vertical="center"/>
    </xf>
    <xf numFmtId="0" fontId="46" fillId="0" borderId="23" xfId="0" applyNumberFormat="1" applyFont="1" applyBorder="1">
      <alignment vertical="center"/>
    </xf>
    <xf numFmtId="0" fontId="47" fillId="0" borderId="24" xfId="0" applyNumberFormat="1" applyFont="1" applyBorder="1" applyAlignment="1">
      <alignment horizontal="center" vertical="center"/>
    </xf>
    <xf numFmtId="3" fontId="48" fillId="0" borderId="25" xfId="0" applyNumberFormat="1" applyFont="1" applyBorder="1" applyAlignment="1">
      <alignment horizontal="center" vertical="center"/>
    </xf>
    <xf numFmtId="0" fontId="49" fillId="0" borderId="25" xfId="0" applyNumberFormat="1" applyFont="1" applyBorder="1" applyAlignment="1">
      <alignment horizontal="center" vertical="center"/>
    </xf>
    <xf numFmtId="3" fontId="50" fillId="0" borderId="26" xfId="0" applyNumberFormat="1" applyFont="1" applyBorder="1" applyAlignment="1">
      <alignment horizontal="center" vertical="center"/>
    </xf>
    <xf numFmtId="3" fontId="51" fillId="0" borderId="27" xfId="0" applyNumberFormat="1" applyFont="1" applyBorder="1" applyAlignment="1">
      <alignment horizontal="center" vertical="center"/>
    </xf>
    <xf numFmtId="0" fontId="52" fillId="0" borderId="27" xfId="0" applyNumberFormat="1" applyFont="1" applyBorder="1">
      <alignment vertical="center"/>
    </xf>
    <xf numFmtId="0" fontId="53" fillId="0" borderId="28" xfId="0" applyNumberFormat="1" applyFont="1" applyBorder="1">
      <alignment vertical="center"/>
    </xf>
    <xf numFmtId="0" fontId="54" fillId="0" borderId="29" xfId="0" applyNumberFormat="1" applyFont="1" applyBorder="1">
      <alignment vertical="center"/>
    </xf>
    <xf numFmtId="0" fontId="55" fillId="0" borderId="25" xfId="0" applyNumberFormat="1" applyFont="1" applyBorder="1" applyAlignment="1">
      <alignment horizontal="center" vertical="center"/>
    </xf>
    <xf numFmtId="0" fontId="56" fillId="0" borderId="26" xfId="0" applyNumberFormat="1" applyFont="1" applyBorder="1">
      <alignment vertical="center"/>
    </xf>
    <xf numFmtId="3" fontId="57" fillId="3" borderId="27" xfId="0" applyNumberFormat="1" applyFont="1" applyFill="1" applyBorder="1" applyAlignment="1">
      <alignment horizontal="center" vertical="center"/>
    </xf>
    <xf numFmtId="0" fontId="58" fillId="0" borderId="30" xfId="0" applyNumberFormat="1" applyFont="1" applyBorder="1">
      <alignment vertical="center"/>
    </xf>
    <xf numFmtId="0" fontId="59" fillId="0" borderId="0" xfId="0" applyNumberFormat="1" applyFont="1">
      <alignment vertical="center"/>
    </xf>
    <xf numFmtId="0" fontId="15" fillId="0" borderId="0" xfId="0" applyNumberFormat="1" applyFont="1" applyBorder="1" applyAlignment="1">
      <alignment horizontal="center" vertical="center"/>
    </xf>
    <xf numFmtId="0" fontId="60" fillId="0" borderId="0" xfId="0" applyNumberFormat="1" applyFont="1">
      <alignment vertical="center"/>
    </xf>
    <xf numFmtId="0" fontId="61" fillId="0" borderId="0" xfId="0" applyNumberFormat="1" applyFont="1" applyBorder="1" applyAlignment="1">
      <alignment horizontal="center" vertical="center"/>
    </xf>
    <xf numFmtId="0" fontId="61" fillId="0" borderId="0" xfId="0" applyNumberFormat="1" applyFont="1" applyAlignment="1">
      <alignment horizontal="center" vertical="center"/>
    </xf>
    <xf numFmtId="0" fontId="62" fillId="0" borderId="0" xfId="0" applyNumberFormat="1" applyFont="1" applyAlignment="1">
      <alignment horizontal="center" vertical="center"/>
    </xf>
    <xf numFmtId="0" fontId="63" fillId="0" borderId="0" xfId="0" applyNumberFormat="1" applyFont="1">
      <alignment vertical="center"/>
    </xf>
    <xf numFmtId="0" fontId="64" fillId="0" borderId="0" xfId="0" applyNumberFormat="1" applyFont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www.wps.cn/officeDocument/2020/cellImage" Target="cellimages.xml"/><Relationship Id="rId9" Type="http://schemas.openxmlformats.org/officeDocument/2006/relationships/sharedStrings" Target="sharedStrings.xml"/><Relationship Id="rId10" Type="http://schemas.openxmlformats.org/officeDocument/2006/relationships/styles" Target="styles.xml"/><Relationship Id="rId1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S40"/>
  <sheetViews>
    <sheetView workbookViewId="0">
      <selection activeCell="A1" sqref="A1:XFD1048576"/>
    </sheetView>
  </sheetViews>
  <sheetFormatPr defaultRowHeight="14.25" defaultColWidth="10"/>
  <cols>
    <col min="2" max="2" customWidth="1" width="24.691406" style="0"/>
    <col min="3" max="3" customWidth="1" width="12.152344" style="0"/>
    <col min="4" max="4" customWidth="1" width="18.761719" style="0"/>
    <col min="5" max="5" customWidth="1" width="16.921875" style="0"/>
    <col min="7" max="7" customWidth="1" width="17.152344" style="0"/>
    <col min="10" max="10" customWidth="1" width="15.691406" style="0"/>
  </cols>
  <sheetData>
    <row r="1" spans="8:8" ht="24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8:8" ht="24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8:8" ht="24.3">
      <c r="A3" s="1" t="s">
        <v>36</v>
      </c>
      <c r="B3" s="1"/>
      <c r="C3" s="1"/>
      <c r="D3" s="1"/>
      <c r="E3" s="1"/>
      <c r="F3" s="1"/>
      <c r="G3" s="1"/>
      <c r="H3" s="1"/>
      <c r="I3" s="1"/>
      <c r="J3" s="1"/>
    </row>
    <row r="4" spans="8:8">
      <c r="A4" s="2"/>
      <c r="B4" s="2"/>
      <c r="C4" s="2"/>
      <c r="D4" s="2"/>
      <c r="E4" s="2"/>
      <c r="F4" s="2"/>
      <c r="G4" s="2"/>
      <c r="H4" s="2"/>
    </row>
    <row r="5" spans="8:8" ht="16.8">
      <c r="A5" s="3" t="s">
        <v>3</v>
      </c>
      <c r="B5" s="4" t="s">
        <v>4</v>
      </c>
      <c r="C5" s="4"/>
      <c r="D5" s="4"/>
      <c r="E5" s="5" t="s">
        <v>5</v>
      </c>
      <c r="F5" s="6"/>
      <c r="G5" s="7"/>
      <c r="H5" s="5" t="s">
        <v>6</v>
      </c>
      <c r="I5" s="7"/>
      <c r="J5" s="8" t="s">
        <v>7</v>
      </c>
    </row>
    <row r="6" spans="8:8" ht="16.8">
      <c r="A6" s="9"/>
      <c r="B6" s="10" t="s">
        <v>8</v>
      </c>
      <c r="C6" s="10" t="s">
        <v>9</v>
      </c>
      <c r="D6" s="10" t="s">
        <v>10</v>
      </c>
      <c r="E6" s="10" t="s">
        <v>11</v>
      </c>
      <c r="F6" s="10" t="s">
        <v>9</v>
      </c>
      <c r="G6" s="10" t="s">
        <v>10</v>
      </c>
      <c r="H6" s="11" t="s">
        <v>9</v>
      </c>
      <c r="I6" s="11" t="s">
        <v>10</v>
      </c>
      <c r="J6" s="8"/>
    </row>
    <row r="7" spans="8:8">
      <c r="A7" s="12"/>
      <c r="B7" s="13"/>
      <c r="C7" s="13"/>
      <c r="D7" s="13"/>
      <c r="E7" s="13"/>
      <c r="F7" s="13"/>
      <c r="G7" s="13"/>
      <c r="H7" s="14"/>
      <c r="I7" s="14"/>
      <c r="J7" s="8"/>
    </row>
    <row r="8" spans="8:8" ht="21.95">
      <c r="A8" s="15">
        <v>1.0</v>
      </c>
      <c r="B8" s="16" t="s">
        <v>12</v>
      </c>
      <c r="C8" s="17">
        <v>14602.0</v>
      </c>
      <c r="D8" s="18"/>
      <c r="E8" s="16" t="s">
        <v>13</v>
      </c>
      <c r="F8" s="17"/>
      <c r="G8" s="19">
        <f>SUM(F8*8000)</f>
        <v>0.0</v>
      </c>
      <c r="H8" s="20"/>
      <c r="I8" s="21"/>
      <c r="J8" s="22"/>
    </row>
    <row r="9" spans="8:8" ht="21.95">
      <c r="A9" s="23">
        <v>2.0</v>
      </c>
      <c r="B9" s="24" t="s">
        <v>14</v>
      </c>
      <c r="C9" s="25">
        <v>17884.0</v>
      </c>
      <c r="D9" s="26"/>
      <c r="E9" s="24" t="s">
        <v>15</v>
      </c>
      <c r="F9" s="25">
        <v>2443.0</v>
      </c>
      <c r="G9" s="27">
        <f>SUM(F9*7000)</f>
        <v>1.7101E7</v>
      </c>
      <c r="H9" s="28"/>
      <c r="I9" s="29"/>
      <c r="J9" s="30"/>
      <c r="K9" s="31"/>
      <c r="L9" s="31"/>
      <c r="M9" s="31"/>
      <c r="N9" s="31"/>
    </row>
    <row r="10" spans="8:8" ht="21.95">
      <c r="A10" s="23">
        <v>3.0</v>
      </c>
      <c r="B10" s="24" t="s">
        <v>16</v>
      </c>
      <c r="C10" s="25">
        <v>3244.0</v>
      </c>
      <c r="D10" s="26"/>
      <c r="E10" s="24" t="s">
        <v>17</v>
      </c>
      <c r="F10" s="25"/>
      <c r="G10" s="27">
        <f>SUM(F10*7000)</f>
        <v>0.0</v>
      </c>
      <c r="H10" s="28"/>
      <c r="I10" s="29"/>
      <c r="J10" s="22"/>
    </row>
    <row r="11" spans="8:8" ht="21.95">
      <c r="A11" s="23">
        <v>4.0</v>
      </c>
      <c r="B11" s="24" t="s">
        <v>18</v>
      </c>
      <c r="C11" s="25">
        <v>2513.0</v>
      </c>
      <c r="D11" s="26"/>
      <c r="E11" s="24" t="s">
        <v>19</v>
      </c>
      <c r="F11" s="25">
        <v>3930.0</v>
      </c>
      <c r="G11" s="32">
        <f>SUM(F11*7200)</f>
        <v>2.8296E7</v>
      </c>
      <c r="H11" s="28"/>
      <c r="I11" s="29"/>
      <c r="J11" s="22"/>
    </row>
    <row r="12" spans="8:8" ht="21.95">
      <c r="A12" s="23">
        <v>5.0</v>
      </c>
      <c r="B12" s="24" t="s">
        <v>20</v>
      </c>
      <c r="C12" s="25">
        <v>15352.0</v>
      </c>
      <c r="D12" s="26"/>
      <c r="E12" s="24" t="s">
        <v>21</v>
      </c>
      <c r="F12" s="33">
        <v>4184.0</v>
      </c>
      <c r="G12" s="27">
        <f>SUM(F12*7000)</f>
        <v>2.9288E7</v>
      </c>
      <c r="H12" s="28"/>
      <c r="I12" s="29"/>
      <c r="J12" s="22"/>
    </row>
    <row r="13" spans="8:8" ht="21.95">
      <c r="A13" s="23">
        <v>6.0</v>
      </c>
      <c r="B13" s="24" t="s">
        <v>22</v>
      </c>
      <c r="C13" s="25">
        <v>8354.0</v>
      </c>
      <c r="D13" s="34"/>
      <c r="E13" s="24"/>
      <c r="F13" s="33"/>
      <c r="G13" s="35"/>
      <c r="H13" s="28"/>
      <c r="I13" s="29"/>
      <c r="J13" s="22"/>
    </row>
    <row r="14" spans="8:8" ht="21.95">
      <c r="A14" s="23">
        <v>7.0</v>
      </c>
      <c r="B14" s="24" t="s">
        <v>23</v>
      </c>
      <c r="C14" s="25">
        <v>4056.0</v>
      </c>
      <c r="D14" s="26"/>
      <c r="E14" s="24"/>
      <c r="F14" s="33"/>
      <c r="G14" s="35"/>
      <c r="H14" s="28"/>
      <c r="I14" s="29"/>
      <c r="J14" s="22"/>
    </row>
    <row r="15" spans="8:8" ht="21.95">
      <c r="A15" s="23">
        <v>8.0</v>
      </c>
      <c r="B15" s="36" t="s">
        <v>24</v>
      </c>
      <c r="C15" s="37">
        <v>19263.0</v>
      </c>
      <c r="D15" s="26"/>
      <c r="E15" s="24"/>
      <c r="F15" s="33"/>
      <c r="G15" s="35"/>
      <c r="H15" s="28"/>
      <c r="I15" s="29"/>
      <c r="J15" s="22"/>
    </row>
    <row r="16" spans="8:8" ht="21.95">
      <c r="A16" s="38">
        <v>9.0</v>
      </c>
      <c r="B16" s="39" t="s">
        <v>25</v>
      </c>
      <c r="C16" s="40">
        <v>2952.0</v>
      </c>
      <c r="D16" s="41"/>
      <c r="E16" s="39"/>
      <c r="F16" s="42"/>
      <c r="G16" s="43"/>
      <c r="H16" s="44"/>
      <c r="I16" s="45"/>
      <c r="J16" s="46"/>
    </row>
    <row r="17" spans="8:8" ht="21.95">
      <c r="A17" s="47" t="s">
        <v>26</v>
      </c>
      <c r="B17" s="47"/>
      <c r="C17" s="48">
        <f>SUM(C8+C9+C10+C11+C12+C13+C14+C15+C16)</f>
        <v>88220.0</v>
      </c>
      <c r="D17" s="48">
        <v>6.08718E8</v>
      </c>
      <c r="E17" s="49" t="s">
        <v>27</v>
      </c>
      <c r="F17" s="50">
        <f>SUM(F8+F9+F10+F11+F12)</f>
        <v>10557.0</v>
      </c>
      <c r="G17" s="51">
        <f>SUM(G8:G16)</f>
        <v>7.4685E7</v>
      </c>
      <c r="H17" s="52"/>
      <c r="I17" s="53"/>
      <c r="J17" s="54"/>
    </row>
    <row r="18" spans="8:8" ht="21.95">
      <c r="A18" s="47" t="s">
        <v>28</v>
      </c>
      <c r="B18" s="47"/>
      <c r="C18" s="48">
        <f>SUM(C17+F17)</f>
        <v>98777.0</v>
      </c>
      <c r="D18" s="48"/>
      <c r="E18" s="55"/>
      <c r="F18" s="56"/>
      <c r="G18" s="57">
        <f>SUM(D17+G17)</f>
        <v>6.83403E8</v>
      </c>
      <c r="H18" s="53"/>
      <c r="I18" s="53"/>
      <c r="J18" s="58"/>
    </row>
    <row r="19" spans="8:8" ht="18.7">
      <c r="A19" s="59"/>
      <c r="B19" s="59"/>
      <c r="C19" s="59"/>
      <c r="D19" s="59"/>
      <c r="E19" s="59"/>
      <c r="F19" s="59"/>
      <c r="G19" s="59"/>
      <c r="H19" s="59"/>
      <c r="I19" s="59"/>
      <c r="J19" s="59"/>
    </row>
    <row r="20" spans="8:8" ht="19.15">
      <c r="A20" s="59"/>
      <c r="B20" s="59"/>
      <c r="C20" s="60" t="s">
        <v>37</v>
      </c>
      <c r="D20" s="60"/>
      <c r="E20" s="60"/>
      <c r="F20" s="60"/>
      <c r="G20" s="60"/>
      <c r="H20" s="60"/>
      <c r="I20" s="60"/>
      <c r="J20" s="60"/>
    </row>
    <row r="21" spans="8:8" ht="19.15">
      <c r="A21" s="59"/>
      <c r="B21" s="59"/>
      <c r="C21" s="60" t="s">
        <v>30</v>
      </c>
      <c r="D21" s="60"/>
      <c r="E21" s="60"/>
      <c r="F21" s="60"/>
      <c r="G21" s="60"/>
      <c r="H21" s="60"/>
      <c r="I21" s="60"/>
      <c r="J21" s="60"/>
    </row>
    <row r="22" spans="8:8" ht="18.7">
      <c r="A22" s="59"/>
      <c r="B22" s="59"/>
      <c r="C22" s="59"/>
      <c r="D22" s="59"/>
      <c r="E22" s="61"/>
      <c r="F22" s="61"/>
      <c r="G22" s="61"/>
      <c r="H22" s="61"/>
      <c r="I22" s="61"/>
      <c r="J22" s="61"/>
    </row>
    <row r="23" spans="8:8" ht="18.7">
      <c r="A23" s="59"/>
      <c r="B23" s="59"/>
      <c r="C23" s="59"/>
      <c r="D23" s="59"/>
      <c r="E23" s="61"/>
      <c r="F23" s="61"/>
      <c r="G23" s="61"/>
      <c r="H23" s="61"/>
      <c r="I23" s="61"/>
      <c r="J23" s="61"/>
    </row>
    <row r="24" spans="8:8" ht="18.7">
      <c r="A24" s="59"/>
      <c r="B24" s="59"/>
      <c r="C24" s="59"/>
      <c r="D24" s="59"/>
      <c r="E24" s="61"/>
      <c r="F24" s="61"/>
      <c r="G24" s="61"/>
      <c r="H24" s="61"/>
      <c r="I24" s="61"/>
      <c r="J24" s="61"/>
    </row>
    <row r="25" spans="8:8" ht="19.15">
      <c r="A25" s="59"/>
      <c r="B25" s="59"/>
      <c r="C25" s="62" t="s">
        <v>31</v>
      </c>
      <c r="D25" s="62"/>
      <c r="E25" s="62"/>
      <c r="F25" s="62"/>
      <c r="G25" s="63"/>
      <c r="H25" s="64" t="s">
        <v>32</v>
      </c>
      <c r="I25" s="62" t="s">
        <v>33</v>
      </c>
      <c r="J25" s="62"/>
      <c r="K25" s="65"/>
    </row>
    <row r="26" spans="8:8" ht="16.35">
      <c r="A26" s="2"/>
      <c r="B26" s="2"/>
      <c r="C26" s="2"/>
      <c r="D26" s="2"/>
      <c r="E26" s="66"/>
      <c r="F26" s="66"/>
      <c r="G26" s="66"/>
      <c r="H26" s="66"/>
      <c r="I26" s="66"/>
      <c r="J26" s="66"/>
    </row>
    <row r="27" spans="8:8" ht="16.35">
      <c r="A27" s="2"/>
      <c r="B27" s="2"/>
      <c r="C27" s="2"/>
      <c r="D27" s="2"/>
      <c r="E27" s="66"/>
      <c r="F27" s="66"/>
      <c r="G27" s="66"/>
      <c r="H27" s="66"/>
      <c r="I27" s="66"/>
      <c r="J27" s="66"/>
    </row>
    <row r="28" spans="8:8">
      <c r="A28" s="2"/>
      <c r="B28" s="2"/>
      <c r="C28" s="2"/>
      <c r="D28" s="2"/>
      <c r="E28" s="2"/>
      <c r="F28" s="2"/>
      <c r="G28" s="2"/>
      <c r="H28" s="2"/>
    </row>
    <row r="29" spans="8:8">
      <c r="A29" s="2"/>
      <c r="B29" s="2"/>
      <c r="C29" s="2"/>
      <c r="D29" s="2"/>
      <c r="E29" s="2"/>
      <c r="F29" s="2"/>
      <c r="G29" s="2"/>
      <c r="H29" s="2"/>
    </row>
    <row r="30" spans="8:8">
      <c r="A30" s="2"/>
      <c r="B30" s="2"/>
      <c r="C30" s="2"/>
      <c r="D30" s="2"/>
      <c r="E30" s="2"/>
      <c r="F30" s="2"/>
      <c r="G30" s="2"/>
      <c r="H30" s="2"/>
    </row>
    <row r="31" spans="8:8">
      <c r="A31" s="2"/>
      <c r="B31" s="2"/>
      <c r="C31" s="2"/>
      <c r="D31" s="2"/>
      <c r="E31" s="2"/>
      <c r="F31" s="2"/>
      <c r="G31" s="2"/>
      <c r="H31" s="2"/>
    </row>
    <row r="32" spans="8:8">
      <c r="A32" s="2"/>
      <c r="B32" s="2"/>
      <c r="C32" s="2"/>
      <c r="D32" s="2"/>
      <c r="E32" s="2"/>
      <c r="F32" s="2"/>
      <c r="G32" s="2"/>
      <c r="H32" s="2"/>
    </row>
    <row r="33" spans="8:8">
      <c r="A33" s="2"/>
      <c r="B33" s="2"/>
      <c r="C33" s="2"/>
      <c r="D33" s="2"/>
      <c r="E33" s="2"/>
      <c r="F33" s="2"/>
      <c r="G33" s="2"/>
      <c r="H33" s="2"/>
    </row>
    <row r="34" spans="8:8">
      <c r="A34" s="2"/>
      <c r="B34" s="2"/>
      <c r="C34" s="2"/>
      <c r="D34" s="2"/>
      <c r="E34" s="2"/>
      <c r="F34" s="2"/>
      <c r="G34" s="2"/>
      <c r="H34" s="2"/>
    </row>
    <row r="35" spans="8:8">
      <c r="A35" s="2"/>
      <c r="B35" s="2"/>
      <c r="C35" s="2"/>
      <c r="D35" s="2"/>
      <c r="E35" s="2"/>
      <c r="F35" s="2"/>
      <c r="G35" s="2"/>
      <c r="H35" s="2"/>
    </row>
    <row r="36" spans="8:8">
      <c r="A36" s="2"/>
      <c r="B36" s="2"/>
      <c r="C36" s="2"/>
      <c r="D36" s="2"/>
      <c r="E36" s="2"/>
      <c r="F36" s="2"/>
      <c r="G36" s="2"/>
      <c r="H36" s="2"/>
    </row>
    <row r="37" spans="8:8">
      <c r="A37" s="2"/>
      <c r="B37" s="2"/>
      <c r="C37" s="2"/>
      <c r="D37" s="2"/>
      <c r="E37" s="2"/>
      <c r="F37" s="2"/>
      <c r="G37" s="2"/>
      <c r="H37" s="2"/>
    </row>
    <row r="38" spans="8:8">
      <c r="A38" s="2"/>
      <c r="B38" s="2"/>
      <c r="C38" s="2"/>
      <c r="D38" s="2"/>
      <c r="E38" s="2"/>
      <c r="F38" s="2"/>
      <c r="G38" s="2"/>
      <c r="H38" s="2"/>
    </row>
    <row r="39" spans="8:8">
      <c r="A39" s="2"/>
      <c r="B39" s="2"/>
      <c r="C39" s="2"/>
      <c r="D39" s="2"/>
      <c r="E39" s="2"/>
      <c r="F39" s="2"/>
      <c r="G39" s="2"/>
      <c r="H39" s="2"/>
    </row>
    <row r="40" spans="8:8">
      <c r="A40" s="2"/>
      <c r="B40" s="2"/>
      <c r="C40" s="2"/>
      <c r="D40" s="2"/>
      <c r="E40" s="2"/>
      <c r="F40" s="2"/>
      <c r="G40" s="2"/>
      <c r="H40" s="2"/>
    </row>
  </sheetData>
  <mergeCells count="9">
    <mergeCell ref="A17:B17"/>
    <mergeCell ref="A18:B18"/>
    <mergeCell ref="C20:J20"/>
    <mergeCell ref="C21:J21"/>
    <mergeCell ref="C25:F25"/>
    <mergeCell ref="I25:J25"/>
    <mergeCell ref="A1:J1"/>
    <mergeCell ref="A2:J2"/>
    <mergeCell ref="A3:J3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I40"/>
  <sheetViews>
    <sheetView workbookViewId="0" topLeftCell="B1">
      <selection activeCell="A1" sqref="A1:XFD1048576"/>
    </sheetView>
  </sheetViews>
  <sheetFormatPr defaultRowHeight="14.25" defaultColWidth="10"/>
  <cols>
    <col min="2" max="2" customWidth="1" bestFit="1" width="24.691406" style="0"/>
    <col min="3" max="3" customWidth="1" bestFit="1" width="12.152344" style="0"/>
    <col min="4" max="4" customWidth="1" bestFit="1" width="18.761719" style="0"/>
    <col min="5" max="5" customWidth="1" bestFit="1" width="16.921875" style="0"/>
    <col min="7" max="7" customWidth="1" bestFit="1" width="17.152344" style="0"/>
    <col min="10" max="10" customWidth="1" bestFit="1" width="15.691406" style="0"/>
  </cols>
  <sheetData>
    <row r="1" spans="8:8" ht="24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8:8" ht="24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8:8" ht="24.3">
      <c r="A3" s="1" t="s">
        <v>38</v>
      </c>
      <c r="B3" s="1"/>
      <c r="C3" s="1"/>
      <c r="D3" s="1"/>
      <c r="E3" s="1"/>
      <c r="F3" s="1"/>
      <c r="G3" s="1"/>
      <c r="H3" s="1"/>
      <c r="I3" s="1"/>
      <c r="J3" s="1"/>
    </row>
    <row r="4" spans="8:8">
      <c r="A4" s="2"/>
      <c r="B4" s="2"/>
      <c r="C4" s="2"/>
      <c r="D4" s="2"/>
      <c r="E4" s="2"/>
      <c r="F4" s="2"/>
      <c r="G4" s="2"/>
      <c r="H4" s="2"/>
    </row>
    <row r="5" spans="8:8" ht="16.8">
      <c r="A5" s="3" t="s">
        <v>3</v>
      </c>
      <c r="B5" s="4" t="s">
        <v>4</v>
      </c>
      <c r="C5" s="4"/>
      <c r="D5" s="4"/>
      <c r="E5" s="5" t="s">
        <v>5</v>
      </c>
      <c r="F5" s="6"/>
      <c r="G5" s="7"/>
      <c r="H5" s="5" t="s">
        <v>6</v>
      </c>
      <c r="I5" s="7"/>
      <c r="J5" s="8" t="s">
        <v>7</v>
      </c>
    </row>
    <row r="6" spans="8:8" ht="16.8">
      <c r="A6" s="9"/>
      <c r="B6" s="10" t="s">
        <v>8</v>
      </c>
      <c r="C6" s="10" t="s">
        <v>9</v>
      </c>
      <c r="D6" s="10" t="s">
        <v>10</v>
      </c>
      <c r="E6" s="10" t="s">
        <v>11</v>
      </c>
      <c r="F6" s="10" t="s">
        <v>9</v>
      </c>
      <c r="G6" s="10" t="s">
        <v>10</v>
      </c>
      <c r="H6" s="11" t="s">
        <v>9</v>
      </c>
      <c r="I6" s="11" t="s">
        <v>10</v>
      </c>
      <c r="J6" s="8"/>
    </row>
    <row r="7" spans="8:8">
      <c r="A7" s="12"/>
      <c r="B7" s="13"/>
      <c r="C7" s="13"/>
      <c r="D7" s="13"/>
      <c r="E7" s="13"/>
      <c r="F7" s="13"/>
      <c r="G7" s="13"/>
      <c r="H7" s="14"/>
      <c r="I7" s="14"/>
      <c r="J7" s="8"/>
    </row>
    <row r="8" spans="8:8" ht="21.95">
      <c r="A8" s="15">
        <v>1.0</v>
      </c>
      <c r="B8" s="16" t="s">
        <v>12</v>
      </c>
      <c r="C8" s="17">
        <v>13529.0</v>
      </c>
      <c r="D8" s="18"/>
      <c r="E8" s="16" t="s">
        <v>13</v>
      </c>
      <c r="F8" s="17"/>
      <c r="G8" s="19">
        <f>SUM(F8*8000)</f>
        <v>0.0</v>
      </c>
      <c r="H8" s="20"/>
      <c r="I8" s="21"/>
      <c r="J8" s="22"/>
    </row>
    <row r="9" spans="8:8" ht="21.95">
      <c r="A9" s="23">
        <v>2.0</v>
      </c>
      <c r="B9" s="24" t="s">
        <v>14</v>
      </c>
      <c r="C9" s="25">
        <v>16087.0</v>
      </c>
      <c r="D9" s="26"/>
      <c r="E9" s="24" t="s">
        <v>15</v>
      </c>
      <c r="F9" s="25">
        <v>2289.0</v>
      </c>
      <c r="G9" s="27">
        <f>SUM(F9*7000)</f>
        <v>1.6023E7</v>
      </c>
      <c r="H9" s="28"/>
      <c r="I9" s="29"/>
      <c r="J9" s="30"/>
      <c r="K9" s="31"/>
      <c r="L9" s="31"/>
      <c r="M9" s="31"/>
      <c r="N9" s="31"/>
    </row>
    <row r="10" spans="8:8" ht="21.95">
      <c r="A10" s="23">
        <v>3.0</v>
      </c>
      <c r="B10" s="24" t="s">
        <v>16</v>
      </c>
      <c r="C10" s="25">
        <v>2612.0</v>
      </c>
      <c r="D10" s="26"/>
      <c r="E10" s="24" t="s">
        <v>17</v>
      </c>
      <c r="F10" s="25"/>
      <c r="G10" s="27">
        <f>SUM(F10*7000)</f>
        <v>0.0</v>
      </c>
      <c r="H10" s="28"/>
      <c r="I10" s="29"/>
      <c r="J10" s="22"/>
    </row>
    <row r="11" spans="8:8" ht="21.95">
      <c r="A11" s="23">
        <v>4.0</v>
      </c>
      <c r="B11" s="24" t="s">
        <v>18</v>
      </c>
      <c r="C11" s="25">
        <v>2051.0</v>
      </c>
      <c r="D11" s="26"/>
      <c r="E11" s="24" t="s">
        <v>19</v>
      </c>
      <c r="F11" s="25">
        <v>3275.0</v>
      </c>
      <c r="G11" s="32">
        <f>SUM(F11*7200)</f>
        <v>2.358E7</v>
      </c>
      <c r="H11" s="28"/>
      <c r="I11" s="29"/>
      <c r="J11" s="22"/>
    </row>
    <row r="12" spans="8:8" ht="21.95">
      <c r="A12" s="23">
        <v>5.0</v>
      </c>
      <c r="B12" s="24" t="s">
        <v>20</v>
      </c>
      <c r="C12" s="25">
        <v>13515.0</v>
      </c>
      <c r="D12" s="26"/>
      <c r="E12" s="24" t="s">
        <v>21</v>
      </c>
      <c r="F12" s="33">
        <v>3659.0</v>
      </c>
      <c r="G12" s="27">
        <f>SUM(F12*7000)</f>
        <v>2.5613E7</v>
      </c>
      <c r="H12" s="28"/>
      <c r="I12" s="29"/>
      <c r="J12" s="22"/>
    </row>
    <row r="13" spans="8:8" ht="21.95">
      <c r="A13" s="23">
        <v>6.0</v>
      </c>
      <c r="B13" s="24" t="s">
        <v>22</v>
      </c>
      <c r="C13" s="25">
        <v>7489.0</v>
      </c>
      <c r="D13" s="34"/>
      <c r="E13" s="24"/>
      <c r="F13" s="33"/>
      <c r="G13" s="35"/>
      <c r="H13" s="28"/>
      <c r="I13" s="29"/>
      <c r="J13" s="22"/>
    </row>
    <row r="14" spans="8:8" ht="21.95">
      <c r="A14" s="23">
        <v>7.0</v>
      </c>
      <c r="B14" s="24" t="s">
        <v>23</v>
      </c>
      <c r="C14" s="25">
        <v>3501.0</v>
      </c>
      <c r="D14" s="26"/>
      <c r="E14" s="24"/>
      <c r="F14" s="33"/>
      <c r="G14" s="35"/>
      <c r="H14" s="28"/>
      <c r="I14" s="29"/>
      <c r="J14" s="22"/>
    </row>
    <row r="15" spans="8:8" ht="21.95">
      <c r="A15" s="23">
        <v>8.0</v>
      </c>
      <c r="B15" s="36" t="s">
        <v>24</v>
      </c>
      <c r="C15" s="37">
        <v>15693.0</v>
      </c>
      <c r="D15" s="26"/>
      <c r="E15" s="24"/>
      <c r="F15" s="33"/>
      <c r="G15" s="35"/>
      <c r="H15" s="28"/>
      <c r="I15" s="29"/>
      <c r="J15" s="22"/>
    </row>
    <row r="16" spans="8:8" ht="21.95">
      <c r="A16" s="38">
        <v>9.0</v>
      </c>
      <c r="B16" s="39" t="s">
        <v>25</v>
      </c>
      <c r="C16" s="40">
        <v>2987.0</v>
      </c>
      <c r="D16" s="41"/>
      <c r="E16" s="39"/>
      <c r="F16" s="42"/>
      <c r="G16" s="43"/>
      <c r="H16" s="44"/>
      <c r="I16" s="45"/>
      <c r="J16" s="46"/>
    </row>
    <row r="17" spans="8:8" ht="21.95">
      <c r="A17" s="47" t="s">
        <v>26</v>
      </c>
      <c r="B17" s="47"/>
      <c r="C17" s="48">
        <f>SUM(C8+C9+C10+C11+C12+C13+C14+C15+C16)</f>
        <v>77464.0</v>
      </c>
      <c r="D17" s="48">
        <v>5.654872E8</v>
      </c>
      <c r="E17" s="49" t="s">
        <v>27</v>
      </c>
      <c r="F17" s="50">
        <f>SUM(F8+F9+F10+F11+F12)</f>
        <v>9223.0</v>
      </c>
      <c r="G17" s="51">
        <f>SUM(G8:G16)</f>
        <v>6.5216E7</v>
      </c>
      <c r="H17" s="52"/>
      <c r="I17" s="53"/>
      <c r="J17" s="54"/>
    </row>
    <row r="18" spans="8:8" ht="21.95">
      <c r="A18" s="47" t="s">
        <v>28</v>
      </c>
      <c r="B18" s="47"/>
      <c r="C18" s="48">
        <f>SUM(C17+F17)</f>
        <v>86687.0</v>
      </c>
      <c r="D18" s="48"/>
      <c r="E18" s="55"/>
      <c r="F18" s="56"/>
      <c r="G18" s="57">
        <f>SUM(D17+G17)</f>
        <v>6.307032E8</v>
      </c>
      <c r="H18" s="53"/>
      <c r="I18" s="53"/>
      <c r="J18" s="58"/>
    </row>
    <row r="19" spans="8:8" ht="18.7">
      <c r="A19" s="59"/>
      <c r="B19" s="59"/>
      <c r="C19" s="59"/>
      <c r="D19" s="59"/>
      <c r="E19" s="59"/>
      <c r="F19" s="59"/>
      <c r="G19" s="59"/>
      <c r="H19" s="59"/>
      <c r="I19" s="59"/>
      <c r="J19" s="59"/>
    </row>
    <row r="20" spans="8:8" ht="19.15">
      <c r="A20" s="59"/>
      <c r="B20" s="59"/>
      <c r="C20" s="60" t="s">
        <v>39</v>
      </c>
      <c r="D20" s="60"/>
      <c r="E20" s="60"/>
      <c r="F20" s="60"/>
      <c r="G20" s="60"/>
      <c r="H20" s="60"/>
      <c r="I20" s="60"/>
      <c r="J20" s="60"/>
    </row>
    <row r="21" spans="8:8" ht="19.15">
      <c r="A21" s="59"/>
      <c r="B21" s="59"/>
      <c r="C21" s="60" t="s">
        <v>30</v>
      </c>
      <c r="D21" s="60"/>
      <c r="E21" s="60"/>
      <c r="F21" s="60"/>
      <c r="G21" s="60"/>
      <c r="H21" s="60"/>
      <c r="I21" s="60"/>
      <c r="J21" s="60"/>
    </row>
    <row r="22" spans="8:8" ht="18.7">
      <c r="A22" s="59"/>
      <c r="B22" s="59"/>
      <c r="C22" s="59"/>
      <c r="D22" s="59"/>
      <c r="E22" s="61"/>
      <c r="F22" s="61"/>
      <c r="G22" s="61"/>
      <c r="H22" s="61"/>
      <c r="I22" s="61"/>
      <c r="J22" s="61"/>
    </row>
    <row r="23" spans="8:8" ht="18.7">
      <c r="A23" s="59"/>
      <c r="B23" s="59"/>
      <c r="C23" s="59"/>
      <c r="D23" s="59"/>
      <c r="E23" s="61"/>
      <c r="F23" s="61"/>
      <c r="G23" s="61"/>
      <c r="H23" s="61"/>
      <c r="I23" s="61"/>
      <c r="J23" s="61"/>
    </row>
    <row r="24" spans="8:8" ht="18.7">
      <c r="A24" s="59"/>
      <c r="B24" s="59"/>
      <c r="C24" s="59"/>
      <c r="D24" s="59"/>
      <c r="E24" s="61"/>
      <c r="F24" s="61"/>
      <c r="G24" s="61"/>
      <c r="H24" s="61"/>
      <c r="I24" s="61"/>
      <c r="J24" s="61"/>
    </row>
    <row r="25" spans="8:8" ht="19.15">
      <c r="A25" s="59"/>
      <c r="B25" s="59"/>
      <c r="C25" s="62" t="s">
        <v>31</v>
      </c>
      <c r="D25" s="62"/>
      <c r="E25" s="62"/>
      <c r="F25" s="62"/>
      <c r="G25" s="63"/>
      <c r="H25" s="64" t="s">
        <v>32</v>
      </c>
      <c r="I25" s="62" t="s">
        <v>33</v>
      </c>
      <c r="J25" s="62"/>
      <c r="K25" s="65"/>
    </row>
    <row r="26" spans="8:8" ht="16.35">
      <c r="A26" s="2"/>
      <c r="B26" s="2"/>
      <c r="C26" s="2"/>
      <c r="D26" s="2"/>
      <c r="E26" s="66"/>
      <c r="F26" s="66"/>
      <c r="G26" s="66"/>
      <c r="H26" s="66"/>
      <c r="I26" s="66"/>
      <c r="J26" s="66"/>
    </row>
    <row r="27" spans="8:8" ht="16.35">
      <c r="A27" s="2"/>
      <c r="B27" s="2"/>
      <c r="C27" s="2"/>
      <c r="D27" s="2"/>
      <c r="E27" s="66"/>
      <c r="F27" s="66"/>
      <c r="G27" s="66"/>
      <c r="H27" s="66"/>
      <c r="I27" s="66"/>
      <c r="J27" s="66"/>
    </row>
    <row r="28" spans="8:8">
      <c r="A28" s="2"/>
      <c r="B28" s="2"/>
      <c r="C28" s="2"/>
      <c r="D28" s="2"/>
      <c r="E28" s="2"/>
      <c r="F28" s="2"/>
      <c r="G28" s="2"/>
      <c r="H28" s="2"/>
    </row>
    <row r="29" spans="8:8">
      <c r="A29" s="2"/>
      <c r="B29" s="2"/>
      <c r="C29" s="2"/>
      <c r="D29" s="2"/>
      <c r="E29" s="2"/>
      <c r="F29" s="2"/>
      <c r="G29" s="2"/>
      <c r="H29" s="2"/>
    </row>
    <row r="30" spans="8:8">
      <c r="A30" s="2"/>
      <c r="B30" s="2"/>
      <c r="C30" s="2"/>
      <c r="D30" s="2"/>
      <c r="E30" s="2"/>
      <c r="F30" s="2"/>
      <c r="G30" s="2"/>
      <c r="H30" s="2"/>
    </row>
    <row r="31" spans="8:8">
      <c r="A31" s="2"/>
      <c r="B31" s="2"/>
      <c r="C31" s="2"/>
      <c r="D31" s="2"/>
      <c r="E31" s="2"/>
      <c r="F31" s="2"/>
      <c r="G31" s="2"/>
      <c r="H31" s="2"/>
    </row>
    <row r="32" spans="8:8">
      <c r="A32" s="2"/>
      <c r="B32" s="2"/>
      <c r="C32" s="2"/>
      <c r="D32" s="2"/>
      <c r="E32" s="2"/>
      <c r="F32" s="2"/>
      <c r="G32" s="2"/>
      <c r="H32" s="2"/>
    </row>
    <row r="33" spans="8:8">
      <c r="A33" s="2"/>
      <c r="B33" s="2"/>
      <c r="C33" s="2"/>
      <c r="D33" s="2"/>
      <c r="E33" s="2"/>
      <c r="F33" s="2"/>
      <c r="G33" s="2"/>
      <c r="H33" s="2"/>
    </row>
    <row r="34" spans="8:8">
      <c r="A34" s="2"/>
      <c r="B34" s="2"/>
      <c r="C34" s="2"/>
      <c r="D34" s="2"/>
      <c r="E34" s="2"/>
      <c r="F34" s="2"/>
      <c r="G34" s="2"/>
      <c r="H34" s="2"/>
    </row>
    <row r="35" spans="8:8">
      <c r="A35" s="2"/>
      <c r="B35" s="2"/>
      <c r="C35" s="2"/>
      <c r="D35" s="2"/>
      <c r="E35" s="2"/>
      <c r="F35" s="2"/>
      <c r="G35" s="2"/>
      <c r="H35" s="2"/>
    </row>
    <row r="36" spans="8:8">
      <c r="A36" s="2"/>
      <c r="B36" s="2"/>
      <c r="C36" s="2"/>
      <c r="D36" s="2"/>
      <c r="E36" s="2"/>
      <c r="F36" s="2"/>
      <c r="G36" s="2"/>
      <c r="H36" s="2"/>
    </row>
    <row r="37" spans="8:8">
      <c r="A37" s="2"/>
      <c r="B37" s="2"/>
      <c r="C37" s="2"/>
      <c r="D37" s="2"/>
      <c r="E37" s="2"/>
      <c r="F37" s="2"/>
      <c r="G37" s="2"/>
      <c r="H37" s="2"/>
    </row>
    <row r="38" spans="8:8">
      <c r="A38" s="2"/>
      <c r="B38" s="2"/>
      <c r="C38" s="2"/>
      <c r="D38" s="2"/>
      <c r="E38" s="2"/>
      <c r="F38" s="2"/>
      <c r="G38" s="2"/>
      <c r="H38" s="2"/>
    </row>
    <row r="39" spans="8:8">
      <c r="A39" s="2"/>
      <c r="B39" s="2"/>
      <c r="C39" s="2"/>
      <c r="D39" s="2"/>
      <c r="E39" s="2"/>
      <c r="F39" s="2"/>
      <c r="G39" s="2"/>
      <c r="H39" s="2"/>
    </row>
    <row r="40" spans="8:8">
      <c r="A40" s="2"/>
      <c r="B40" s="2"/>
      <c r="C40" s="2"/>
      <c r="D40" s="2"/>
      <c r="E40" s="2"/>
      <c r="F40" s="2"/>
      <c r="G40" s="2"/>
      <c r="H40" s="2"/>
    </row>
  </sheetData>
  <mergeCells count="9">
    <mergeCell ref="A3:J3"/>
    <mergeCell ref="A2:J2"/>
    <mergeCell ref="I25:J25"/>
    <mergeCell ref="C25:F25"/>
    <mergeCell ref="A1:J1"/>
    <mergeCell ref="C21:J21"/>
    <mergeCell ref="C20:J20"/>
    <mergeCell ref="A18:B18"/>
    <mergeCell ref="A17:B17"/>
  </mergeCells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F40"/>
  <sheetViews>
    <sheetView workbookViewId="0">
      <selection activeCell="C21" sqref="C21:J21"/>
    </sheetView>
  </sheetViews>
  <sheetFormatPr defaultRowHeight="14.25" defaultColWidth="10"/>
  <cols>
    <col min="2" max="2" customWidth="1" bestFit="1" width="24.691406" style="0"/>
    <col min="3" max="3" customWidth="1" bestFit="1" width="12.152344" style="0"/>
    <col min="4" max="4" customWidth="1" bestFit="1" width="18.761719" style="0"/>
    <col min="5" max="5" customWidth="1" bestFit="1" width="16.921875" style="0"/>
    <col min="7" max="7" customWidth="1" bestFit="1" width="17.152344" style="0"/>
    <col min="10" max="10" customWidth="1" bestFit="1" width="15.691406" style="0"/>
  </cols>
  <sheetData>
    <row r="1" spans="8:8" ht="24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8:8" ht="24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8:8" ht="24.3">
      <c r="A3" s="1" t="s">
        <v>40</v>
      </c>
      <c r="B3" s="1"/>
      <c r="C3" s="1"/>
      <c r="D3" s="1"/>
      <c r="E3" s="1"/>
      <c r="F3" s="1"/>
      <c r="G3" s="1"/>
      <c r="H3" s="1"/>
      <c r="I3" s="1"/>
      <c r="J3" s="1"/>
    </row>
    <row r="4" spans="8:8">
      <c r="A4" s="2"/>
      <c r="B4" s="2"/>
      <c r="C4" s="2"/>
      <c r="D4" s="2"/>
      <c r="E4" s="2"/>
      <c r="F4" s="2"/>
      <c r="G4" s="2"/>
      <c r="H4" s="2"/>
    </row>
    <row r="5" spans="8:8" ht="16.8">
      <c r="A5" s="3" t="s">
        <v>3</v>
      </c>
      <c r="B5" s="4" t="s">
        <v>4</v>
      </c>
      <c r="C5" s="4"/>
      <c r="D5" s="4"/>
      <c r="E5" s="5" t="s">
        <v>5</v>
      </c>
      <c r="F5" s="6"/>
      <c r="G5" s="7"/>
      <c r="H5" s="5" t="s">
        <v>6</v>
      </c>
      <c r="I5" s="7"/>
      <c r="J5" s="8" t="s">
        <v>7</v>
      </c>
    </row>
    <row r="6" spans="8:8" ht="16.8">
      <c r="A6" s="9"/>
      <c r="B6" s="10" t="s">
        <v>8</v>
      </c>
      <c r="C6" s="10" t="s">
        <v>9</v>
      </c>
      <c r="D6" s="10" t="s">
        <v>10</v>
      </c>
      <c r="E6" s="10" t="s">
        <v>11</v>
      </c>
      <c r="F6" s="10" t="s">
        <v>9</v>
      </c>
      <c r="G6" s="10" t="s">
        <v>10</v>
      </c>
      <c r="H6" s="11" t="s">
        <v>9</v>
      </c>
      <c r="I6" s="11" t="s">
        <v>10</v>
      </c>
      <c r="J6" s="8"/>
    </row>
    <row r="7" spans="8:8">
      <c r="A7" s="12"/>
      <c r="B7" s="13"/>
      <c r="C7" s="13"/>
      <c r="D7" s="13"/>
      <c r="E7" s="13"/>
      <c r="F7" s="13"/>
      <c r="G7" s="13"/>
      <c r="H7" s="14"/>
      <c r="I7" s="14"/>
      <c r="J7" s="8"/>
    </row>
    <row r="8" spans="8:8" ht="21.95">
      <c r="A8" s="15">
        <v>1.0</v>
      </c>
      <c r="B8" s="16" t="s">
        <v>12</v>
      </c>
      <c r="C8" s="17">
        <v>14452.0</v>
      </c>
      <c r="D8" s="18"/>
      <c r="E8" s="16" t="s">
        <v>13</v>
      </c>
      <c r="F8" s="17"/>
      <c r="G8" s="19">
        <f>SUM(F8*8000)</f>
        <v>0.0</v>
      </c>
      <c r="H8" s="20"/>
      <c r="I8" s="21"/>
      <c r="J8" s="22"/>
    </row>
    <row r="9" spans="8:8" ht="21.95">
      <c r="A9" s="23">
        <v>2.0</v>
      </c>
      <c r="B9" s="24" t="s">
        <v>14</v>
      </c>
      <c r="C9" s="25">
        <v>18258.0</v>
      </c>
      <c r="D9" s="26"/>
      <c r="E9" s="24" t="s">
        <v>15</v>
      </c>
      <c r="F9" s="25">
        <v>3455.0</v>
      </c>
      <c r="G9" s="27">
        <f>SUM(F9*7200)</f>
        <v>2.4876E7</v>
      </c>
      <c r="H9" s="28"/>
      <c r="I9" s="29"/>
      <c r="J9" s="30"/>
      <c r="K9" s="31"/>
      <c r="L9" s="31"/>
      <c r="M9" s="31"/>
      <c r="N9" s="31"/>
    </row>
    <row r="10" spans="8:8" ht="21.95">
      <c r="A10" s="23">
        <v>3.0</v>
      </c>
      <c r="B10" s="24" t="s">
        <v>16</v>
      </c>
      <c r="C10" s="25">
        <v>3327.0</v>
      </c>
      <c r="D10" s="26"/>
      <c r="E10" s="24" t="s">
        <v>17</v>
      </c>
      <c r="F10" s="25"/>
      <c r="G10" s="27">
        <f>SUM(F10*7000)</f>
        <v>0.0</v>
      </c>
      <c r="H10" s="28"/>
      <c r="I10" s="29"/>
      <c r="J10" s="22"/>
    </row>
    <row r="11" spans="8:8" ht="21.95">
      <c r="A11" s="23">
        <v>4.0</v>
      </c>
      <c r="B11" s="24" t="s">
        <v>18</v>
      </c>
      <c r="C11" s="25">
        <v>2426.0</v>
      </c>
      <c r="D11" s="26"/>
      <c r="E11" s="24" t="s">
        <v>19</v>
      </c>
      <c r="F11" s="25">
        <v>3530.0</v>
      </c>
      <c r="G11" s="32">
        <f>SUM(F11*7500)</f>
        <v>2.6475E7</v>
      </c>
      <c r="H11" s="28"/>
      <c r="I11" s="29"/>
      <c r="J11" s="22"/>
    </row>
    <row r="12" spans="8:8" ht="21.95">
      <c r="A12" s="23">
        <v>5.0</v>
      </c>
      <c r="B12" s="24" t="s">
        <v>20</v>
      </c>
      <c r="C12" s="25">
        <v>16417.0</v>
      </c>
      <c r="D12" s="26"/>
      <c r="E12" s="24" t="s">
        <v>21</v>
      </c>
      <c r="F12" s="33">
        <v>3916.0</v>
      </c>
      <c r="G12" s="27">
        <f>SUM(F12*7500)</f>
        <v>2.937E7</v>
      </c>
      <c r="H12" s="28"/>
      <c r="I12" s="29"/>
      <c r="J12" s="22"/>
    </row>
    <row r="13" spans="8:8" ht="21.95">
      <c r="A13" s="23">
        <v>6.0</v>
      </c>
      <c r="B13" s="24" t="s">
        <v>22</v>
      </c>
      <c r="C13" s="25">
        <v>9061.0</v>
      </c>
      <c r="D13" s="34"/>
      <c r="E13" s="24"/>
      <c r="F13" s="33"/>
      <c r="G13" s="35"/>
      <c r="H13" s="28"/>
      <c r="I13" s="29"/>
      <c r="J13" s="22"/>
    </row>
    <row r="14" spans="8:8" ht="21.95">
      <c r="A14" s="23">
        <v>7.0</v>
      </c>
      <c r="B14" s="24" t="s">
        <v>23</v>
      </c>
      <c r="C14" s="25">
        <v>3651.0</v>
      </c>
      <c r="D14" s="26"/>
      <c r="E14" s="24"/>
      <c r="F14" s="33"/>
      <c r="G14" s="35"/>
      <c r="H14" s="28"/>
      <c r="I14" s="29"/>
      <c r="J14" s="22"/>
    </row>
    <row r="15" spans="8:8" ht="21.95">
      <c r="A15" s="23">
        <v>8.0</v>
      </c>
      <c r="B15" s="36" t="s">
        <v>24</v>
      </c>
      <c r="C15" s="37">
        <v>17250.0</v>
      </c>
      <c r="D15" s="26"/>
      <c r="E15" s="24"/>
      <c r="F15" s="33"/>
      <c r="G15" s="35"/>
      <c r="H15" s="28"/>
      <c r="I15" s="29"/>
      <c r="J15" s="22"/>
    </row>
    <row r="16" spans="8:8" ht="21.95">
      <c r="A16" s="38">
        <v>9.0</v>
      </c>
      <c r="B16" s="39" t="s">
        <v>25</v>
      </c>
      <c r="C16" s="40">
        <v>2299.0</v>
      </c>
      <c r="D16" s="41"/>
      <c r="E16" s="39"/>
      <c r="F16" s="42"/>
      <c r="G16" s="43"/>
      <c r="H16" s="44"/>
      <c r="I16" s="45"/>
      <c r="J16" s="46"/>
    </row>
    <row r="17" spans="8:8" ht="21.95">
      <c r="A17" s="47" t="s">
        <v>26</v>
      </c>
      <c r="B17" s="47"/>
      <c r="C17" s="48">
        <f>SUM(C8+C9+C10+C11+C12+C13+C14+C15+C16)</f>
        <v>87141.0</v>
      </c>
      <c r="D17" s="48">
        <v>6.361293E8</v>
      </c>
      <c r="E17" s="49" t="s">
        <v>27</v>
      </c>
      <c r="F17" s="50">
        <f>SUM(F8+F9+F10+F11+F12)</f>
        <v>10901.0</v>
      </c>
      <c r="G17" s="51">
        <f>SUM(G8:G16)</f>
        <v>8.0721E7</v>
      </c>
      <c r="H17" s="52"/>
      <c r="I17" s="53"/>
      <c r="J17" s="54"/>
    </row>
    <row r="18" spans="8:8" ht="21.95">
      <c r="A18" s="47" t="s">
        <v>28</v>
      </c>
      <c r="B18" s="47"/>
      <c r="C18" s="48">
        <f>SUM(C17+F17)</f>
        <v>98042.0</v>
      </c>
      <c r="D18" s="48"/>
      <c r="E18" s="55"/>
      <c r="F18" s="56"/>
      <c r="G18" s="57">
        <f>SUM(D17+G17)</f>
        <v>7.168503E8</v>
      </c>
      <c r="H18" s="53"/>
      <c r="I18" s="53"/>
      <c r="J18" s="58"/>
    </row>
    <row r="19" spans="8:8" ht="18.7">
      <c r="A19" s="59"/>
      <c r="B19" s="59"/>
      <c r="C19" s="59"/>
      <c r="D19" s="59"/>
      <c r="E19" s="59"/>
      <c r="F19" s="59"/>
      <c r="G19" s="59"/>
      <c r="H19" s="59"/>
      <c r="I19" s="59"/>
      <c r="J19" s="59"/>
    </row>
    <row r="20" spans="8:8" ht="19.15">
      <c r="A20" s="59"/>
      <c r="B20" s="59"/>
      <c r="C20" s="60" t="s">
        <v>41</v>
      </c>
      <c r="D20" s="60"/>
      <c r="E20" s="60"/>
      <c r="F20" s="60"/>
      <c r="G20" s="60"/>
      <c r="H20" s="60"/>
      <c r="I20" s="60"/>
      <c r="J20" s="60"/>
    </row>
    <row r="21" spans="8:8" ht="19.15">
      <c r="A21" s="59"/>
      <c r="B21" s="59"/>
      <c r="C21" s="60" t="s">
        <v>30</v>
      </c>
      <c r="D21" s="60"/>
      <c r="E21" s="60"/>
      <c r="F21" s="60"/>
      <c r="G21" s="60"/>
      <c r="H21" s="60"/>
      <c r="I21" s="60"/>
      <c r="J21" s="60"/>
    </row>
    <row r="22" spans="8:8" ht="18.7">
      <c r="A22" s="59"/>
      <c r="B22" s="59"/>
      <c r="C22" s="59"/>
      <c r="D22" s="59"/>
      <c r="E22" s="61"/>
      <c r="F22" s="61"/>
      <c r="G22" s="61"/>
      <c r="H22" s="61"/>
      <c r="I22" s="61"/>
      <c r="J22" s="61"/>
    </row>
    <row r="23" spans="8:8" ht="18.7">
      <c r="A23" s="59"/>
      <c r="B23" s="59"/>
      <c r="C23" s="59"/>
      <c r="D23" s="59"/>
      <c r="E23" s="61"/>
      <c r="F23" s="61"/>
      <c r="G23" s="61"/>
      <c r="H23" s="61"/>
      <c r="I23" s="61"/>
      <c r="J23" s="61"/>
    </row>
    <row r="24" spans="8:8" ht="18.7">
      <c r="A24" s="59"/>
      <c r="B24" s="59"/>
      <c r="C24" s="59"/>
      <c r="D24" s="59"/>
      <c r="E24" s="61"/>
      <c r="F24" s="61"/>
      <c r="G24" s="61"/>
      <c r="H24" s="61"/>
      <c r="I24" s="61"/>
      <c r="J24" s="61"/>
    </row>
    <row r="25" spans="8:8" ht="19.15">
      <c r="A25" s="59"/>
      <c r="B25" s="59"/>
      <c r="C25" s="62" t="s">
        <v>31</v>
      </c>
      <c r="D25" s="62"/>
      <c r="E25" s="62"/>
      <c r="F25" s="62"/>
      <c r="G25" s="63"/>
      <c r="H25" s="64" t="s">
        <v>32</v>
      </c>
      <c r="I25" s="62" t="s">
        <v>33</v>
      </c>
      <c r="J25" s="62"/>
      <c r="K25" s="65"/>
    </row>
    <row r="26" spans="8:8" ht="16.35">
      <c r="A26" s="2"/>
      <c r="B26" s="2"/>
      <c r="C26" s="2"/>
      <c r="D26" s="2"/>
      <c r="E26" s="66"/>
      <c r="F26" s="66"/>
      <c r="G26" s="66"/>
      <c r="H26" s="66"/>
      <c r="I26" s="66"/>
      <c r="J26" s="66"/>
    </row>
    <row r="27" spans="8:8" ht="16.35">
      <c r="A27" s="2"/>
      <c r="B27" s="2"/>
      <c r="C27" s="2"/>
      <c r="D27" s="2"/>
      <c r="E27" s="66"/>
      <c r="F27" s="66"/>
      <c r="G27" s="66"/>
      <c r="H27" s="66"/>
      <c r="I27" s="66"/>
      <c r="J27" s="66"/>
    </row>
    <row r="28" spans="8:8">
      <c r="A28" s="2"/>
      <c r="B28" s="2"/>
      <c r="C28" s="2"/>
      <c r="D28" s="2"/>
      <c r="E28" s="2"/>
      <c r="F28" s="2"/>
      <c r="G28" s="2"/>
      <c r="H28" s="2"/>
    </row>
    <row r="29" spans="8:8">
      <c r="A29" s="2"/>
      <c r="B29" s="2"/>
      <c r="C29" s="2"/>
      <c r="D29" s="2"/>
      <c r="E29" s="2"/>
      <c r="F29" s="2"/>
      <c r="G29" s="2"/>
      <c r="H29" s="2"/>
    </row>
    <row r="30" spans="8:8">
      <c r="A30" s="2"/>
      <c r="B30" s="2"/>
      <c r="C30" s="2"/>
      <c r="D30" s="2"/>
      <c r="E30" s="2"/>
      <c r="F30" s="2"/>
      <c r="G30" s="2"/>
      <c r="H30" s="2"/>
    </row>
    <row r="31" spans="8:8">
      <c r="A31" s="2"/>
      <c r="B31" s="2"/>
      <c r="C31" s="2"/>
      <c r="D31" s="2"/>
      <c r="E31" s="2"/>
      <c r="F31" s="2"/>
      <c r="G31" s="2"/>
      <c r="H31" s="2"/>
    </row>
    <row r="32" spans="8:8">
      <c r="A32" s="2"/>
      <c r="B32" s="2"/>
      <c r="C32" s="2"/>
      <c r="D32" s="2"/>
      <c r="E32" s="2"/>
      <c r="F32" s="2"/>
      <c r="G32" s="2"/>
      <c r="H32" s="2"/>
    </row>
    <row r="33" spans="8:8">
      <c r="A33" s="2"/>
      <c r="B33" s="2"/>
      <c r="C33" s="2"/>
      <c r="D33" s="2"/>
      <c r="E33" s="2"/>
      <c r="F33" s="2"/>
      <c r="G33" s="2"/>
      <c r="H33" s="2"/>
    </row>
    <row r="34" spans="8:8">
      <c r="A34" s="2"/>
      <c r="B34" s="2"/>
      <c r="C34" s="2"/>
      <c r="D34" s="2"/>
      <c r="E34" s="2"/>
      <c r="F34" s="2"/>
      <c r="G34" s="2"/>
      <c r="H34" s="2"/>
    </row>
    <row r="35" spans="8:8">
      <c r="A35" s="2"/>
      <c r="B35" s="2"/>
      <c r="C35" s="2"/>
      <c r="D35" s="2"/>
      <c r="E35" s="2"/>
      <c r="F35" s="2"/>
      <c r="G35" s="2"/>
      <c r="H35" s="2"/>
    </row>
    <row r="36" spans="8:8">
      <c r="A36" s="2"/>
      <c r="B36" s="2"/>
      <c r="C36" s="2"/>
      <c r="D36" s="2"/>
      <c r="E36" s="2"/>
      <c r="F36" s="2"/>
      <c r="G36" s="2"/>
      <c r="H36" s="2"/>
    </row>
    <row r="37" spans="8:8">
      <c r="A37" s="2"/>
      <c r="B37" s="2"/>
      <c r="C37" s="2"/>
      <c r="D37" s="2"/>
      <c r="E37" s="2"/>
      <c r="F37" s="2"/>
      <c r="G37" s="2"/>
      <c r="H37" s="2"/>
    </row>
    <row r="38" spans="8:8">
      <c r="A38" s="2"/>
      <c r="B38" s="2"/>
      <c r="C38" s="2"/>
      <c r="D38" s="2"/>
      <c r="E38" s="2"/>
      <c r="F38" s="2"/>
      <c r="G38" s="2"/>
      <c r="H38" s="2"/>
    </row>
    <row r="39" spans="8:8">
      <c r="A39" s="2"/>
      <c r="B39" s="2"/>
      <c r="C39" s="2"/>
      <c r="D39" s="2"/>
      <c r="E39" s="2"/>
      <c r="F39" s="2"/>
      <c r="G39" s="2"/>
      <c r="H39" s="2"/>
    </row>
    <row r="40" spans="8:8">
      <c r="A40" s="2"/>
      <c r="B40" s="2"/>
      <c r="C40" s="2"/>
      <c r="D40" s="2"/>
      <c r="E40" s="2"/>
      <c r="F40" s="2"/>
      <c r="G40" s="2"/>
      <c r="H40" s="2"/>
    </row>
  </sheetData>
  <mergeCells count="9">
    <mergeCell ref="A17:B17"/>
    <mergeCell ref="A18:B18"/>
    <mergeCell ref="C20:J20"/>
    <mergeCell ref="C21:J21"/>
    <mergeCell ref="C25:F25"/>
    <mergeCell ref="I25:J25"/>
    <mergeCell ref="A1:J1"/>
    <mergeCell ref="A2:J2"/>
    <mergeCell ref="A3:J3"/>
  </mergeCells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AY40"/>
  <sheetViews>
    <sheetView workbookViewId="0" zoomScale="87">
      <selection activeCell="C21" sqref="C21:J21"/>
    </sheetView>
  </sheetViews>
  <sheetFormatPr defaultRowHeight="16.25" defaultColWidth="10"/>
  <cols>
    <col min="2" max="2" customWidth="1" bestFit="1" width="24.691406" style="0"/>
    <col min="3" max="3" customWidth="1" bestFit="1" width="12.152344" style="0"/>
    <col min="4" max="4" customWidth="1" bestFit="1" width="18.761719" style="0"/>
    <col min="5" max="5" customWidth="1" bestFit="1" width="16.921875" style="0"/>
    <col min="7" max="7" customWidth="1" bestFit="1" width="17.152344" style="0"/>
    <col min="10" max="10" customWidth="1" bestFit="1" width="15.691406" style="0"/>
  </cols>
  <sheetData>
    <row r="1" spans="8:8" ht="24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8:8" ht="24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8:8" ht="26.85">
      <c r="A3" s="1" t="s">
        <v>49</v>
      </c>
      <c r="B3" s="1"/>
      <c r="C3" s="1"/>
      <c r="D3" s="1"/>
      <c r="E3" s="1"/>
      <c r="F3" s="1"/>
      <c r="G3" s="1"/>
      <c r="H3" s="1"/>
      <c r="I3" s="1"/>
      <c r="J3" s="1"/>
    </row>
    <row r="4" spans="8:8">
      <c r="A4" s="2"/>
      <c r="B4" s="2"/>
      <c r="C4" s="2"/>
      <c r="D4" s="2"/>
      <c r="E4" s="2"/>
      <c r="F4" s="2"/>
      <c r="G4" s="2"/>
      <c r="H4" s="2"/>
    </row>
    <row r="5" spans="8:8" ht="16.8">
      <c r="A5" s="3" t="s">
        <v>3</v>
      </c>
      <c r="B5" s="4" t="s">
        <v>4</v>
      </c>
      <c r="C5" s="4"/>
      <c r="D5" s="4"/>
      <c r="E5" s="5" t="s">
        <v>5</v>
      </c>
      <c r="F5" s="6"/>
      <c r="G5" s="7"/>
      <c r="H5" s="5" t="s">
        <v>6</v>
      </c>
      <c r="I5" s="7"/>
      <c r="J5" s="8" t="s">
        <v>7</v>
      </c>
    </row>
    <row r="6" spans="8:8" ht="16.8">
      <c r="A6" s="9"/>
      <c r="B6" s="10" t="s">
        <v>8</v>
      </c>
      <c r="C6" s="10" t="s">
        <v>9</v>
      </c>
      <c r="D6" s="10" t="s">
        <v>10</v>
      </c>
      <c r="E6" s="10" t="s">
        <v>11</v>
      </c>
      <c r="F6" s="10" t="s">
        <v>9</v>
      </c>
      <c r="G6" s="10" t="s">
        <v>10</v>
      </c>
      <c r="H6" s="11" t="s">
        <v>9</v>
      </c>
      <c r="I6" s="11" t="s">
        <v>10</v>
      </c>
      <c r="J6" s="8"/>
    </row>
    <row r="7" spans="8:8">
      <c r="A7" s="12"/>
      <c r="B7" s="13"/>
      <c r="C7" s="13"/>
      <c r="D7" s="13"/>
      <c r="E7" s="13"/>
      <c r="F7" s="13"/>
      <c r="G7" s="13"/>
      <c r="H7" s="14"/>
      <c r="I7" s="14"/>
      <c r="J7" s="8"/>
    </row>
    <row r="8" spans="8:8" ht="21.95">
      <c r="A8" s="15">
        <v>1.0</v>
      </c>
      <c r="B8" s="16" t="s">
        <v>12</v>
      </c>
      <c r="C8" s="17">
        <v>13743.0</v>
      </c>
      <c r="D8" s="18"/>
      <c r="E8" s="16" t="s">
        <v>42</v>
      </c>
      <c r="F8" s="17">
        <v>1600.0</v>
      </c>
      <c r="G8" s="19">
        <f>SUM(F8*7200)</f>
        <v>1.152E7</v>
      </c>
      <c r="H8" s="20"/>
      <c r="I8" s="21"/>
      <c r="J8" s="22"/>
    </row>
    <row r="9" spans="8:8" ht="21.95">
      <c r="A9" s="23">
        <v>2.0</v>
      </c>
      <c r="B9" s="24" t="s">
        <v>14</v>
      </c>
      <c r="C9" s="25">
        <v>17953.0</v>
      </c>
      <c r="D9" s="26"/>
      <c r="E9" s="24" t="s">
        <v>15</v>
      </c>
      <c r="F9" s="25">
        <v>1800.0</v>
      </c>
      <c r="G9" s="27">
        <f>SUM(F9*7200)</f>
        <v>1.296E7</v>
      </c>
      <c r="H9" s="28"/>
      <c r="I9" s="29"/>
      <c r="J9" s="30"/>
      <c r="K9" s="31"/>
      <c r="L9" s="31"/>
      <c r="M9" s="31"/>
      <c r="N9" s="31"/>
    </row>
    <row r="10" spans="8:8" ht="21.95">
      <c r="A10" s="23">
        <v>3.0</v>
      </c>
      <c r="B10" s="24" t="s">
        <v>16</v>
      </c>
      <c r="C10" s="25">
        <v>2633.0</v>
      </c>
      <c r="D10" s="26"/>
      <c r="E10" s="24" t="s">
        <v>17</v>
      </c>
      <c r="F10" s="25"/>
      <c r="G10" s="27">
        <f>SUM(F10*7000)</f>
        <v>0.0</v>
      </c>
      <c r="H10" s="28"/>
      <c r="I10" s="29"/>
      <c r="J10" s="22"/>
    </row>
    <row r="11" spans="8:8" ht="21.95">
      <c r="A11" s="23">
        <v>4.0</v>
      </c>
      <c r="B11" s="24" t="s">
        <v>18</v>
      </c>
      <c r="C11" s="25">
        <v>3015.0</v>
      </c>
      <c r="D11" s="26"/>
      <c r="E11" s="24" t="s">
        <v>19</v>
      </c>
      <c r="F11" s="25">
        <v>2550.0</v>
      </c>
      <c r="G11" s="32">
        <f>SUM(F11*7500)</f>
        <v>1.9125E7</v>
      </c>
      <c r="H11" s="28"/>
      <c r="I11" s="29"/>
      <c r="J11" s="22"/>
    </row>
    <row r="12" spans="8:8" ht="21.95">
      <c r="A12" s="23">
        <v>5.0</v>
      </c>
      <c r="B12" s="24" t="s">
        <v>20</v>
      </c>
      <c r="C12" s="25">
        <v>15677.0</v>
      </c>
      <c r="D12" s="26"/>
      <c r="E12" s="24" t="s">
        <v>21</v>
      </c>
      <c r="F12" s="33"/>
      <c r="G12" s="27">
        <f>SUM(F12*7500)</f>
        <v>0.0</v>
      </c>
      <c r="H12" s="28"/>
      <c r="I12" s="29"/>
      <c r="J12" s="22"/>
    </row>
    <row r="13" spans="8:8" ht="22.0">
      <c r="A13" s="23">
        <v>6.0</v>
      </c>
      <c r="B13" s="24" t="s">
        <v>22</v>
      </c>
      <c r="C13" s="25">
        <v>8373.0</v>
      </c>
      <c r="D13" s="34"/>
      <c r="E13" s="24" t="s">
        <v>45</v>
      </c>
      <c r="F13" s="33">
        <v>1753.0</v>
      </c>
      <c r="G13" s="27">
        <f>SUM(F13*8000)</f>
        <v>1.4024E7</v>
      </c>
      <c r="H13" s="28"/>
      <c r="I13" s="29"/>
      <c r="J13" s="22"/>
    </row>
    <row r="14" spans="8:8" ht="21.95">
      <c r="A14" s="23">
        <v>7.0</v>
      </c>
      <c r="B14" s="24" t="s">
        <v>23</v>
      </c>
      <c r="C14" s="25">
        <v>3856.0</v>
      </c>
      <c r="D14" s="26"/>
      <c r="E14" s="24" t="s">
        <v>46</v>
      </c>
      <c r="F14" s="33">
        <v>560.0</v>
      </c>
      <c r="G14" s="27">
        <f>SUM(F14*8000)</f>
        <v>4480000.0</v>
      </c>
      <c r="H14" s="28"/>
      <c r="I14" s="29"/>
      <c r="J14" s="22"/>
    </row>
    <row r="15" spans="8:8" ht="21.95">
      <c r="A15" s="23">
        <v>8.0</v>
      </c>
      <c r="B15" s="36" t="s">
        <v>24</v>
      </c>
      <c r="C15" s="37">
        <v>16499.0</v>
      </c>
      <c r="D15" s="26"/>
      <c r="E15" s="24"/>
      <c r="F15" s="33"/>
      <c r="G15" s="35"/>
      <c r="H15" s="28"/>
      <c r="I15" s="29"/>
      <c r="J15" s="22"/>
    </row>
    <row r="16" spans="8:8" ht="21.95">
      <c r="A16" s="38">
        <v>9.0</v>
      </c>
      <c r="B16" s="39" t="s">
        <v>25</v>
      </c>
      <c r="C16" s="40">
        <v>2487.0</v>
      </c>
      <c r="D16" s="41"/>
      <c r="E16" s="39"/>
      <c r="F16" s="42"/>
      <c r="G16" s="43"/>
      <c r="H16" s="44"/>
      <c r="I16" s="45"/>
      <c r="J16" s="46"/>
    </row>
    <row r="17" spans="8:8" ht="22.0">
      <c r="A17" s="47" t="s">
        <v>26</v>
      </c>
      <c r="B17" s="47"/>
      <c r="C17" s="48">
        <f>SUM(C8+C9+C10+C11+C12+C13+C14+C15+C16)</f>
        <v>84236.0</v>
      </c>
      <c r="D17" s="48">
        <v>5.306868E8</v>
      </c>
      <c r="E17" s="49" t="s">
        <v>27</v>
      </c>
      <c r="F17" s="50">
        <f>SUM(F8+F9+F10+F11+F12+F13+F14+F15+F16)</f>
        <v>8263.0</v>
      </c>
      <c r="G17" s="51">
        <f>SUM(G8:G16)</f>
        <v>6.2109E7</v>
      </c>
      <c r="H17" s="52"/>
      <c r="I17" s="53"/>
      <c r="J17" s="54"/>
    </row>
    <row r="18" spans="8:8" ht="21.95">
      <c r="A18" s="47" t="s">
        <v>28</v>
      </c>
      <c r="B18" s="47"/>
      <c r="C18" s="48">
        <f>SUM(C17+F17)</f>
        <v>92499.0</v>
      </c>
      <c r="D18" s="48"/>
      <c r="E18" s="55"/>
      <c r="F18" s="56"/>
      <c r="G18" s="57">
        <f>SUM(D17+G17)</f>
        <v>5.927958E8</v>
      </c>
      <c r="H18" s="53"/>
      <c r="I18" s="53"/>
      <c r="J18" s="58"/>
    </row>
    <row r="19" spans="8:8" ht="18.7">
      <c r="A19" s="59"/>
      <c r="B19" s="59"/>
      <c r="C19" s="59"/>
      <c r="D19" s="59"/>
      <c r="E19" s="59"/>
      <c r="F19" s="59"/>
      <c r="G19" s="59"/>
      <c r="H19" s="59"/>
      <c r="I19" s="59"/>
      <c r="J19" s="59"/>
    </row>
    <row r="20" spans="8:8" ht="19.15">
      <c r="A20" s="59"/>
      <c r="B20" s="59"/>
      <c r="C20" s="60" t="s">
        <v>44</v>
      </c>
      <c r="D20" s="60"/>
      <c r="E20" s="60"/>
      <c r="F20" s="60"/>
      <c r="G20" s="60"/>
      <c r="H20" s="60"/>
      <c r="I20" s="60"/>
      <c r="J20" s="60"/>
    </row>
    <row r="21" spans="8:8" ht="19.15">
      <c r="A21" s="59"/>
      <c r="B21" s="59"/>
      <c r="C21" s="60" t="s">
        <v>30</v>
      </c>
      <c r="D21" s="60"/>
      <c r="E21" s="60"/>
      <c r="F21" s="60"/>
      <c r="G21" s="60"/>
      <c r="H21" s="60"/>
      <c r="I21" s="60"/>
      <c r="J21" s="60"/>
    </row>
    <row r="22" spans="8:8" ht="18.7">
      <c r="A22" s="59"/>
      <c r="B22" s="59"/>
      <c r="C22" s="59"/>
      <c r="D22" s="59"/>
      <c r="E22" s="61"/>
      <c r="F22" s="61"/>
      <c r="G22" s="61"/>
      <c r="H22" s="61"/>
      <c r="I22" s="61"/>
      <c r="J22" s="61"/>
    </row>
    <row r="23" spans="8:8" ht="18.7">
      <c r="A23" s="59"/>
      <c r="B23" s="59"/>
      <c r="C23" s="59"/>
      <c r="D23" s="59"/>
      <c r="E23" s="61"/>
      <c r="F23" s="61"/>
      <c r="G23" s="61"/>
      <c r="H23" s="61"/>
      <c r="I23" s="61"/>
      <c r="J23" s="61"/>
    </row>
    <row r="24" spans="8:8" ht="18.7">
      <c r="A24" s="59"/>
      <c r="B24" s="59"/>
      <c r="C24" s="59"/>
      <c r="D24" s="59"/>
      <c r="E24" s="61"/>
      <c r="F24" s="61"/>
      <c r="G24" s="61"/>
      <c r="H24" s="61"/>
      <c r="I24" s="61"/>
      <c r="J24" s="61"/>
    </row>
    <row r="25" spans="8:8" ht="19.15">
      <c r="A25" s="59"/>
      <c r="B25" s="59"/>
      <c r="C25" s="62" t="s">
        <v>31</v>
      </c>
      <c r="D25" s="62"/>
      <c r="E25" s="62"/>
      <c r="F25" s="62"/>
      <c r="G25" s="63"/>
      <c r="H25" s="64" t="s">
        <v>32</v>
      </c>
      <c r="I25" s="62" t="s">
        <v>33</v>
      </c>
      <c r="J25" s="62"/>
      <c r="K25" s="65"/>
    </row>
    <row r="26" spans="8:8" ht="16.35">
      <c r="A26" s="2"/>
      <c r="B26" s="2"/>
      <c r="C26" s="2"/>
      <c r="D26" s="2"/>
      <c r="E26" s="66"/>
      <c r="F26" s="66"/>
      <c r="G26" s="66"/>
      <c r="H26" s="66"/>
      <c r="I26" s="66"/>
      <c r="J26" s="66"/>
    </row>
    <row r="27" spans="8:8" ht="16.35">
      <c r="A27" s="2"/>
      <c r="B27" s="2"/>
      <c r="C27" s="2"/>
      <c r="D27" s="2"/>
      <c r="E27" s="66"/>
      <c r="F27" s="66"/>
      <c r="G27" s="66"/>
      <c r="H27" s="66"/>
      <c r="I27" s="66"/>
      <c r="J27" s="66"/>
    </row>
    <row r="28" spans="8:8">
      <c r="A28" s="2"/>
      <c r="B28" s="2"/>
      <c r="C28" s="2"/>
      <c r="D28" s="2"/>
      <c r="E28" s="2"/>
      <c r="F28" s="2"/>
      <c r="G28" s="2"/>
      <c r="H28" s="2"/>
    </row>
    <row r="29" spans="8:8">
      <c r="A29" s="2"/>
      <c r="B29" s="2"/>
      <c r="C29" s="2"/>
      <c r="D29" s="2"/>
      <c r="E29" s="2"/>
      <c r="F29" s="2"/>
      <c r="G29" s="2"/>
      <c r="H29" s="2"/>
    </row>
    <row r="30" spans="8:8">
      <c r="A30" s="2"/>
      <c r="B30" s="2"/>
      <c r="C30" s="2"/>
      <c r="D30" s="2"/>
      <c r="E30" s="2"/>
      <c r="F30" s="2"/>
      <c r="G30" s="2"/>
      <c r="H30" s="2"/>
    </row>
    <row r="31" spans="8:8">
      <c r="A31" s="2"/>
      <c r="B31" s="2"/>
      <c r="C31" s="2"/>
      <c r="D31" s="2"/>
      <c r="E31" s="2"/>
      <c r="F31" s="2"/>
      <c r="G31" s="2"/>
      <c r="H31" s="2"/>
    </row>
    <row r="32" spans="8:8">
      <c r="A32" s="2"/>
      <c r="B32" s="2"/>
      <c r="C32" s="2"/>
      <c r="D32" s="2"/>
      <c r="E32" s="2"/>
      <c r="F32" s="2"/>
      <c r="G32" s="2"/>
      <c r="H32" s="2"/>
    </row>
    <row r="33" spans="8:8">
      <c r="A33" s="2"/>
      <c r="B33" s="2"/>
      <c r="C33" s="2"/>
      <c r="D33" s="2"/>
      <c r="E33" s="2"/>
      <c r="F33" s="2"/>
      <c r="G33" s="2"/>
      <c r="H33" s="2"/>
    </row>
    <row r="34" spans="8:8">
      <c r="A34" s="2"/>
      <c r="B34" s="2"/>
      <c r="C34" s="2"/>
      <c r="D34" s="2"/>
      <c r="E34" s="2"/>
      <c r="F34" s="2"/>
      <c r="G34" s="2"/>
      <c r="H34" s="2"/>
    </row>
    <row r="35" spans="8:8">
      <c r="A35" s="2"/>
      <c r="B35" s="2"/>
      <c r="C35" s="2"/>
      <c r="D35" s="2"/>
      <c r="E35" s="2"/>
      <c r="F35" s="2"/>
      <c r="G35" s="2"/>
      <c r="H35" s="2"/>
    </row>
    <row r="36" spans="8:8">
      <c r="A36" s="2"/>
      <c r="B36" s="2"/>
      <c r="C36" s="2"/>
      <c r="D36" s="2"/>
      <c r="E36" s="2"/>
      <c r="F36" s="2"/>
      <c r="G36" s="2"/>
      <c r="H36" s="2"/>
    </row>
    <row r="37" spans="8:8">
      <c r="A37" s="2"/>
      <c r="B37" s="2"/>
      <c r="C37" s="2"/>
      <c r="D37" s="2"/>
      <c r="E37" s="2"/>
      <c r="F37" s="2"/>
      <c r="G37" s="2"/>
      <c r="H37" s="2"/>
    </row>
    <row r="38" spans="8:8">
      <c r="A38" s="2"/>
      <c r="B38" s="2"/>
      <c r="C38" s="2"/>
      <c r="D38" s="2"/>
      <c r="E38" s="2"/>
      <c r="F38" s="2"/>
      <c r="G38" s="2"/>
      <c r="H38" s="2"/>
    </row>
    <row r="39" spans="8:8">
      <c r="A39" s="2"/>
      <c r="B39" s="2"/>
      <c r="C39" s="2"/>
      <c r="D39" s="2"/>
      <c r="E39" s="2"/>
      <c r="F39" s="2"/>
      <c r="G39" s="2"/>
      <c r="H39" s="2"/>
    </row>
    <row r="40" spans="8:8">
      <c r="A40" s="2"/>
      <c r="B40" s="2"/>
      <c r="C40" s="2"/>
      <c r="D40" s="2"/>
      <c r="E40" s="2"/>
      <c r="F40" s="2"/>
      <c r="G40" s="2"/>
      <c r="H40" s="2"/>
    </row>
  </sheetData>
  <mergeCells count="9">
    <mergeCell ref="A3:J3"/>
    <mergeCell ref="A2:J2"/>
    <mergeCell ref="I25:J25"/>
    <mergeCell ref="C25:F25"/>
    <mergeCell ref="A1:J1"/>
    <mergeCell ref="C21:J21"/>
    <mergeCell ref="C20:J20"/>
    <mergeCell ref="A18:B18"/>
    <mergeCell ref="A17:B17"/>
  </mergeCells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AO40"/>
  <sheetViews>
    <sheetView workbookViewId="0">
      <selection activeCell="A1" sqref="A1:XFD1048576"/>
    </sheetView>
  </sheetViews>
  <sheetFormatPr defaultRowHeight="16.25" defaultColWidth="10"/>
  <cols>
    <col min="2" max="2" customWidth="1" bestFit="1" width="24.691406" style="0"/>
    <col min="3" max="3" customWidth="1" bestFit="1" width="12.152344" style="0"/>
    <col min="4" max="4" customWidth="1" bestFit="1" width="18.761719" style="0"/>
    <col min="5" max="5" customWidth="1" bestFit="1" width="16.921875" style="0"/>
    <col min="7" max="7" customWidth="1" bestFit="1" width="17.152344" style="0"/>
    <col min="10" max="10" customWidth="1" bestFit="1" width="15.691406" style="0"/>
  </cols>
  <sheetData>
    <row r="1" spans="8:8" ht="24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8:8" ht="24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8:8" ht="24.3">
      <c r="A3" s="1" t="s">
        <v>47</v>
      </c>
      <c r="B3" s="1"/>
      <c r="C3" s="1"/>
      <c r="D3" s="1"/>
      <c r="E3" s="1"/>
      <c r="F3" s="1"/>
      <c r="G3" s="1"/>
      <c r="H3" s="1"/>
      <c r="I3" s="1"/>
      <c r="J3" s="1"/>
    </row>
    <row r="4" spans="8:8">
      <c r="A4" s="2"/>
      <c r="B4" s="2"/>
      <c r="C4" s="2"/>
      <c r="D4" s="2"/>
      <c r="E4" s="2"/>
      <c r="F4" s="2"/>
      <c r="G4" s="2"/>
      <c r="H4" s="2"/>
    </row>
    <row r="5" spans="8:8" ht="16.8">
      <c r="A5" s="3" t="s">
        <v>3</v>
      </c>
      <c r="B5" s="4" t="s">
        <v>4</v>
      </c>
      <c r="C5" s="4"/>
      <c r="D5" s="4"/>
      <c r="E5" s="5" t="s">
        <v>5</v>
      </c>
      <c r="F5" s="6"/>
      <c r="G5" s="7"/>
      <c r="H5" s="5" t="s">
        <v>6</v>
      </c>
      <c r="I5" s="7"/>
      <c r="J5" s="8" t="s">
        <v>7</v>
      </c>
    </row>
    <row r="6" spans="8:8" ht="16.8">
      <c r="A6" s="9"/>
      <c r="B6" s="10" t="s">
        <v>8</v>
      </c>
      <c r="C6" s="10" t="s">
        <v>9</v>
      </c>
      <c r="D6" s="10" t="s">
        <v>10</v>
      </c>
      <c r="E6" s="10" t="s">
        <v>11</v>
      </c>
      <c r="F6" s="10" t="s">
        <v>9</v>
      </c>
      <c r="G6" s="10" t="s">
        <v>10</v>
      </c>
      <c r="H6" s="11" t="s">
        <v>9</v>
      </c>
      <c r="I6" s="11" t="s">
        <v>10</v>
      </c>
      <c r="J6" s="8"/>
    </row>
    <row r="7" spans="8:8">
      <c r="A7" s="12"/>
      <c r="B7" s="13"/>
      <c r="C7" s="13"/>
      <c r="D7" s="13"/>
      <c r="E7" s="13"/>
      <c r="F7" s="13"/>
      <c r="G7" s="13"/>
      <c r="H7" s="14"/>
      <c r="I7" s="14"/>
      <c r="J7" s="8"/>
    </row>
    <row r="8" spans="8:8" ht="21.95">
      <c r="A8" s="15">
        <v>1.0</v>
      </c>
      <c r="B8" s="16" t="s">
        <v>12</v>
      </c>
      <c r="C8" s="17">
        <v>13515.0</v>
      </c>
      <c r="D8" s="18"/>
      <c r="E8" s="16" t="s">
        <v>42</v>
      </c>
      <c r="F8" s="17">
        <v>1663.0</v>
      </c>
      <c r="G8" s="19">
        <f>SUM(F8*7400)</f>
        <v>1.23062E7</v>
      </c>
      <c r="H8" s="20"/>
      <c r="I8" s="21"/>
      <c r="J8" s="22"/>
    </row>
    <row r="9" spans="8:8" ht="21.95">
      <c r="A9" s="23">
        <v>2.0</v>
      </c>
      <c r="B9" s="24" t="s">
        <v>14</v>
      </c>
      <c r="C9" s="25">
        <v>18936.0</v>
      </c>
      <c r="D9" s="26"/>
      <c r="E9" s="24" t="s">
        <v>15</v>
      </c>
      <c r="F9" s="25">
        <v>2150.0</v>
      </c>
      <c r="G9" s="27">
        <f>SUM(F9*7400)</f>
        <v>1.591E7</v>
      </c>
      <c r="H9" s="28"/>
      <c r="I9" s="29"/>
      <c r="J9" s="30"/>
      <c r="K9" s="31"/>
      <c r="L9" s="31"/>
      <c r="M9" s="31"/>
      <c r="N9" s="31"/>
    </row>
    <row r="10" spans="8:8" ht="21.95">
      <c r="A10" s="23">
        <v>3.0</v>
      </c>
      <c r="B10" s="24" t="s">
        <v>16</v>
      </c>
      <c r="C10" s="25">
        <v>2064.0</v>
      </c>
      <c r="D10" s="26"/>
      <c r="E10" s="24" t="s">
        <v>17</v>
      </c>
      <c r="F10" s="25"/>
      <c r="G10" s="27">
        <f>SUM(F10*7000)</f>
        <v>0.0</v>
      </c>
      <c r="H10" s="28"/>
      <c r="I10" s="29"/>
      <c r="J10" s="22"/>
    </row>
    <row r="11" spans="8:8" ht="21.95">
      <c r="A11" s="23">
        <v>4.0</v>
      </c>
      <c r="B11" s="24" t="s">
        <v>18</v>
      </c>
      <c r="C11" s="25">
        <v>3875.0</v>
      </c>
      <c r="D11" s="26"/>
      <c r="E11" s="24" t="s">
        <v>19</v>
      </c>
      <c r="F11" s="25">
        <v>2590.0</v>
      </c>
      <c r="G11" s="32">
        <f>SUM(F11*7500)</f>
        <v>1.9425E7</v>
      </c>
      <c r="H11" s="28"/>
      <c r="I11" s="29"/>
      <c r="J11" s="22"/>
    </row>
    <row r="12" spans="8:8" ht="21.95">
      <c r="A12" s="23">
        <v>5.0</v>
      </c>
      <c r="B12" s="24" t="s">
        <v>20</v>
      </c>
      <c r="C12" s="25">
        <v>17543.0</v>
      </c>
      <c r="D12" s="26"/>
      <c r="E12" s="24" t="s">
        <v>21</v>
      </c>
      <c r="F12" s="33"/>
      <c r="G12" s="27">
        <f>SUM(F12*7500)</f>
        <v>0.0</v>
      </c>
      <c r="H12" s="28"/>
      <c r="I12" s="29"/>
      <c r="J12" s="22"/>
    </row>
    <row r="13" spans="8:8" ht="21.95">
      <c r="A13" s="23">
        <v>6.0</v>
      </c>
      <c r="B13" s="24" t="s">
        <v>22</v>
      </c>
      <c r="C13" s="25">
        <v>9045.0</v>
      </c>
      <c r="D13" s="34"/>
      <c r="E13" s="24" t="s">
        <v>45</v>
      </c>
      <c r="F13" s="33">
        <v>7779.0</v>
      </c>
      <c r="G13" s="27">
        <f>SUM(F13*8000)</f>
        <v>6.2232E7</v>
      </c>
      <c r="H13" s="28"/>
      <c r="I13" s="29"/>
      <c r="J13" s="22"/>
    </row>
    <row r="14" spans="8:8" ht="21.95">
      <c r="A14" s="23">
        <v>7.0</v>
      </c>
      <c r="B14" s="24" t="s">
        <v>23</v>
      </c>
      <c r="C14" s="25">
        <v>3423.0</v>
      </c>
      <c r="D14" s="26"/>
      <c r="E14" s="24" t="s">
        <v>46</v>
      </c>
      <c r="F14" s="33">
        <v>1040.0</v>
      </c>
      <c r="G14" s="27">
        <f>SUM(F14*8000)</f>
        <v>8320000.0</v>
      </c>
      <c r="H14" s="28"/>
      <c r="I14" s="29"/>
      <c r="J14" s="22"/>
    </row>
    <row r="15" spans="8:8" ht="21.95">
      <c r="A15" s="23">
        <v>8.0</v>
      </c>
      <c r="B15" s="36" t="s">
        <v>24</v>
      </c>
      <c r="C15" s="37">
        <v>18986.0</v>
      </c>
      <c r="D15" s="26"/>
      <c r="E15" s="24"/>
      <c r="F15" s="33"/>
      <c r="G15" s="35"/>
      <c r="H15" s="28"/>
      <c r="I15" s="29"/>
      <c r="J15" s="22"/>
    </row>
    <row r="16" spans="8:8" ht="21.95">
      <c r="A16" s="38">
        <v>9.0</v>
      </c>
      <c r="B16" s="39" t="s">
        <v>25</v>
      </c>
      <c r="C16" s="40">
        <v>2311.0</v>
      </c>
      <c r="D16" s="41"/>
      <c r="E16" s="39"/>
      <c r="F16" s="42"/>
      <c r="G16" s="43"/>
      <c r="H16" s="44"/>
      <c r="I16" s="45"/>
      <c r="J16" s="46"/>
    </row>
    <row r="17" spans="8:8" ht="21.95">
      <c r="A17" s="47" t="s">
        <v>26</v>
      </c>
      <c r="B17" s="47"/>
      <c r="C17" s="48">
        <f>SUM(C8+C9+C10+C11+C12+C13+C14+C15+C16)</f>
        <v>89698.0</v>
      </c>
      <c r="D17" s="48">
        <v>6.547954E8</v>
      </c>
      <c r="E17" s="49" t="s">
        <v>27</v>
      </c>
      <c r="F17" s="50">
        <f>SUM(F8+F9+F10+F11+F12+F13+F14+F15+F16)</f>
        <v>15222.0</v>
      </c>
      <c r="G17" s="51">
        <f>SUM(G8:G16)</f>
        <v>1.181932E8</v>
      </c>
      <c r="H17" s="52"/>
      <c r="I17" s="53"/>
      <c r="J17" s="54"/>
    </row>
    <row r="18" spans="8:8" ht="21.95">
      <c r="A18" s="47" t="s">
        <v>28</v>
      </c>
      <c r="B18" s="47"/>
      <c r="C18" s="48">
        <f>SUM(C17+F17)</f>
        <v>104920.0</v>
      </c>
      <c r="D18" s="48"/>
      <c r="E18" s="55"/>
      <c r="F18" s="56"/>
      <c r="G18" s="57">
        <f>SUM(D17+G17)</f>
        <v>7.729886E8</v>
      </c>
      <c r="H18" s="53"/>
      <c r="I18" s="53"/>
      <c r="J18" s="58"/>
    </row>
    <row r="19" spans="8:8" ht="18.7">
      <c r="A19" s="59"/>
      <c r="B19" s="59"/>
      <c r="C19" s="59"/>
      <c r="D19" s="59"/>
      <c r="E19" s="59"/>
      <c r="F19" s="59"/>
      <c r="G19" s="59"/>
      <c r="H19" s="59"/>
      <c r="I19" s="59"/>
      <c r="J19" s="59"/>
    </row>
    <row r="20" spans="8:8" ht="19.15">
      <c r="A20" s="59"/>
      <c r="B20" s="59"/>
      <c r="C20" s="60" t="s">
        <v>48</v>
      </c>
      <c r="D20" s="60"/>
      <c r="E20" s="60"/>
      <c r="F20" s="60"/>
      <c r="G20" s="60"/>
      <c r="H20" s="60"/>
      <c r="I20" s="60"/>
      <c r="J20" s="60"/>
    </row>
    <row r="21" spans="8:8" ht="19.15">
      <c r="A21" s="59"/>
      <c r="B21" s="59"/>
      <c r="C21" s="60" t="s">
        <v>30</v>
      </c>
      <c r="D21" s="60"/>
      <c r="E21" s="60"/>
      <c r="F21" s="60"/>
      <c r="G21" s="60"/>
      <c r="H21" s="60"/>
      <c r="I21" s="60"/>
      <c r="J21" s="60"/>
    </row>
    <row r="22" spans="8:8" ht="18.7">
      <c r="A22" s="59"/>
      <c r="B22" s="59"/>
      <c r="C22" s="59"/>
      <c r="D22" s="59"/>
      <c r="E22" s="61"/>
      <c r="F22" s="61"/>
      <c r="G22" s="61"/>
      <c r="H22" s="61"/>
      <c r="I22" s="61"/>
      <c r="J22" s="61"/>
    </row>
    <row r="23" spans="8:8" ht="18.7">
      <c r="A23" s="59"/>
      <c r="B23" s="59"/>
      <c r="C23" s="59"/>
      <c r="D23" s="59"/>
      <c r="E23" s="61"/>
      <c r="F23" s="61"/>
      <c r="G23" s="61"/>
      <c r="H23" s="61"/>
      <c r="I23" s="61"/>
      <c r="J23" s="61"/>
    </row>
    <row r="24" spans="8:8" ht="18.7">
      <c r="A24" s="59"/>
      <c r="B24" s="59"/>
      <c r="C24" s="59"/>
      <c r="D24" s="59"/>
      <c r="E24" s="61"/>
      <c r="F24" s="61"/>
      <c r="G24" s="61"/>
      <c r="H24" s="61"/>
      <c r="I24" s="61"/>
      <c r="J24" s="61"/>
    </row>
    <row r="25" spans="8:8" ht="19.15">
      <c r="A25" s="59"/>
      <c r="B25" s="59"/>
      <c r="C25" s="62" t="s">
        <v>31</v>
      </c>
      <c r="D25" s="62"/>
      <c r="E25" s="62"/>
      <c r="F25" s="62"/>
      <c r="G25" s="63"/>
      <c r="H25" s="64" t="s">
        <v>32</v>
      </c>
      <c r="I25" s="62" t="s">
        <v>33</v>
      </c>
      <c r="J25" s="62"/>
      <c r="K25" s="65"/>
    </row>
    <row r="26" spans="8:8" ht="16.35">
      <c r="A26" s="2"/>
      <c r="B26" s="2"/>
      <c r="C26" s="2"/>
      <c r="D26" s="2"/>
      <c r="E26" s="66"/>
      <c r="F26" s="66"/>
      <c r="G26" s="66"/>
      <c r="H26" s="66"/>
      <c r="I26" s="66"/>
      <c r="J26" s="66"/>
    </row>
    <row r="27" spans="8:8" ht="16.35">
      <c r="A27" s="2"/>
      <c r="B27" s="2"/>
      <c r="C27" s="2"/>
      <c r="D27" s="2"/>
      <c r="E27" s="66"/>
      <c r="F27" s="66"/>
      <c r="G27" s="66"/>
      <c r="H27" s="66"/>
      <c r="I27" s="66"/>
      <c r="J27" s="66"/>
    </row>
    <row r="28" spans="8:8">
      <c r="A28" s="2"/>
      <c r="B28" s="2"/>
      <c r="C28" s="2"/>
      <c r="D28" s="2"/>
      <c r="E28" s="2"/>
      <c r="F28" s="2"/>
      <c r="G28" s="2"/>
      <c r="H28" s="2"/>
    </row>
    <row r="29" spans="8:8">
      <c r="A29" s="2"/>
      <c r="B29" s="2"/>
      <c r="C29" s="2"/>
      <c r="D29" s="2"/>
      <c r="E29" s="2"/>
      <c r="F29" s="2"/>
      <c r="G29" s="2"/>
      <c r="H29" s="2"/>
    </row>
    <row r="30" spans="8:8">
      <c r="A30" s="2"/>
      <c r="B30" s="2"/>
      <c r="C30" s="2"/>
      <c r="D30" s="2"/>
      <c r="E30" s="2"/>
      <c r="F30" s="2"/>
      <c r="G30" s="2"/>
      <c r="H30" s="2"/>
    </row>
    <row r="31" spans="8:8">
      <c r="A31" s="2"/>
      <c r="B31" s="2"/>
      <c r="C31" s="2"/>
      <c r="D31" s="2"/>
      <c r="E31" s="2"/>
      <c r="F31" s="2"/>
      <c r="G31" s="2"/>
      <c r="H31" s="2"/>
    </row>
    <row r="32" spans="8:8">
      <c r="A32" s="2"/>
      <c r="B32" s="2"/>
      <c r="C32" s="2"/>
      <c r="D32" s="2"/>
      <c r="E32" s="2"/>
      <c r="F32" s="2"/>
      <c r="G32" s="2"/>
      <c r="H32" s="2"/>
    </row>
    <row r="33" spans="8:8">
      <c r="A33" s="2"/>
      <c r="B33" s="2"/>
      <c r="C33" s="2"/>
      <c r="D33" s="2"/>
      <c r="E33" s="2"/>
      <c r="F33" s="2"/>
      <c r="G33" s="2"/>
      <c r="H33" s="2"/>
    </row>
    <row r="34" spans="8:8">
      <c r="A34" s="2"/>
      <c r="B34" s="2"/>
      <c r="C34" s="2"/>
      <c r="D34" s="2"/>
      <c r="E34" s="2"/>
      <c r="F34" s="2"/>
      <c r="G34" s="2"/>
      <c r="H34" s="2"/>
    </row>
    <row r="35" spans="8:8">
      <c r="A35" s="2"/>
      <c r="B35" s="2"/>
      <c r="C35" s="2"/>
      <c r="D35" s="2"/>
      <c r="E35" s="2"/>
      <c r="F35" s="2"/>
      <c r="G35" s="2"/>
      <c r="H35" s="2"/>
    </row>
    <row r="36" spans="8:8">
      <c r="A36" s="2"/>
      <c r="B36" s="2"/>
      <c r="C36" s="2"/>
      <c r="D36" s="2"/>
      <c r="E36" s="2"/>
      <c r="F36" s="2"/>
      <c r="G36" s="2"/>
      <c r="H36" s="2"/>
    </row>
    <row r="37" spans="8:8">
      <c r="A37" s="2"/>
      <c r="B37" s="2"/>
      <c r="C37" s="2"/>
      <c r="D37" s="2"/>
      <c r="E37" s="2"/>
      <c r="F37" s="2"/>
      <c r="G37" s="2"/>
      <c r="H37" s="2"/>
    </row>
    <row r="38" spans="8:8">
      <c r="A38" s="2"/>
      <c r="B38" s="2"/>
      <c r="C38" s="2"/>
      <c r="D38" s="2"/>
      <c r="E38" s="2"/>
      <c r="F38" s="2"/>
      <c r="G38" s="2"/>
      <c r="H38" s="2"/>
    </row>
    <row r="39" spans="8:8">
      <c r="A39" s="2"/>
      <c r="B39" s="2"/>
      <c r="C39" s="2"/>
      <c r="D39" s="2"/>
      <c r="E39" s="2"/>
      <c r="F39" s="2"/>
      <c r="G39" s="2"/>
      <c r="H39" s="2"/>
    </row>
    <row r="40" spans="8:8">
      <c r="A40" s="2"/>
      <c r="B40" s="2"/>
      <c r="C40" s="2"/>
      <c r="D40" s="2"/>
      <c r="E40" s="2"/>
      <c r="F40" s="2"/>
      <c r="G40" s="2"/>
      <c r="H40" s="2"/>
    </row>
  </sheetData>
  <mergeCells count="9">
    <mergeCell ref="A17:B17"/>
    <mergeCell ref="A18:B18"/>
    <mergeCell ref="C20:J20"/>
    <mergeCell ref="C21:J21"/>
    <mergeCell ref="C25:F25"/>
    <mergeCell ref="I25:J25"/>
    <mergeCell ref="A1:J1"/>
    <mergeCell ref="A2:J2"/>
    <mergeCell ref="A3:J3"/>
  </mergeCells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:AB40"/>
  <sheetViews>
    <sheetView workbookViewId="0" topLeftCell="B1">
      <selection activeCell="A1" sqref="A1:XFD1048576"/>
    </sheetView>
  </sheetViews>
  <sheetFormatPr defaultRowHeight="16.25" defaultColWidth="10"/>
  <cols>
    <col min="2" max="2" customWidth="1" bestFit="1" width="24.691406" style="0"/>
    <col min="3" max="3" customWidth="1" bestFit="1" width="12.152344" style="0"/>
    <col min="4" max="4" customWidth="1" bestFit="1" width="18.761719" style="0"/>
    <col min="5" max="5" customWidth="1" bestFit="1" width="16.921875" style="0"/>
    <col min="7" max="7" customWidth="1" bestFit="1" width="17.152344" style="0"/>
    <col min="10" max="10" customWidth="1" bestFit="1" width="15.691406" style="0"/>
  </cols>
  <sheetData>
    <row r="1" spans="8:8" ht="24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8:8" ht="24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8:8" ht="24.3">
      <c r="A3" s="1" t="s">
        <v>50</v>
      </c>
      <c r="B3" s="1"/>
      <c r="C3" s="1"/>
      <c r="D3" s="1"/>
      <c r="E3" s="1"/>
      <c r="F3" s="1"/>
      <c r="G3" s="1"/>
      <c r="H3" s="1"/>
      <c r="I3" s="1"/>
      <c r="J3" s="1"/>
    </row>
    <row r="4" spans="8:8">
      <c r="A4" s="2"/>
      <c r="B4" s="2"/>
      <c r="C4" s="2"/>
      <c r="D4" s="2"/>
      <c r="E4" s="2"/>
      <c r="F4" s="2"/>
      <c r="G4" s="2"/>
      <c r="H4" s="2"/>
    </row>
    <row r="5" spans="8:8" ht="16.8">
      <c r="A5" s="3" t="s">
        <v>3</v>
      </c>
      <c r="B5" s="4" t="s">
        <v>4</v>
      </c>
      <c r="C5" s="4"/>
      <c r="D5" s="4"/>
      <c r="E5" s="5" t="s">
        <v>5</v>
      </c>
      <c r="F5" s="6"/>
      <c r="G5" s="7"/>
      <c r="H5" s="5" t="s">
        <v>6</v>
      </c>
      <c r="I5" s="7"/>
      <c r="J5" s="8" t="s">
        <v>7</v>
      </c>
    </row>
    <row r="6" spans="8:8" ht="16.8">
      <c r="A6" s="9"/>
      <c r="B6" s="10" t="s">
        <v>8</v>
      </c>
      <c r="C6" s="10" t="s">
        <v>9</v>
      </c>
      <c r="D6" s="10" t="s">
        <v>10</v>
      </c>
      <c r="E6" s="10" t="s">
        <v>11</v>
      </c>
      <c r="F6" s="10" t="s">
        <v>9</v>
      </c>
      <c r="G6" s="10" t="s">
        <v>10</v>
      </c>
      <c r="H6" s="11" t="s">
        <v>9</v>
      </c>
      <c r="I6" s="11" t="s">
        <v>10</v>
      </c>
      <c r="J6" s="8"/>
    </row>
    <row r="7" spans="8:8">
      <c r="A7" s="12"/>
      <c r="B7" s="13"/>
      <c r="C7" s="13"/>
      <c r="D7" s="13"/>
      <c r="E7" s="13"/>
      <c r="F7" s="13"/>
      <c r="G7" s="13"/>
      <c r="H7" s="14"/>
      <c r="I7" s="14"/>
      <c r="J7" s="8"/>
    </row>
    <row r="8" spans="8:8" ht="21.95">
      <c r="A8" s="15">
        <v>1.0</v>
      </c>
      <c r="B8" s="16" t="s">
        <v>12</v>
      </c>
      <c r="C8" s="17">
        <v>12464.0</v>
      </c>
      <c r="D8" s="18"/>
      <c r="E8" s="16" t="s">
        <v>42</v>
      </c>
      <c r="F8" s="17">
        <v>1511.0</v>
      </c>
      <c r="G8" s="19">
        <f>SUM(F8*7400)</f>
        <v>1.11814E7</v>
      </c>
      <c r="H8" s="20"/>
      <c r="I8" s="21"/>
      <c r="J8" s="22"/>
    </row>
    <row r="9" spans="8:8" ht="21.95">
      <c r="A9" s="23">
        <v>2.0</v>
      </c>
      <c r="B9" s="24" t="s">
        <v>14</v>
      </c>
      <c r="C9" s="25">
        <v>17410.0</v>
      </c>
      <c r="D9" s="26"/>
      <c r="E9" s="24" t="s">
        <v>15</v>
      </c>
      <c r="F9" s="25">
        <v>1830.0</v>
      </c>
      <c r="G9" s="27">
        <f>SUM(F9*7400)</f>
        <v>1.3542E7</v>
      </c>
      <c r="H9" s="28"/>
      <c r="I9" s="29"/>
      <c r="J9" s="30"/>
      <c r="K9" s="31"/>
      <c r="L9" s="31"/>
      <c r="M9" s="31"/>
      <c r="N9" s="31"/>
    </row>
    <row r="10" spans="8:8" ht="21.95">
      <c r="A10" s="23">
        <v>3.0</v>
      </c>
      <c r="B10" s="24" t="s">
        <v>16</v>
      </c>
      <c r="C10" s="25">
        <v>1372.0</v>
      </c>
      <c r="D10" s="26"/>
      <c r="E10" s="24" t="s">
        <v>17</v>
      </c>
      <c r="F10" s="25"/>
      <c r="G10" s="27">
        <f>SUM(F10*7000)</f>
        <v>0.0</v>
      </c>
      <c r="H10" s="28"/>
      <c r="I10" s="29"/>
      <c r="J10" s="22"/>
    </row>
    <row r="11" spans="8:8" ht="21.95">
      <c r="A11" s="23">
        <v>4.0</v>
      </c>
      <c r="B11" s="24" t="s">
        <v>18</v>
      </c>
      <c r="C11" s="25">
        <v>3710.0</v>
      </c>
      <c r="D11" s="26"/>
      <c r="E11" s="24" t="s">
        <v>19</v>
      </c>
      <c r="F11" s="25">
        <v>2190.0</v>
      </c>
      <c r="G11" s="32">
        <f>SUM(F11*7500)</f>
        <v>1.6425E7</v>
      </c>
      <c r="H11" s="28"/>
      <c r="I11" s="29"/>
      <c r="J11" s="22"/>
    </row>
    <row r="12" spans="8:8" ht="21.95">
      <c r="A12" s="23">
        <v>5.0</v>
      </c>
      <c r="B12" s="24" t="s">
        <v>20</v>
      </c>
      <c r="C12" s="25">
        <v>18266.0</v>
      </c>
      <c r="D12" s="26"/>
      <c r="E12" s="24" t="s">
        <v>21</v>
      </c>
      <c r="F12" s="33"/>
      <c r="G12" s="27">
        <f>SUM(F12*7500)</f>
        <v>0.0</v>
      </c>
      <c r="H12" s="28"/>
      <c r="I12" s="29"/>
      <c r="J12" s="22"/>
    </row>
    <row r="13" spans="8:8" ht="21.95">
      <c r="A13" s="23">
        <v>6.0</v>
      </c>
      <c r="B13" s="24" t="s">
        <v>22</v>
      </c>
      <c r="C13" s="25">
        <v>9188.0</v>
      </c>
      <c r="D13" s="34"/>
      <c r="E13" s="24" t="s">
        <v>45</v>
      </c>
      <c r="F13" s="33">
        <v>8606.0</v>
      </c>
      <c r="G13" s="27">
        <f>SUM(F13*8000)</f>
        <v>6.8848E7</v>
      </c>
      <c r="H13" s="28"/>
      <c r="I13" s="29"/>
      <c r="J13" s="22"/>
    </row>
    <row r="14" spans="8:8" ht="21.95">
      <c r="A14" s="23">
        <v>7.0</v>
      </c>
      <c r="B14" s="24" t="s">
        <v>23</v>
      </c>
      <c r="C14" s="25">
        <v>3201.0</v>
      </c>
      <c r="D14" s="26"/>
      <c r="E14" s="24" t="s">
        <v>46</v>
      </c>
      <c r="F14" s="33">
        <v>1480.0</v>
      </c>
      <c r="G14" s="27">
        <f>SUM(F14*8000)</f>
        <v>1.184E7</v>
      </c>
      <c r="H14" s="28"/>
      <c r="I14" s="29"/>
      <c r="J14" s="22"/>
    </row>
    <row r="15" spans="8:8" ht="21.95">
      <c r="A15" s="23">
        <v>8.0</v>
      </c>
      <c r="B15" s="36" t="s">
        <v>24</v>
      </c>
      <c r="C15" s="37">
        <v>19364.0</v>
      </c>
      <c r="D15" s="26"/>
      <c r="E15" s="24"/>
      <c r="F15" s="33"/>
      <c r="G15" s="35"/>
      <c r="H15" s="28"/>
      <c r="I15" s="29"/>
      <c r="J15" s="22"/>
    </row>
    <row r="16" spans="8:8" ht="21.95">
      <c r="A16" s="38">
        <v>9.0</v>
      </c>
      <c r="B16" s="39" t="s">
        <v>25</v>
      </c>
      <c r="C16" s="40">
        <v>2901.0</v>
      </c>
      <c r="D16" s="41"/>
      <c r="E16" s="39"/>
      <c r="F16" s="42"/>
      <c r="G16" s="43"/>
      <c r="H16" s="44"/>
      <c r="I16" s="45"/>
      <c r="J16" s="46"/>
    </row>
    <row r="17" spans="8:8" ht="21.95">
      <c r="A17" s="47" t="s">
        <v>26</v>
      </c>
      <c r="B17" s="47"/>
      <c r="C17" s="48">
        <f>SUM(C8+C9+C10+C11+C12+C13+C14+C15+C16)</f>
        <v>87876.0</v>
      </c>
      <c r="D17" s="48">
        <v>6.414948E8</v>
      </c>
      <c r="E17" s="49" t="s">
        <v>27</v>
      </c>
      <c r="F17" s="50">
        <f>SUM(F8+F9+F10+F11+F12+F13+F14+F15+F16)</f>
        <v>15617.0</v>
      </c>
      <c r="G17" s="51">
        <f>SUM(G8:G16)</f>
        <v>1.218364E8</v>
      </c>
      <c r="H17" s="52"/>
      <c r="I17" s="53"/>
      <c r="J17" s="54"/>
    </row>
    <row r="18" spans="8:8" ht="21.95">
      <c r="A18" s="47" t="s">
        <v>28</v>
      </c>
      <c r="B18" s="47"/>
      <c r="C18" s="48">
        <f>SUM(C17+F17)</f>
        <v>103493.0</v>
      </c>
      <c r="D18" s="48"/>
      <c r="E18" s="55"/>
      <c r="F18" s="56"/>
      <c r="G18" s="57">
        <f>SUM(D17+G17)</f>
        <v>7.633312E8</v>
      </c>
      <c r="H18" s="53"/>
      <c r="I18" s="53"/>
      <c r="J18" s="58"/>
    </row>
    <row r="19" spans="8:8" ht="18.7">
      <c r="A19" s="59"/>
      <c r="B19" s="59"/>
      <c r="C19" s="59"/>
      <c r="D19" s="59"/>
      <c r="E19" s="59"/>
      <c r="F19" s="59"/>
      <c r="G19" s="59"/>
      <c r="H19" s="59"/>
      <c r="I19" s="59"/>
      <c r="J19" s="59"/>
    </row>
    <row r="20" spans="8:8" ht="19.15">
      <c r="A20" s="59"/>
      <c r="B20" s="59"/>
      <c r="C20" s="60" t="s">
        <v>51</v>
      </c>
      <c r="D20" s="60"/>
      <c r="E20" s="60"/>
      <c r="F20" s="60"/>
      <c r="G20" s="60"/>
      <c r="H20" s="60"/>
      <c r="I20" s="60"/>
      <c r="J20" s="60"/>
    </row>
    <row r="21" spans="8:8" ht="19.15">
      <c r="A21" s="59"/>
      <c r="B21" s="59"/>
      <c r="C21" s="60" t="s">
        <v>30</v>
      </c>
      <c r="D21" s="60"/>
      <c r="E21" s="60"/>
      <c r="F21" s="60"/>
      <c r="G21" s="60"/>
      <c r="H21" s="60"/>
      <c r="I21" s="60"/>
      <c r="J21" s="60"/>
    </row>
    <row r="22" spans="8:8" ht="18.7">
      <c r="A22" s="59"/>
      <c r="B22" s="59"/>
      <c r="C22" s="59"/>
      <c r="D22" s="59"/>
      <c r="E22" s="61"/>
      <c r="F22" s="61"/>
      <c r="G22" s="61"/>
      <c r="H22" s="61"/>
      <c r="I22" s="61"/>
      <c r="J22" s="61"/>
    </row>
    <row r="23" spans="8:8" ht="18.7">
      <c r="A23" s="59"/>
      <c r="B23" s="59"/>
      <c r="C23" s="59"/>
      <c r="D23" s="59"/>
      <c r="E23" s="61"/>
      <c r="F23" s="61"/>
      <c r="G23" s="61"/>
      <c r="H23" s="61"/>
      <c r="I23" s="61"/>
      <c r="J23" s="61"/>
    </row>
    <row r="24" spans="8:8" ht="18.7">
      <c r="A24" s="59"/>
      <c r="B24" s="59"/>
      <c r="C24" s="59"/>
      <c r="D24" s="59"/>
      <c r="E24" s="61"/>
      <c r="F24" s="61"/>
      <c r="G24" s="61"/>
      <c r="H24" s="61"/>
      <c r="I24" s="61"/>
      <c r="J24" s="61"/>
    </row>
    <row r="25" spans="8:8" ht="19.15">
      <c r="A25" s="59"/>
      <c r="B25" s="59"/>
      <c r="C25" s="62" t="s">
        <v>31</v>
      </c>
      <c r="D25" s="62"/>
      <c r="E25" s="62"/>
      <c r="F25" s="62"/>
      <c r="G25" s="63"/>
      <c r="H25" s="64" t="s">
        <v>32</v>
      </c>
      <c r="I25" s="62" t="s">
        <v>33</v>
      </c>
      <c r="J25" s="62"/>
      <c r="K25" s="65"/>
    </row>
    <row r="26" spans="8:8" ht="16.35">
      <c r="A26" s="2"/>
      <c r="B26" s="2"/>
      <c r="C26" s="2"/>
      <c r="D26" s="2"/>
      <c r="E26" s="66"/>
      <c r="F26" s="66"/>
      <c r="G26" s="66"/>
      <c r="H26" s="66"/>
      <c r="I26" s="66"/>
      <c r="J26" s="66"/>
    </row>
    <row r="27" spans="8:8" ht="16.35">
      <c r="A27" s="2"/>
      <c r="B27" s="2"/>
      <c r="C27" s="2"/>
      <c r="D27" s="2"/>
      <c r="E27" s="66"/>
      <c r="F27" s="66"/>
      <c r="G27" s="66"/>
      <c r="H27" s="66"/>
      <c r="I27" s="66"/>
      <c r="J27" s="66"/>
    </row>
    <row r="28" spans="8:8">
      <c r="A28" s="2"/>
      <c r="B28" s="2"/>
      <c r="C28" s="2"/>
      <c r="D28" s="2"/>
      <c r="E28" s="2"/>
      <c r="F28" s="2"/>
      <c r="G28" s="2"/>
      <c r="H28" s="2"/>
    </row>
    <row r="29" spans="8:8">
      <c r="A29" s="2"/>
      <c r="B29" s="2"/>
      <c r="C29" s="2"/>
      <c r="D29" s="2"/>
      <c r="E29" s="2"/>
      <c r="F29" s="2"/>
      <c r="G29" s="2"/>
      <c r="H29" s="2"/>
    </row>
    <row r="30" spans="8:8">
      <c r="A30" s="2"/>
      <c r="B30" s="2"/>
      <c r="C30" s="2"/>
      <c r="D30" s="2"/>
      <c r="E30" s="2"/>
      <c r="F30" s="2"/>
      <c r="G30" s="2"/>
      <c r="H30" s="2"/>
    </row>
    <row r="31" spans="8:8">
      <c r="A31" s="2"/>
      <c r="B31" s="2"/>
      <c r="C31" s="2"/>
      <c r="D31" s="2"/>
      <c r="E31" s="2"/>
      <c r="F31" s="2"/>
      <c r="G31" s="2"/>
      <c r="H31" s="2"/>
    </row>
    <row r="32" spans="8:8">
      <c r="A32" s="2"/>
      <c r="B32" s="2"/>
      <c r="C32" s="2"/>
      <c r="D32" s="2"/>
      <c r="E32" s="2"/>
      <c r="F32" s="2"/>
      <c r="G32" s="2"/>
      <c r="H32" s="2"/>
    </row>
    <row r="33" spans="8:8">
      <c r="A33" s="2"/>
      <c r="B33" s="2"/>
      <c r="C33" s="2"/>
      <c r="D33" s="2"/>
      <c r="E33" s="2"/>
      <c r="F33" s="2"/>
      <c r="G33" s="2"/>
      <c r="H33" s="2"/>
    </row>
    <row r="34" spans="8:8">
      <c r="A34" s="2"/>
      <c r="B34" s="2"/>
      <c r="C34" s="2"/>
      <c r="D34" s="2"/>
      <c r="E34" s="2"/>
      <c r="F34" s="2"/>
      <c r="G34" s="2"/>
      <c r="H34" s="2"/>
    </row>
    <row r="35" spans="8:8">
      <c r="A35" s="2"/>
      <c r="B35" s="2"/>
      <c r="C35" s="2"/>
      <c r="D35" s="2"/>
      <c r="E35" s="2"/>
      <c r="F35" s="2"/>
      <c r="G35" s="2"/>
      <c r="H35" s="2"/>
    </row>
    <row r="36" spans="8:8">
      <c r="A36" s="2"/>
      <c r="B36" s="2"/>
      <c r="C36" s="2"/>
      <c r="D36" s="2"/>
      <c r="E36" s="2"/>
      <c r="F36" s="2"/>
      <c r="G36" s="2"/>
      <c r="H36" s="2"/>
    </row>
    <row r="37" spans="8:8">
      <c r="A37" s="2"/>
      <c r="B37" s="2"/>
      <c r="C37" s="2"/>
      <c r="D37" s="2"/>
      <c r="E37" s="2"/>
      <c r="F37" s="2"/>
      <c r="G37" s="2"/>
      <c r="H37" s="2"/>
    </row>
    <row r="38" spans="8:8">
      <c r="A38" s="2"/>
      <c r="B38" s="2"/>
      <c r="C38" s="2"/>
      <c r="D38" s="2"/>
      <c r="E38" s="2"/>
      <c r="F38" s="2"/>
      <c r="G38" s="2"/>
      <c r="H38" s="2"/>
    </row>
    <row r="39" spans="8:8">
      <c r="A39" s="2"/>
      <c r="B39" s="2"/>
      <c r="C39" s="2"/>
      <c r="D39" s="2"/>
      <c r="E39" s="2"/>
      <c r="F39" s="2"/>
      <c r="G39" s="2"/>
      <c r="H39" s="2"/>
    </row>
    <row r="40" spans="8:8">
      <c r="A40" s="2"/>
      <c r="B40" s="2"/>
      <c r="C40" s="2"/>
      <c r="D40" s="2"/>
      <c r="E40" s="2"/>
      <c r="F40" s="2"/>
      <c r="G40" s="2"/>
      <c r="H40" s="2"/>
    </row>
  </sheetData>
  <mergeCells count="9">
    <mergeCell ref="A3:J3"/>
    <mergeCell ref="A2:J2"/>
    <mergeCell ref="I25:J25"/>
    <mergeCell ref="A1:J1"/>
    <mergeCell ref="C25:F25"/>
    <mergeCell ref="C21:J21"/>
    <mergeCell ref="C20:J20"/>
    <mergeCell ref="A18:B18"/>
    <mergeCell ref="A17:B17"/>
  </mergeCells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:W40"/>
  <sheetViews>
    <sheetView tabSelected="1" workbookViewId="0" topLeftCell="B2">
      <selection activeCell="F14" sqref="F14"/>
    </sheetView>
  </sheetViews>
  <sheetFormatPr defaultRowHeight="16.25" defaultColWidth="10"/>
  <cols>
    <col min="2" max="2" customWidth="1" bestFit="1" width="24.691406" style="0"/>
    <col min="3" max="3" customWidth="1" bestFit="1" width="12.152344" style="0"/>
    <col min="4" max="4" customWidth="1" bestFit="1" width="18.761719" style="0"/>
    <col min="5" max="5" customWidth="1" bestFit="1" width="16.921875" style="0"/>
    <col min="7" max="7" customWidth="1" bestFit="1" width="17.152344" style="0"/>
    <col min="10" max="10" customWidth="1" bestFit="1" width="15.691406" style="0"/>
  </cols>
  <sheetData>
    <row r="1" spans="8:8" ht="24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8:8" ht="24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8:8" ht="24.3">
      <c r="A3" s="1" t="s">
        <v>52</v>
      </c>
      <c r="B3" s="1"/>
      <c r="C3" s="1"/>
      <c r="D3" s="1"/>
      <c r="E3" s="1"/>
      <c r="F3" s="1"/>
      <c r="G3" s="1"/>
      <c r="H3" s="1"/>
      <c r="I3" s="1"/>
      <c r="J3" s="1"/>
    </row>
    <row r="4" spans="8:8">
      <c r="A4" s="2"/>
      <c r="B4" s="2"/>
      <c r="C4" s="2"/>
      <c r="D4" s="2"/>
      <c r="E4" s="2"/>
      <c r="F4" s="2"/>
      <c r="G4" s="2"/>
      <c r="H4" s="2"/>
    </row>
    <row r="5" spans="8:8" ht="16.8">
      <c r="A5" s="3" t="s">
        <v>3</v>
      </c>
      <c r="B5" s="4" t="s">
        <v>4</v>
      </c>
      <c r="C5" s="4"/>
      <c r="D5" s="4"/>
      <c r="E5" s="5" t="s">
        <v>5</v>
      </c>
      <c r="F5" s="6"/>
      <c r="G5" s="7"/>
      <c r="H5" s="5" t="s">
        <v>6</v>
      </c>
      <c r="I5" s="7"/>
      <c r="J5" s="8" t="s">
        <v>7</v>
      </c>
    </row>
    <row r="6" spans="8:8" ht="16.8">
      <c r="A6" s="9"/>
      <c r="B6" s="10" t="s">
        <v>8</v>
      </c>
      <c r="C6" s="10" t="s">
        <v>9</v>
      </c>
      <c r="D6" s="10" t="s">
        <v>10</v>
      </c>
      <c r="E6" s="10" t="s">
        <v>11</v>
      </c>
      <c r="F6" s="10" t="s">
        <v>9</v>
      </c>
      <c r="G6" s="10" t="s">
        <v>10</v>
      </c>
      <c r="H6" s="11" t="s">
        <v>9</v>
      </c>
      <c r="I6" s="11" t="s">
        <v>10</v>
      </c>
      <c r="J6" s="8"/>
    </row>
    <row r="7" spans="8:8">
      <c r="A7" s="12"/>
      <c r="B7" s="13"/>
      <c r="C7" s="13"/>
      <c r="D7" s="13"/>
      <c r="E7" s="13"/>
      <c r="F7" s="13"/>
      <c r="G7" s="13"/>
      <c r="H7" s="14"/>
      <c r="I7" s="14"/>
      <c r="J7" s="8"/>
    </row>
    <row r="8" spans="8:8" ht="21.95">
      <c r="A8" s="15">
        <v>1.0</v>
      </c>
      <c r="B8" s="16" t="s">
        <v>12</v>
      </c>
      <c r="C8" s="17">
        <v>13700.0</v>
      </c>
      <c r="D8" s="18"/>
      <c r="E8" s="16" t="s">
        <v>42</v>
      </c>
      <c r="F8" s="17">
        <v>1752.0</v>
      </c>
      <c r="G8" s="19">
        <f>SUM(F8*7400)</f>
        <v>1.29648E7</v>
      </c>
      <c r="H8" s="20"/>
      <c r="I8" s="21"/>
      <c r="J8" s="22"/>
    </row>
    <row r="9" spans="8:8" ht="21.95">
      <c r="A9" s="23">
        <v>2.0</v>
      </c>
      <c r="B9" s="24" t="s">
        <v>14</v>
      </c>
      <c r="C9" s="25">
        <v>18131.0</v>
      </c>
      <c r="D9" s="26"/>
      <c r="E9" s="24" t="s">
        <v>15</v>
      </c>
      <c r="F9" s="25">
        <v>1785.0</v>
      </c>
      <c r="G9" s="27">
        <f>SUM(F9*7400)</f>
        <v>1.3209E7</v>
      </c>
      <c r="H9" s="28"/>
      <c r="I9" s="29"/>
      <c r="J9" s="30"/>
      <c r="K9" s="31"/>
      <c r="L9" s="31"/>
      <c r="M9" s="31"/>
      <c r="N9" s="31"/>
    </row>
    <row r="10" spans="8:8" ht="21.95">
      <c r="A10" s="23">
        <v>3.0</v>
      </c>
      <c r="B10" s="24" t="s">
        <v>16</v>
      </c>
      <c r="C10" s="25">
        <v>1386.0</v>
      </c>
      <c r="D10" s="26"/>
      <c r="E10" s="24" t="s">
        <v>17</v>
      </c>
      <c r="F10" s="25"/>
      <c r="G10" s="27">
        <f>SUM(F10*7000)</f>
        <v>0.0</v>
      </c>
      <c r="H10" s="28"/>
      <c r="I10" s="29"/>
      <c r="J10" s="22"/>
    </row>
    <row r="11" spans="8:8" ht="21.95">
      <c r="A11" s="23">
        <v>4.0</v>
      </c>
      <c r="B11" s="24" t="s">
        <v>18</v>
      </c>
      <c r="C11" s="25">
        <v>3824.0</v>
      </c>
      <c r="D11" s="26"/>
      <c r="E11" s="24" t="s">
        <v>19</v>
      </c>
      <c r="F11" s="25">
        <v>2390.0</v>
      </c>
      <c r="G11" s="32">
        <f>SUM(F11*7500)</f>
        <v>1.7925E7</v>
      </c>
      <c r="H11" s="28"/>
      <c r="I11" s="29"/>
      <c r="J11" s="22"/>
    </row>
    <row r="12" spans="8:8" ht="21.95">
      <c r="A12" s="23">
        <v>5.0</v>
      </c>
      <c r="B12" s="24" t="s">
        <v>20</v>
      </c>
      <c r="C12" s="25">
        <v>20693.0</v>
      </c>
      <c r="D12" s="26"/>
      <c r="E12" s="24" t="s">
        <v>21</v>
      </c>
      <c r="F12" s="33"/>
      <c r="G12" s="27">
        <f>SUM(F12*7500)</f>
        <v>0.0</v>
      </c>
      <c r="H12" s="28"/>
      <c r="I12" s="29"/>
      <c r="J12" s="22"/>
    </row>
    <row r="13" spans="8:8" ht="21.95">
      <c r="A13" s="23">
        <v>6.0</v>
      </c>
      <c r="B13" s="24" t="s">
        <v>22</v>
      </c>
      <c r="C13" s="25">
        <v>9680.0</v>
      </c>
      <c r="D13" s="34"/>
      <c r="E13" s="24" t="s">
        <v>45</v>
      </c>
      <c r="F13" s="33">
        <v>8155.0</v>
      </c>
      <c r="G13" s="27">
        <f>SUM(F13*8000)</f>
        <v>6.524E7</v>
      </c>
      <c r="H13" s="28"/>
      <c r="I13" s="29"/>
      <c r="J13" s="22"/>
    </row>
    <row r="14" spans="8:8" ht="21.95">
      <c r="A14" s="23">
        <v>7.0</v>
      </c>
      <c r="B14" s="24" t="s">
        <v>23</v>
      </c>
      <c r="C14" s="25">
        <v>3778.0</v>
      </c>
      <c r="D14" s="26"/>
      <c r="E14" s="24" t="s">
        <v>46</v>
      </c>
      <c r="F14" s="33">
        <v>2800.0</v>
      </c>
      <c r="G14" s="27">
        <f>SUM(F14*8000)</f>
        <v>2.24E7</v>
      </c>
      <c r="H14" s="28"/>
      <c r="I14" s="29"/>
      <c r="J14" s="22"/>
    </row>
    <row r="15" spans="8:8" ht="21.95">
      <c r="A15" s="23">
        <v>8.0</v>
      </c>
      <c r="B15" s="36" t="s">
        <v>24</v>
      </c>
      <c r="C15" s="37">
        <v>21210.0</v>
      </c>
      <c r="D15" s="26"/>
      <c r="E15" s="24"/>
      <c r="F15" s="33"/>
      <c r="G15" s="35"/>
      <c r="H15" s="28"/>
      <c r="I15" s="29"/>
      <c r="J15" s="22"/>
    </row>
    <row r="16" spans="8:8" ht="21.95">
      <c r="A16" s="38">
        <v>9.0</v>
      </c>
      <c r="B16" s="39" t="s">
        <v>25</v>
      </c>
      <c r="C16" s="40">
        <v>3880.0</v>
      </c>
      <c r="D16" s="41"/>
      <c r="E16" s="39"/>
      <c r="F16" s="42"/>
      <c r="G16" s="43"/>
      <c r="H16" s="44"/>
      <c r="I16" s="45"/>
      <c r="J16" s="46"/>
    </row>
    <row r="17" spans="8:8" ht="21.95">
      <c r="A17" s="47" t="s">
        <v>26</v>
      </c>
      <c r="B17" s="47"/>
      <c r="C17" s="48">
        <f>SUM(C8+C9+C10+C11+C12+C13+C14+C15+C16)</f>
        <v>96282.0</v>
      </c>
      <c r="D17" s="48">
        <v>7.22115E8</v>
      </c>
      <c r="E17" s="49" t="s">
        <v>27</v>
      </c>
      <c r="F17" s="50">
        <f>SUM(F8+F9+F10+F11+F12+F13+F14+F15+F16)</f>
        <v>16882.0</v>
      </c>
      <c r="G17" s="51">
        <f>SUM(G8:G16)</f>
        <v>1.317388E8</v>
      </c>
      <c r="H17" s="52"/>
      <c r="I17" s="53"/>
      <c r="J17" s="54"/>
    </row>
    <row r="18" spans="8:8" ht="21.95">
      <c r="A18" s="47" t="s">
        <v>28</v>
      </c>
      <c r="B18" s="47"/>
      <c r="C18" s="48">
        <f>SUM(C17+F17)</f>
        <v>113164.0</v>
      </c>
      <c r="D18" s="48"/>
      <c r="E18" s="55"/>
      <c r="F18" s="56"/>
      <c r="G18" s="57">
        <f>SUM(D17+G17)</f>
        <v>8.538538E8</v>
      </c>
      <c r="H18" s="53"/>
      <c r="I18" s="53"/>
      <c r="J18" s="58"/>
    </row>
    <row r="19" spans="8:8" ht="18.7">
      <c r="A19" s="59"/>
      <c r="B19" s="59"/>
      <c r="C19" s="59"/>
      <c r="D19" s="59"/>
      <c r="E19" s="59"/>
      <c r="F19" s="59"/>
      <c r="G19" s="59"/>
      <c r="H19" s="59"/>
      <c r="I19" s="59"/>
      <c r="J19" s="59"/>
    </row>
    <row r="20" spans="8:8" ht="19.15">
      <c r="A20" s="59"/>
      <c r="B20" s="59"/>
      <c r="C20" s="60" t="s">
        <v>54</v>
      </c>
      <c r="D20" s="60"/>
      <c r="E20" s="60"/>
      <c r="F20" s="60"/>
      <c r="G20" s="60"/>
      <c r="H20" s="60"/>
      <c r="I20" s="60"/>
      <c r="J20" s="60"/>
    </row>
    <row r="21" spans="8:8" ht="19.15">
      <c r="A21" s="59"/>
      <c r="B21" s="59"/>
      <c r="C21" s="60" t="s">
        <v>30</v>
      </c>
      <c r="D21" s="60"/>
      <c r="E21" s="60"/>
      <c r="F21" s="60"/>
      <c r="G21" s="60"/>
      <c r="H21" s="60"/>
      <c r="I21" s="60"/>
      <c r="J21" s="60"/>
    </row>
    <row r="22" spans="8:8" ht="18.7">
      <c r="A22" s="59"/>
      <c r="B22" s="59"/>
      <c r="C22" s="59"/>
      <c r="D22" s="59"/>
      <c r="E22" s="61"/>
      <c r="F22" s="61"/>
      <c r="G22" s="61"/>
      <c r="H22" s="61"/>
      <c r="I22" s="61"/>
      <c r="J22" s="61"/>
    </row>
    <row r="23" spans="8:8" ht="18.7">
      <c r="A23" s="59"/>
      <c r="B23" s="59"/>
      <c r="C23" s="59"/>
      <c r="D23" s="59"/>
      <c r="E23" s="61"/>
      <c r="F23" s="61"/>
      <c r="G23" s="61"/>
      <c r="H23" s="61"/>
      <c r="I23" s="61"/>
      <c r="J23" s="61"/>
    </row>
    <row r="24" spans="8:8" ht="18.7">
      <c r="A24" s="59"/>
      <c r="B24" s="59"/>
      <c r="C24" s="59"/>
      <c r="D24" s="59"/>
      <c r="E24" s="61"/>
      <c r="F24" s="61"/>
      <c r="G24" s="61"/>
      <c r="H24" s="61"/>
      <c r="I24" s="61"/>
      <c r="J24" s="61"/>
    </row>
    <row r="25" spans="8:8" ht="19.15">
      <c r="A25" s="59"/>
      <c r="B25" s="59"/>
      <c r="C25" s="62" t="s">
        <v>31</v>
      </c>
      <c r="D25" s="62"/>
      <c r="E25" s="62"/>
      <c r="F25" s="62"/>
      <c r="G25" s="63"/>
      <c r="H25" s="64" t="s">
        <v>32</v>
      </c>
      <c r="I25" s="62" t="s">
        <v>33</v>
      </c>
      <c r="J25" s="62"/>
      <c r="K25" s="65"/>
    </row>
    <row r="26" spans="8:8" ht="16.35">
      <c r="A26" s="2"/>
      <c r="B26" s="2"/>
      <c r="C26" s="2"/>
      <c r="D26" s="2"/>
      <c r="E26" s="66"/>
      <c r="F26" s="66"/>
      <c r="G26" s="66"/>
      <c r="H26" s="66"/>
      <c r="I26" s="66"/>
      <c r="J26" s="66"/>
    </row>
    <row r="27" spans="8:8" ht="16.35">
      <c r="A27" s="2"/>
      <c r="B27" s="2"/>
      <c r="C27" s="2"/>
      <c r="D27" s="2"/>
      <c r="E27" s="66"/>
      <c r="F27" s="66"/>
      <c r="G27" s="66"/>
      <c r="H27" s="66"/>
      <c r="I27" s="66"/>
      <c r="J27" s="66"/>
    </row>
    <row r="28" spans="8:8">
      <c r="A28" s="2"/>
      <c r="B28" s="2"/>
      <c r="C28" s="2"/>
      <c r="D28" s="2"/>
      <c r="E28" s="2"/>
      <c r="F28" s="2"/>
      <c r="G28" s="2"/>
      <c r="H28" s="2"/>
    </row>
    <row r="29" spans="8:8">
      <c r="A29" s="2"/>
      <c r="B29" s="2"/>
      <c r="C29" s="2"/>
      <c r="D29" s="2"/>
      <c r="E29" s="2"/>
      <c r="F29" s="2"/>
      <c r="G29" s="2"/>
      <c r="H29" s="2"/>
    </row>
    <row r="30" spans="8:8">
      <c r="A30" s="2"/>
      <c r="B30" s="2"/>
      <c r="C30" s="2"/>
      <c r="D30" s="2"/>
      <c r="E30" s="2"/>
      <c r="F30" s="2"/>
      <c r="G30" s="2"/>
      <c r="H30" s="2"/>
    </row>
    <row r="31" spans="8:8">
      <c r="A31" s="2"/>
      <c r="B31" s="2"/>
      <c r="C31" s="2"/>
      <c r="D31" s="2"/>
      <c r="E31" s="2"/>
      <c r="F31" s="2"/>
      <c r="G31" s="2"/>
      <c r="H31" s="2"/>
    </row>
    <row r="32" spans="8:8">
      <c r="A32" s="2"/>
      <c r="B32" s="2"/>
      <c r="C32" s="2"/>
      <c r="D32" s="2"/>
      <c r="E32" s="2"/>
      <c r="F32" s="2"/>
      <c r="G32" s="2"/>
      <c r="H32" s="2"/>
    </row>
    <row r="33" spans="8:8">
      <c r="A33" s="2"/>
      <c r="B33" s="2"/>
      <c r="C33" s="2"/>
      <c r="D33" s="2"/>
      <c r="E33" s="2"/>
      <c r="F33" s="2"/>
      <c r="G33" s="2"/>
      <c r="H33" s="2"/>
    </row>
    <row r="34" spans="8:8">
      <c r="A34" s="2"/>
      <c r="B34" s="2"/>
      <c r="C34" s="2"/>
      <c r="D34" s="2"/>
      <c r="E34" s="2"/>
      <c r="F34" s="2"/>
      <c r="G34" s="2"/>
      <c r="H34" s="2"/>
    </row>
    <row r="35" spans="8:8">
      <c r="A35" s="2"/>
      <c r="B35" s="2"/>
      <c r="C35" s="2"/>
      <c r="D35" s="2"/>
      <c r="E35" s="2"/>
      <c r="F35" s="2"/>
      <c r="G35" s="2"/>
      <c r="H35" s="2"/>
    </row>
    <row r="36" spans="8:8">
      <c r="A36" s="2"/>
      <c r="B36" s="2"/>
      <c r="C36" s="2"/>
      <c r="D36" s="2"/>
      <c r="E36" s="2"/>
      <c r="F36" s="2"/>
      <c r="G36" s="2"/>
      <c r="H36" s="2"/>
    </row>
    <row r="37" spans="8:8">
      <c r="A37" s="2"/>
      <c r="B37" s="2"/>
      <c r="C37" s="2"/>
      <c r="D37" s="2"/>
      <c r="E37" s="2"/>
      <c r="F37" s="2"/>
      <c r="G37" s="2"/>
      <c r="H37" s="2"/>
    </row>
    <row r="38" spans="8:8">
      <c r="A38" s="2"/>
      <c r="B38" s="2"/>
      <c r="C38" s="2"/>
      <c r="D38" s="2"/>
      <c r="E38" s="2"/>
      <c r="F38" s="2"/>
      <c r="G38" s="2"/>
      <c r="H38" s="2"/>
    </row>
    <row r="39" spans="8:8">
      <c r="A39" s="2"/>
      <c r="B39" s="2"/>
      <c r="C39" s="2"/>
      <c r="D39" s="2"/>
      <c r="E39" s="2"/>
      <c r="F39" s="2"/>
      <c r="G39" s="2"/>
      <c r="H39" s="2"/>
    </row>
    <row r="40" spans="8:8">
      <c r="A40" s="2"/>
      <c r="B40" s="2"/>
      <c r="C40" s="2"/>
      <c r="D40" s="2"/>
      <c r="E40" s="2"/>
      <c r="F40" s="2"/>
      <c r="G40" s="2"/>
      <c r="H40" s="2"/>
    </row>
  </sheetData>
  <mergeCells count="9">
    <mergeCell ref="A17:B17"/>
    <mergeCell ref="A18:B18"/>
    <mergeCell ref="C20:J20"/>
    <mergeCell ref="C21:J21"/>
    <mergeCell ref="C25:F25"/>
    <mergeCell ref="I25:J25"/>
    <mergeCell ref="A1:J1"/>
    <mergeCell ref="A2:J2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SM-P619</dc:creator>
  <dcterms:created xsi:type="dcterms:W3CDTF">2025-12-17T21:27:03Z</dcterms:created>
  <dcterms:modified xsi:type="dcterms:W3CDTF">2026-08-13T23:09:44Z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2bee49bcbe7a41a8b6e7608a06dabe81</vt:lpwstr>
  </property>
</Properties>
</file>