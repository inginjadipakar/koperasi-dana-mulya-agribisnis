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20115" windowHeight="7740" firstSheet="1" activeTab="6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Sheet7" sheetId="8" r:id="rId8"/>
    <sheet name="Sheet8" sheetId="9" r:id="rId9"/>
    <sheet name="Sheet9" sheetId="10" r:id="rId10"/>
    <sheet name="Sheet10" sheetId="11" r:id="rId11"/>
    <sheet name="Sheet11" sheetId="12" r:id="rId12"/>
    <sheet name="Sheet1" sheetId="13" r:id="rId13"/>
  </sheets>
  <calcPr calcId="144525"/>
</workbook>
</file>

<file path=xl/calcChain.xml><?xml version="1.0" encoding="utf-8"?>
<calcChain xmlns="http://schemas.openxmlformats.org/spreadsheetml/2006/main">
  <c r="U23" i="8" l="1"/>
  <c r="J25" i="8"/>
  <c r="J25" i="7"/>
  <c r="D36" i="8"/>
  <c r="D38" i="8"/>
  <c r="E35" i="8"/>
  <c r="G34" i="8"/>
  <c r="E33" i="8"/>
  <c r="G33" i="8" s="1"/>
  <c r="E28" i="8"/>
  <c r="D28" i="8"/>
  <c r="C28" i="8"/>
  <c r="K27" i="8"/>
  <c r="J27" i="8"/>
  <c r="E38" i="8" s="1"/>
  <c r="N26" i="8"/>
  <c r="F39" i="8" s="1"/>
  <c r="K26" i="8"/>
  <c r="J26" i="8"/>
  <c r="K24" i="8"/>
  <c r="K23" i="8"/>
  <c r="K22" i="8"/>
  <c r="K21" i="8"/>
  <c r="K20" i="8"/>
  <c r="K19" i="8"/>
  <c r="K18" i="8"/>
  <c r="K17" i="8"/>
  <c r="N16" i="8"/>
  <c r="E39" i="8" s="1"/>
  <c r="M16" i="8"/>
  <c r="D39" i="8" s="1"/>
  <c r="K16" i="8"/>
  <c r="K15" i="8"/>
  <c r="K14" i="8"/>
  <c r="K13" i="8"/>
  <c r="K12" i="8"/>
  <c r="K11" i="8"/>
  <c r="K10" i="8"/>
  <c r="N9" i="8"/>
  <c r="K9" i="8"/>
  <c r="N8" i="8"/>
  <c r="K8" i="8"/>
  <c r="K7" i="8"/>
  <c r="F7" i="8"/>
  <c r="F28" i="8" s="1"/>
  <c r="G39" i="8" l="1"/>
  <c r="K25" i="8"/>
  <c r="K28" i="8" s="1"/>
  <c r="F38" i="8"/>
  <c r="G38" i="8" s="1"/>
  <c r="G35" i="8"/>
  <c r="G36" i="8" s="1"/>
  <c r="D40" i="8"/>
  <c r="N28" i="8"/>
  <c r="E36" i="8"/>
  <c r="E40" i="8" s="1"/>
  <c r="J28" i="8"/>
  <c r="F35" i="8"/>
  <c r="F36" i="8" s="1"/>
  <c r="M28" i="8"/>
  <c r="K19" i="7"/>
  <c r="E33" i="7"/>
  <c r="G33" i="7" s="1"/>
  <c r="K20" i="7"/>
  <c r="D38" i="7"/>
  <c r="D36" i="7"/>
  <c r="E35" i="7"/>
  <c r="F35" i="7" s="1"/>
  <c r="G34" i="7"/>
  <c r="E28" i="7"/>
  <c r="D28" i="7"/>
  <c r="C28" i="7"/>
  <c r="K27" i="7"/>
  <c r="J27" i="7"/>
  <c r="E38" i="7" s="1"/>
  <c r="N26" i="7"/>
  <c r="F39" i="7" s="1"/>
  <c r="K26" i="7"/>
  <c r="J26" i="7"/>
  <c r="K24" i="7"/>
  <c r="U23" i="7"/>
  <c r="K23" i="7"/>
  <c r="K22" i="7"/>
  <c r="K21" i="7"/>
  <c r="K18" i="7"/>
  <c r="K17" i="7"/>
  <c r="M16" i="7"/>
  <c r="D39" i="7" s="1"/>
  <c r="K16" i="7"/>
  <c r="K15" i="7"/>
  <c r="K14" i="7"/>
  <c r="K13" i="7"/>
  <c r="K12" i="7"/>
  <c r="K11" i="7"/>
  <c r="K10" i="7"/>
  <c r="N9" i="7"/>
  <c r="K9" i="7"/>
  <c r="N8" i="7"/>
  <c r="K8" i="7"/>
  <c r="K7" i="7"/>
  <c r="F7" i="7"/>
  <c r="F28" i="7" s="1"/>
  <c r="G40" i="8" l="1"/>
  <c r="F40" i="8"/>
  <c r="G41" i="8" s="1"/>
  <c r="N16" i="7"/>
  <c r="E39" i="7" s="1"/>
  <c r="G39" i="7" s="1"/>
  <c r="K25" i="7"/>
  <c r="K28" i="7" s="1"/>
  <c r="G35" i="7"/>
  <c r="G36" i="7" s="1"/>
  <c r="F36" i="7"/>
  <c r="D40" i="7"/>
  <c r="F38" i="7"/>
  <c r="G38" i="7" s="1"/>
  <c r="J28" i="7"/>
  <c r="E36" i="7"/>
  <c r="E40" i="7" s="1"/>
  <c r="M28" i="7"/>
  <c r="K19" i="6"/>
  <c r="J19" i="6" s="1"/>
  <c r="N28" i="7" l="1"/>
  <c r="G40" i="7"/>
  <c r="F40" i="7"/>
  <c r="G41" i="7" s="1"/>
  <c r="F7" i="6"/>
  <c r="U23" i="6" l="1"/>
  <c r="K8" i="6"/>
  <c r="K9" i="6"/>
  <c r="K10" i="6"/>
  <c r="K11" i="6"/>
  <c r="K12" i="6"/>
  <c r="K13" i="6"/>
  <c r="K14" i="6"/>
  <c r="K15" i="6"/>
  <c r="K16" i="6"/>
  <c r="K17" i="6"/>
  <c r="K18" i="6"/>
  <c r="K21" i="6"/>
  <c r="K22" i="6"/>
  <c r="K23" i="6"/>
  <c r="K24" i="6"/>
  <c r="K7" i="6"/>
  <c r="D38" i="6"/>
  <c r="D36" i="6"/>
  <c r="E35" i="6"/>
  <c r="F35" i="6" s="1"/>
  <c r="G34" i="6"/>
  <c r="E33" i="6"/>
  <c r="F28" i="6"/>
  <c r="E28" i="6"/>
  <c r="D28" i="6"/>
  <c r="C28" i="6"/>
  <c r="K27" i="6"/>
  <c r="J27" i="6"/>
  <c r="E38" i="6" s="1"/>
  <c r="N26" i="6"/>
  <c r="F39" i="6" s="1"/>
  <c r="K26" i="6"/>
  <c r="J26" i="6"/>
  <c r="J25" i="6"/>
  <c r="F38" i="6" s="1"/>
  <c r="M16" i="6"/>
  <c r="D39" i="6" s="1"/>
  <c r="N9" i="6"/>
  <c r="N8" i="6"/>
  <c r="K25" i="6" l="1"/>
  <c r="K28" i="6" s="1"/>
  <c r="E36" i="6"/>
  <c r="G33" i="6"/>
  <c r="N16" i="6"/>
  <c r="E39" i="6"/>
  <c r="G39" i="6" s="1"/>
  <c r="N28" i="6"/>
  <c r="G38" i="6"/>
  <c r="G35" i="6"/>
  <c r="G36" i="6" s="1"/>
  <c r="F36" i="6"/>
  <c r="F40" i="6" s="1"/>
  <c r="G41" i="6" s="1"/>
  <c r="D40" i="6"/>
  <c r="M28" i="6"/>
  <c r="J28" i="6"/>
  <c r="G40" i="6" l="1"/>
  <c r="E40" i="6"/>
  <c r="E6" i="4" l="1"/>
  <c r="F6" i="5" l="1"/>
  <c r="F6" i="4"/>
  <c r="F6" i="3"/>
  <c r="F6" i="2"/>
  <c r="F6" i="1"/>
  <c r="H29" i="1" l="1"/>
  <c r="P22" i="5" l="1"/>
  <c r="N22" i="5"/>
  <c r="K22" i="5"/>
  <c r="C22" i="5"/>
  <c r="V21" i="5"/>
  <c r="L18" i="5"/>
  <c r="L17" i="5"/>
  <c r="L16" i="5"/>
  <c r="L15" i="5"/>
  <c r="L14" i="5"/>
  <c r="L13" i="5"/>
  <c r="L12" i="5"/>
  <c r="L11" i="5"/>
  <c r="L10" i="5"/>
  <c r="L9" i="5"/>
  <c r="L8" i="5"/>
  <c r="L7" i="5"/>
  <c r="L6" i="5"/>
  <c r="E6" i="5"/>
  <c r="F22" i="5" s="1"/>
  <c r="P22" i="4"/>
  <c r="N22" i="4"/>
  <c r="K22" i="4"/>
  <c r="C22" i="4"/>
  <c r="V21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F22" i="4"/>
  <c r="E22" i="4"/>
  <c r="G27" i="4" s="1"/>
  <c r="H29" i="4" s="1"/>
  <c r="P22" i="3"/>
  <c r="N22" i="3"/>
  <c r="K22" i="3"/>
  <c r="C22" i="3"/>
  <c r="V21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E6" i="3"/>
  <c r="F22" i="3" s="1"/>
  <c r="P22" i="2"/>
  <c r="N22" i="2"/>
  <c r="K22" i="2"/>
  <c r="C22" i="2"/>
  <c r="V21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E6" i="2"/>
  <c r="F22" i="2" s="1"/>
  <c r="H30" i="5" l="1"/>
  <c r="L22" i="5"/>
  <c r="H30" i="4"/>
  <c r="L22" i="4"/>
  <c r="H30" i="3"/>
  <c r="L22" i="3"/>
  <c r="H30" i="2"/>
  <c r="L22" i="2"/>
  <c r="E22" i="5"/>
  <c r="G27" i="5" s="1"/>
  <c r="H29" i="5" s="1"/>
  <c r="E22" i="3"/>
  <c r="G27" i="3" s="1"/>
  <c r="H29" i="3" s="1"/>
  <c r="E22" i="2"/>
  <c r="G27" i="2" s="1"/>
  <c r="H29" i="2" s="1"/>
  <c r="P22" i="1"/>
  <c r="N22" i="1"/>
  <c r="K22" i="1"/>
  <c r="C22" i="1"/>
  <c r="V21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E6" i="1"/>
  <c r="F22" i="1" s="1"/>
  <c r="H30" i="1" l="1"/>
  <c r="L22" i="1"/>
  <c r="E22" i="1"/>
  <c r="G27" i="1" s="1"/>
</calcChain>
</file>

<file path=xl/sharedStrings.xml><?xml version="1.0" encoding="utf-8"?>
<sst xmlns="http://schemas.openxmlformats.org/spreadsheetml/2006/main" count="631" uniqueCount="167">
  <si>
    <t>LAPORAN PEMBELIAN DAN PENJUALAN DEPOT SUSU</t>
  </si>
  <si>
    <t>BIAYA OPERASIONAL</t>
  </si>
  <si>
    <t>NO</t>
  </si>
  <si>
    <t>Pembelian dari Prosesing</t>
  </si>
  <si>
    <t>Penjualan pada Agen</t>
  </si>
  <si>
    <t>Lain-lain (dipergunakan karena)</t>
  </si>
  <si>
    <t>NAMA BARANG/JENIS</t>
  </si>
  <si>
    <t>JUMLAH</t>
  </si>
  <si>
    <t>HARGA</t>
  </si>
  <si>
    <t>TOTAL</t>
  </si>
  <si>
    <t>Harga</t>
  </si>
  <si>
    <t>Liter</t>
  </si>
  <si>
    <t>Rupiah</t>
  </si>
  <si>
    <t>Nama</t>
  </si>
  <si>
    <t>Item</t>
  </si>
  <si>
    <t>Per Liter</t>
  </si>
  <si>
    <t>Heru</t>
  </si>
  <si>
    <t>sosial susu botol</t>
  </si>
  <si>
    <t>Jainal</t>
  </si>
  <si>
    <t>sosial susu liter</t>
  </si>
  <si>
    <t>yuli</t>
  </si>
  <si>
    <t>Susut</t>
  </si>
  <si>
    <t>Nindri</t>
  </si>
  <si>
    <t>susu rusak</t>
  </si>
  <si>
    <t>Isa</t>
  </si>
  <si>
    <t xml:space="preserve">susu bonus agen </t>
  </si>
  <si>
    <t>Usman</t>
  </si>
  <si>
    <t>Gresik</t>
  </si>
  <si>
    <t>Karyawan</t>
  </si>
  <si>
    <t>Sudar</t>
  </si>
  <si>
    <t>Fx. Munir</t>
  </si>
  <si>
    <t>Puri</t>
  </si>
  <si>
    <t>Polo sumberan</t>
  </si>
  <si>
    <t>Pak Mul Sampurna</t>
  </si>
  <si>
    <t>Umum</t>
  </si>
  <si>
    <t>Botol</t>
  </si>
  <si>
    <t>Gelas</t>
  </si>
  <si>
    <t>KETERANGAN:</t>
  </si>
  <si>
    <t>Ltr</t>
  </si>
  <si>
    <t>Persediaan</t>
  </si>
  <si>
    <t>Nindria Kuswarinjani</t>
  </si>
  <si>
    <t>Stock Susu per tgl 31/12/2025</t>
  </si>
  <si>
    <t>PERIODE JANUARI 2026</t>
  </si>
  <si>
    <t>Penerimaan bulan Januari 2026</t>
  </si>
  <si>
    <t>Pengeluaran Bulan Januari 2026</t>
  </si>
  <si>
    <t>Stock Susu per tgl 31/01/2026</t>
  </si>
  <si>
    <t>Stock Riil per tgl 31/01/2026</t>
  </si>
  <si>
    <t>Pacet, 2026</t>
  </si>
  <si>
    <t>Kg</t>
  </si>
  <si>
    <t>sosial susu liter koramil 503 bulan desember</t>
  </si>
  <si>
    <t>susu rusak botol</t>
  </si>
  <si>
    <t>nb : 500liter, 270botol</t>
  </si>
  <si>
    <t>lemburan nataru</t>
  </si>
  <si>
    <t>stiker</t>
  </si>
  <si>
    <t>kresek,esense</t>
  </si>
  <si>
    <t xml:space="preserve">galon </t>
  </si>
  <si>
    <t>sepatu isa yoga</t>
  </si>
  <si>
    <t>gula</t>
  </si>
  <si>
    <t>sampah</t>
  </si>
  <si>
    <t>plastik</t>
  </si>
  <si>
    <t xml:space="preserve">belanja </t>
  </si>
  <si>
    <t xml:space="preserve">belanja kresek </t>
  </si>
  <si>
    <t>botol</t>
  </si>
  <si>
    <t>lpg</t>
  </si>
  <si>
    <t>wifi</t>
  </si>
  <si>
    <t>tatakan kompor</t>
  </si>
  <si>
    <t>service frezer</t>
  </si>
  <si>
    <t>Stock Susu per tgl 28/02/2026</t>
  </si>
  <si>
    <t>Stock Riil per tgl 28/02/2026</t>
  </si>
  <si>
    <t>nb sisa 100liter,dan 256 botol</t>
  </si>
  <si>
    <t>thermal</t>
  </si>
  <si>
    <t xml:space="preserve">print </t>
  </si>
  <si>
    <t xml:space="preserve">lemburan </t>
  </si>
  <si>
    <t>kresek</t>
  </si>
  <si>
    <t>PERIODE FEBRUARI 2026</t>
  </si>
  <si>
    <t>Pengeluaran Bulan Februari 2026</t>
  </si>
  <si>
    <t>PERIODE MARET 2026</t>
  </si>
  <si>
    <t>Pengeluaran Bulan Maret 2026</t>
  </si>
  <si>
    <t>Stock Susu per tgl 31/03/2026</t>
  </si>
  <si>
    <t>Stock Riil per tgl 31/03/2026</t>
  </si>
  <si>
    <t>nb : liter 160,botol 86</t>
  </si>
  <si>
    <t>plastik susu</t>
  </si>
  <si>
    <t>galon</t>
  </si>
  <si>
    <t>esense</t>
  </si>
  <si>
    <t>sabun</t>
  </si>
  <si>
    <t>lemburan hari raya 5orang</t>
  </si>
  <si>
    <t>nb : sisa botol 320,sisa liter 260</t>
  </si>
  <si>
    <t>plastik,kasak,sedotan</t>
  </si>
  <si>
    <t>lemburan</t>
  </si>
  <si>
    <t>PERIODE APRIL 2026</t>
  </si>
  <si>
    <t>Stock Susu per tgl 31/04/2026</t>
  </si>
  <si>
    <t>Penerimaan bulan Mei 2026</t>
  </si>
  <si>
    <t>Pengeluaran Bulan Mei 2026</t>
  </si>
  <si>
    <t>Stock Susu per tgl 31/05/2026</t>
  </si>
  <si>
    <t>Stock Riil per tgl 31/05/2026</t>
  </si>
  <si>
    <t>PERIODE MEI 2026</t>
  </si>
  <si>
    <t>nb: sisa liter 420, botol 120</t>
  </si>
  <si>
    <t>slang regulator</t>
  </si>
  <si>
    <t>gelas</t>
  </si>
  <si>
    <t>LAPORAN PENERIMAAN DAN PENGELUARAN</t>
  </si>
  <si>
    <t xml:space="preserve"> DEPOT SUSU KOPERASI AGRIBISNIS DANA MULYA PACET</t>
  </si>
  <si>
    <t>PERIODE JUNI 2026</t>
  </si>
  <si>
    <t>PEMBELIAN</t>
  </si>
  <si>
    <t>PENJUALAN</t>
  </si>
  <si>
    <t>LAIN-LAIN</t>
  </si>
  <si>
    <t>ASAL</t>
  </si>
  <si>
    <t>KG</t>
  </si>
  <si>
    <t>LITER</t>
  </si>
  <si>
    <t>HARGA/KG</t>
  </si>
  <si>
    <t>RP.</t>
  </si>
  <si>
    <t>KETERANGAN</t>
  </si>
  <si>
    <t>QTY</t>
  </si>
  <si>
    <t>RP</t>
  </si>
  <si>
    <t>PROCESSING</t>
  </si>
  <si>
    <t>BOTOL</t>
  </si>
  <si>
    <t>SEGAR</t>
  </si>
  <si>
    <t>JUMLAH SUSU SEGAR</t>
  </si>
  <si>
    <t>GELAS</t>
  </si>
  <si>
    <t>TOTAL PEMBELIAN</t>
  </si>
  <si>
    <t>TOTAL PENJUALAN</t>
  </si>
  <si>
    <t>TOTAL LAIN-LAIN</t>
  </si>
  <si>
    <t>JUMLAH LITER</t>
  </si>
  <si>
    <t>Pacet , 10 Juli 2026</t>
  </si>
  <si>
    <t>STOK AWAL</t>
  </si>
  <si>
    <t>PENERIMAAN SUSU</t>
  </si>
  <si>
    <t>PRODUKSI BOTOL</t>
  </si>
  <si>
    <t>PERSEDIAAN SIAP JUAL</t>
  </si>
  <si>
    <t>PENGELUARAN SUSU :</t>
  </si>
  <si>
    <t>- PENJUALAN</t>
  </si>
  <si>
    <t>- LAIN - LAIN</t>
  </si>
  <si>
    <t>STOK AKHIR SUSU</t>
  </si>
  <si>
    <t>HERU</t>
  </si>
  <si>
    <t>JAINAL</t>
  </si>
  <si>
    <t>USMAN</t>
  </si>
  <si>
    <t>NINDRI</t>
  </si>
  <si>
    <t>ISA</t>
  </si>
  <si>
    <t>YULI</t>
  </si>
  <si>
    <t>PURI</t>
  </si>
  <si>
    <t>GRESIK</t>
  </si>
  <si>
    <t>SUDAR</t>
  </si>
  <si>
    <t>FX. MUNIR</t>
  </si>
  <si>
    <t>PAK MUL SAMPORNA</t>
  </si>
  <si>
    <t>KARYAWAN</t>
  </si>
  <si>
    <t>UMUM</t>
  </si>
  <si>
    <t>SUSUT LITER</t>
  </si>
  <si>
    <t>SUSU SOSIAL</t>
  </si>
  <si>
    <t>SUSU BONUS AGEN</t>
  </si>
  <si>
    <t>kopi</t>
  </si>
  <si>
    <t>beli wd</t>
  </si>
  <si>
    <t>beli tang</t>
  </si>
  <si>
    <t>tabung lpg</t>
  </si>
  <si>
    <t>SUSUT MASAK</t>
  </si>
  <si>
    <t>BOTOL RUSAK</t>
  </si>
  <si>
    <t>BOTOL SOSIAL POLSEK</t>
  </si>
  <si>
    <t>Pacet , 10 AGUSTUS 2026</t>
  </si>
  <si>
    <t>PERIODE JULI 2026</t>
  </si>
  <si>
    <t>service cooling</t>
  </si>
  <si>
    <t>kresek ,plastik</t>
  </si>
  <si>
    <t>print menu</t>
  </si>
  <si>
    <t>gelas ukur</t>
  </si>
  <si>
    <t>tes pen</t>
  </si>
  <si>
    <t xml:space="preserve">kresek </t>
  </si>
  <si>
    <t>garam</t>
  </si>
  <si>
    <t>esen,tisu</t>
  </si>
  <si>
    <t>karet</t>
  </si>
  <si>
    <t>PERIODE AGUSTUS 2026</t>
  </si>
  <si>
    <t>Pacet , 10 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</si>
</sst>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_(* #,##0_);_(* \(#,##0\);_(* &quot;-&quot;??_);_(@_)"/>
    <numFmt numFmtId="166" formatCode="_-* #,##0.00_-;\-* #,##0.00_-;_-* &quot;-&quot;??_-;_-@_-"/>
  </numFmts>
  <fonts count="18" x14ac:knownFonts="1">
    <font>
      <sz val="11"/>
      <name val="Calibri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charset val="1"/>
    </font>
    <font>
      <sz val="18"/>
      <color rgb="FF000000"/>
      <name val="Arial Black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  <font>
      <u/>
      <sz val="11"/>
      <color rgb="FF000000"/>
      <name val="Calibri"/>
      <charset val="1"/>
    </font>
    <font>
      <sz val="11"/>
      <name val="Calibri"/>
    </font>
    <font>
      <b/>
      <sz val="16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u/>
      <sz val="12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protection locked="0"/>
    </xf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196">
    <xf numFmtId="0" fontId="0" fillId="0" borderId="0" xfId="0">
      <alignment vertical="center"/>
    </xf>
    <xf numFmtId="0" fontId="2" fillId="0" borderId="0" xfId="0" applyFont="1" applyAlignment="1"/>
    <xf numFmtId="0" fontId="4" fillId="0" borderId="0" xfId="1" applyAlignment="1" applyProtection="1"/>
    <xf numFmtId="0" fontId="5" fillId="0" borderId="3" xfId="1" applyFont="1" applyBorder="1" applyAlignment="1" applyProtection="1">
      <alignment horizontal="center"/>
    </xf>
    <xf numFmtId="0" fontId="5" fillId="0" borderId="6" xfId="1" applyFont="1" applyBorder="1" applyAlignment="1" applyProtection="1">
      <alignment horizontal="center"/>
    </xf>
    <xf numFmtId="0" fontId="5" fillId="0" borderId="5" xfId="1" applyFont="1" applyBorder="1" applyAlignment="1" applyProtection="1">
      <alignment horizontal="center"/>
    </xf>
    <xf numFmtId="0" fontId="4" fillId="0" borderId="8" xfId="1" applyBorder="1" applyAlignment="1" applyProtection="1">
      <alignment horizontal="center"/>
    </xf>
    <xf numFmtId="0" fontId="4" fillId="0" borderId="9" xfId="1" applyBorder="1" applyAlignment="1" applyProtection="1"/>
    <xf numFmtId="0" fontId="4" fillId="0" borderId="2" xfId="1" applyBorder="1" applyAlignment="1" applyProtection="1">
      <alignment horizontal="center"/>
    </xf>
    <xf numFmtId="3" fontId="4" fillId="0" borderId="10" xfId="1" applyNumberFormat="1" applyBorder="1" applyAlignment="1" applyProtection="1"/>
    <xf numFmtId="3" fontId="4" fillId="0" borderId="9" xfId="1" applyNumberFormat="1" applyBorder="1" applyAlignment="1" applyProtection="1"/>
    <xf numFmtId="0" fontId="4" fillId="0" borderId="2" xfId="1" applyBorder="1" applyAlignment="1" applyProtection="1">
      <alignment horizontal="center" vertical="center"/>
    </xf>
    <xf numFmtId="3" fontId="4" fillId="0" borderId="2" xfId="1" applyNumberFormat="1" applyBorder="1" applyAlignment="1" applyProtection="1">
      <alignment horizontal="center"/>
    </xf>
    <xf numFmtId="0" fontId="4" fillId="0" borderId="9" xfId="1" applyBorder="1" applyAlignment="1" applyProtection="1">
      <alignment horizontal="center" vertical="center"/>
    </xf>
    <xf numFmtId="3" fontId="4" fillId="0" borderId="2" xfId="1" applyNumberFormat="1" applyBorder="1" applyAlignment="1" applyProtection="1">
      <alignment horizontal="center" vertical="center"/>
    </xf>
    <xf numFmtId="0" fontId="4" fillId="0" borderId="2" xfId="1" applyBorder="1" applyAlignment="1" applyProtection="1"/>
    <xf numFmtId="3" fontId="4" fillId="0" borderId="11" xfId="1" applyNumberFormat="1" applyBorder="1" applyAlignment="1" applyProtection="1"/>
    <xf numFmtId="3" fontId="4" fillId="0" borderId="2" xfId="1" applyNumberFormat="1" applyBorder="1" applyAlignment="1" applyProtection="1"/>
    <xf numFmtId="3" fontId="4" fillId="0" borderId="12" xfId="1" applyNumberFormat="1" applyBorder="1" applyAlignment="1" applyProtection="1"/>
    <xf numFmtId="164" fontId="4" fillId="0" borderId="2" xfId="1" applyNumberFormat="1" applyBorder="1" applyAlignment="1" applyProtection="1"/>
    <xf numFmtId="0" fontId="4" fillId="0" borderId="2" xfId="1" applyNumberFormat="1" applyBorder="1" applyAlignment="1" applyProtection="1">
      <alignment horizontal="center" vertical="center"/>
    </xf>
    <xf numFmtId="0" fontId="4" fillId="0" borderId="9" xfId="1" applyBorder="1" applyAlignment="1" applyProtection="1">
      <alignment horizontal="center"/>
    </xf>
    <xf numFmtId="3" fontId="4" fillId="0" borderId="8" xfId="1" applyNumberFormat="1" applyBorder="1" applyAlignment="1" applyProtection="1"/>
    <xf numFmtId="164" fontId="4" fillId="0" borderId="9" xfId="1" applyNumberFormat="1" applyBorder="1" applyAlignment="1" applyProtection="1"/>
    <xf numFmtId="0" fontId="4" fillId="0" borderId="9" xfId="1" applyFill="1" applyBorder="1" applyAlignment="1" applyProtection="1"/>
    <xf numFmtId="3" fontId="4" fillId="0" borderId="0" xfId="1" applyNumberFormat="1" applyBorder="1" applyAlignment="1" applyProtection="1"/>
    <xf numFmtId="164" fontId="4" fillId="0" borderId="9" xfId="1" applyNumberFormat="1" applyFill="1" applyBorder="1" applyAlignment="1" applyProtection="1"/>
    <xf numFmtId="0" fontId="4" fillId="0" borderId="7" xfId="1" applyBorder="1" applyAlignment="1" applyProtection="1"/>
    <xf numFmtId="0" fontId="4" fillId="0" borderId="7" xfId="1" applyBorder="1" applyAlignment="1" applyProtection="1">
      <alignment horizontal="center"/>
    </xf>
    <xf numFmtId="3" fontId="4" fillId="0" borderId="7" xfId="1" applyNumberFormat="1" applyBorder="1" applyAlignment="1" applyProtection="1"/>
    <xf numFmtId="0" fontId="4" fillId="0" borderId="4" xfId="1" applyBorder="1" applyAlignment="1" applyProtection="1">
      <alignment horizontal="center"/>
    </xf>
    <xf numFmtId="0" fontId="4" fillId="0" borderId="4" xfId="1" applyBorder="1" applyAlignment="1" applyProtection="1"/>
    <xf numFmtId="3" fontId="4" fillId="0" borderId="6" xfId="1" applyNumberFormat="1" applyBorder="1" applyAlignment="1" applyProtection="1"/>
    <xf numFmtId="3" fontId="5" fillId="0" borderId="6" xfId="1" applyNumberFormat="1" applyFont="1" applyBorder="1" applyAlignment="1" applyProtection="1">
      <alignment horizontal="center"/>
    </xf>
    <xf numFmtId="3" fontId="5" fillId="0" borderId="6" xfId="1" applyNumberFormat="1" applyFont="1" applyBorder="1" applyAlignment="1" applyProtection="1">
      <alignment horizontal="center" vertical="center"/>
    </xf>
    <xf numFmtId="0" fontId="5" fillId="0" borderId="6" xfId="1" applyFont="1" applyBorder="1" applyAlignment="1" applyProtection="1"/>
    <xf numFmtId="164" fontId="5" fillId="0" borderId="6" xfId="1" applyNumberFormat="1" applyFont="1" applyBorder="1" applyAlignment="1" applyProtection="1"/>
    <xf numFmtId="3" fontId="5" fillId="0" borderId="6" xfId="1" applyNumberFormat="1" applyFont="1" applyBorder="1" applyAlignment="1" applyProtection="1"/>
    <xf numFmtId="0" fontId="5" fillId="0" borderId="6" xfId="1" applyFont="1" applyBorder="1" applyAlignment="1" applyProtection="1"/>
    <xf numFmtId="0" fontId="4" fillId="0" borderId="0" xfId="1" applyAlignment="1" applyProtection="1">
      <alignment horizontal="center"/>
    </xf>
    <xf numFmtId="0" fontId="7" fillId="0" borderId="16" xfId="1" applyFont="1" applyBorder="1" applyAlignment="1" applyProtection="1"/>
    <xf numFmtId="0" fontId="4" fillId="0" borderId="16" xfId="1" applyBorder="1" applyAlignment="1" applyProtection="1"/>
    <xf numFmtId="0" fontId="7" fillId="0" borderId="20" xfId="1" applyFont="1" applyBorder="1" applyAlignment="1" applyProtection="1"/>
    <xf numFmtId="0" fontId="4" fillId="0" borderId="20" xfId="1" applyBorder="1" applyAlignment="1" applyProtection="1"/>
    <xf numFmtId="3" fontId="7" fillId="0" borderId="20" xfId="1" applyNumberFormat="1" applyFont="1" applyBorder="1" applyAlignment="1" applyProtection="1"/>
    <xf numFmtId="0" fontId="7" fillId="0" borderId="20" xfId="1" applyFont="1" applyBorder="1" applyAlignment="1" applyProtection="1">
      <alignment horizontal="center"/>
    </xf>
    <xf numFmtId="0" fontId="7" fillId="0" borderId="24" xfId="1" applyFont="1" applyBorder="1" applyAlignment="1" applyProtection="1"/>
    <xf numFmtId="0" fontId="7" fillId="0" borderId="24" xfId="1" applyFont="1" applyBorder="1" applyAlignment="1" applyProtection="1">
      <alignment horizontal="center"/>
    </xf>
    <xf numFmtId="0" fontId="5" fillId="0" borderId="3" xfId="1" applyFont="1" applyBorder="1" applyAlignment="1" applyProtection="1">
      <alignment horizontal="center"/>
    </xf>
    <xf numFmtId="0" fontId="5" fillId="0" borderId="5" xfId="1" applyFont="1" applyBorder="1" applyAlignment="1" applyProtection="1">
      <alignment horizontal="center"/>
    </xf>
    <xf numFmtId="0" fontId="4" fillId="0" borderId="4" xfId="1" applyBorder="1" applyAlignment="1" applyProtection="1">
      <alignment horizontal="center"/>
    </xf>
    <xf numFmtId="0" fontId="4" fillId="0" borderId="0" xfId="1" applyAlignment="1" applyProtection="1">
      <alignment horizontal="center"/>
    </xf>
    <xf numFmtId="0" fontId="5" fillId="0" borderId="3" xfId="1" applyFont="1" applyBorder="1" applyAlignment="1" applyProtection="1">
      <alignment horizontal="center"/>
    </xf>
    <xf numFmtId="0" fontId="5" fillId="0" borderId="5" xfId="1" applyFont="1" applyBorder="1" applyAlignment="1" applyProtection="1">
      <alignment horizontal="center"/>
    </xf>
    <xf numFmtId="0" fontId="4" fillId="0" borderId="4" xfId="1" applyBorder="1" applyAlignment="1" applyProtection="1">
      <alignment horizontal="center"/>
    </xf>
    <xf numFmtId="0" fontId="4" fillId="0" borderId="0" xfId="1" applyAlignment="1" applyProtection="1">
      <alignment horizont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165" fontId="12" fillId="0" borderId="0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165" fontId="13" fillId="0" borderId="27" xfId="2" applyNumberFormat="1" applyFont="1" applyBorder="1" applyAlignment="1">
      <alignment horizontal="center" vertical="center"/>
    </xf>
    <xf numFmtId="165" fontId="13" fillId="0" borderId="28" xfId="2" applyNumberFormat="1" applyFont="1" applyBorder="1" applyAlignment="1">
      <alignment horizontal="center" vertical="center"/>
    </xf>
    <xf numFmtId="165" fontId="13" fillId="0" borderId="26" xfId="2" applyNumberFormat="1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165" fontId="0" fillId="0" borderId="0" xfId="2" applyNumberFormat="1" applyFont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165" fontId="0" fillId="0" borderId="31" xfId="2" applyNumberFormat="1" applyFont="1" applyBorder="1" applyAlignment="1">
      <alignment horizontal="center" vertical="center"/>
    </xf>
    <xf numFmtId="165" fontId="0" fillId="0" borderId="32" xfId="2" applyNumberFormat="1" applyFont="1" applyBorder="1" applyAlignment="1">
      <alignment horizontal="center" vertical="center"/>
    </xf>
    <xf numFmtId="165" fontId="0" fillId="0" borderId="0" xfId="2" applyNumberFormat="1" applyFont="1" applyBorder="1" applyAlignment="1">
      <alignment horizontal="center" vertical="center"/>
    </xf>
    <xf numFmtId="165" fontId="0" fillId="0" borderId="33" xfId="2" applyNumberFormat="1" applyFont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165" fontId="0" fillId="0" borderId="32" xfId="2" applyNumberFormat="1" applyFont="1" applyBorder="1" applyAlignment="1">
      <alignment vertical="center"/>
    </xf>
    <xf numFmtId="165" fontId="0" fillId="0" borderId="10" xfId="2" applyNumberFormat="1" applyFont="1" applyBorder="1" applyAlignment="1">
      <alignment horizontal="center" vertical="center"/>
    </xf>
    <xf numFmtId="0" fontId="14" fillId="0" borderId="32" xfId="0" applyFont="1" applyBorder="1" applyAlignment="1">
      <alignment vertical="center"/>
    </xf>
    <xf numFmtId="165" fontId="0" fillId="0" borderId="0" xfId="2" applyNumberFormat="1" applyFont="1" applyAlignment="1">
      <alignment vertical="center"/>
    </xf>
    <xf numFmtId="0" fontId="0" fillId="0" borderId="8" xfId="0" applyBorder="1" applyAlignment="1">
      <alignment vertical="center"/>
    </xf>
    <xf numFmtId="165" fontId="0" fillId="0" borderId="10" xfId="2" applyNumberFormat="1" applyFont="1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5" xfId="0" applyBorder="1" applyAlignment="1">
      <alignment horizontal="left" vertical="center"/>
    </xf>
    <xf numFmtId="165" fontId="0" fillId="0" borderId="35" xfId="2" applyNumberFormat="1" applyFont="1" applyBorder="1" applyAlignment="1">
      <alignment vertical="center"/>
    </xf>
    <xf numFmtId="165" fontId="0" fillId="2" borderId="32" xfId="2" applyNumberFormat="1" applyFont="1" applyFill="1" applyBorder="1" applyAlignment="1">
      <alignment vertical="center"/>
    </xf>
    <xf numFmtId="43" fontId="0" fillId="0" borderId="10" xfId="2" applyFont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0" fillId="0" borderId="37" xfId="0" applyBorder="1" applyAlignment="1">
      <alignment vertical="center"/>
    </xf>
    <xf numFmtId="165" fontId="0" fillId="0" borderId="38" xfId="2" applyNumberFormat="1" applyFont="1" applyBorder="1" applyAlignment="1">
      <alignment horizontal="center" vertical="center"/>
    </xf>
    <xf numFmtId="165" fontId="0" fillId="0" borderId="39" xfId="2" applyNumberFormat="1" applyFont="1" applyBorder="1" applyAlignment="1">
      <alignment horizontal="center" vertical="center"/>
    </xf>
    <xf numFmtId="165" fontId="0" fillId="0" borderId="40" xfId="2" applyNumberFormat="1" applyFont="1" applyBorder="1" applyAlignment="1">
      <alignment horizontal="center" vertical="center"/>
    </xf>
    <xf numFmtId="165" fontId="0" fillId="0" borderId="41" xfId="2" applyNumberFormat="1" applyFont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5" fontId="0" fillId="0" borderId="39" xfId="2" applyNumberFormat="1" applyFont="1" applyBorder="1" applyAlignment="1">
      <alignment vertical="center"/>
    </xf>
    <xf numFmtId="165" fontId="0" fillId="0" borderId="42" xfId="2" applyNumberFormat="1" applyFont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2" xfId="0" applyBorder="1" applyAlignment="1">
      <alignment vertical="center"/>
    </xf>
    <xf numFmtId="0" fontId="13" fillId="0" borderId="0" xfId="0" applyFont="1" applyAlignment="1">
      <alignment vertical="center"/>
    </xf>
    <xf numFmtId="165" fontId="13" fillId="0" borderId="43" xfId="2" applyNumberFormat="1" applyFont="1" applyBorder="1" applyAlignment="1">
      <alignment horizontal="left" vertical="center"/>
    </xf>
    <xf numFmtId="165" fontId="13" fillId="0" borderId="44" xfId="2" applyNumberFormat="1" applyFont="1" applyBorder="1" applyAlignment="1">
      <alignment horizontal="center" vertical="center"/>
    </xf>
    <xf numFmtId="165" fontId="13" fillId="0" borderId="45" xfId="2" applyNumberFormat="1" applyFont="1" applyBorder="1" applyAlignment="1">
      <alignment horizontal="center" vertical="center"/>
    </xf>
    <xf numFmtId="165" fontId="13" fillId="2" borderId="1" xfId="2" applyNumberFormat="1" applyFont="1" applyFill="1" applyBorder="1" applyAlignment="1">
      <alignment vertical="center"/>
    </xf>
    <xf numFmtId="165" fontId="13" fillId="0" borderId="47" xfId="2" applyNumberFormat="1" applyFont="1" applyBorder="1" applyAlignment="1">
      <alignment vertical="center"/>
    </xf>
    <xf numFmtId="0" fontId="13" fillId="0" borderId="48" xfId="0" applyFont="1" applyBorder="1" applyAlignment="1">
      <alignment vertical="center"/>
    </xf>
    <xf numFmtId="165" fontId="13" fillId="0" borderId="48" xfId="0" applyNumberFormat="1" applyFont="1" applyBorder="1" applyAlignment="1">
      <alignment vertical="center"/>
    </xf>
    <xf numFmtId="165" fontId="13" fillId="0" borderId="47" xfId="0" applyNumberFormat="1" applyFont="1" applyBorder="1" applyAlignment="1">
      <alignment vertical="center"/>
    </xf>
    <xf numFmtId="165" fontId="0" fillId="0" borderId="0" xfId="2" applyNumberFormat="1" applyFont="1" applyAlignment="1">
      <alignment horizontal="center" vertical="center"/>
    </xf>
    <xf numFmtId="165" fontId="13" fillId="0" borderId="25" xfId="2" applyNumberFormat="1" applyFont="1" applyBorder="1" applyAlignment="1">
      <alignment horizontal="center" vertical="center"/>
    </xf>
    <xf numFmtId="165" fontId="13" fillId="0" borderId="16" xfId="2" applyNumberFormat="1" applyFont="1" applyBorder="1" applyAlignment="1">
      <alignment horizontal="center" vertical="center"/>
    </xf>
    <xf numFmtId="165" fontId="13" fillId="0" borderId="40" xfId="2" applyNumberFormat="1" applyFont="1" applyBorder="1" applyAlignment="1">
      <alignment horizontal="center" vertical="center"/>
    </xf>
    <xf numFmtId="165" fontId="13" fillId="0" borderId="52" xfId="2" applyNumberFormat="1" applyFont="1" applyBorder="1" applyAlignment="1">
      <alignment horizontal="center" vertical="center"/>
    </xf>
    <xf numFmtId="165" fontId="0" fillId="0" borderId="8" xfId="2" applyNumberFormat="1" applyFont="1" applyBorder="1" applyAlignment="1">
      <alignment horizontal="left" vertical="center"/>
    </xf>
    <xf numFmtId="165" fontId="0" fillId="0" borderId="9" xfId="2" applyNumberFormat="1" applyFont="1" applyBorder="1" applyAlignment="1">
      <alignment horizontal="center" vertical="center"/>
    </xf>
    <xf numFmtId="165" fontId="0" fillId="0" borderId="10" xfId="0" applyNumberFormat="1" applyBorder="1" applyAlignment="1">
      <alignment vertical="center"/>
    </xf>
    <xf numFmtId="165" fontId="0" fillId="0" borderId="53" xfId="2" applyNumberFormat="1" applyFont="1" applyBorder="1" applyAlignment="1">
      <alignment horizontal="left" vertical="center"/>
    </xf>
    <xf numFmtId="165" fontId="0" fillId="0" borderId="54" xfId="2" applyNumberFormat="1" applyFont="1" applyBorder="1" applyAlignment="1">
      <alignment horizontal="center" vertical="center"/>
    </xf>
    <xf numFmtId="165" fontId="0" fillId="0" borderId="55" xfId="2" applyNumberFormat="1" applyFont="1" applyBorder="1" applyAlignment="1">
      <alignment horizontal="center" vertical="center"/>
    </xf>
    <xf numFmtId="165" fontId="0" fillId="0" borderId="56" xfId="2" applyNumberFormat="1" applyFont="1" applyBorder="1" applyAlignment="1">
      <alignment horizontal="center" vertical="center"/>
    </xf>
    <xf numFmtId="165" fontId="0" fillId="0" borderId="36" xfId="0" applyNumberFormat="1" applyBorder="1" applyAlignment="1">
      <alignment vertical="center"/>
    </xf>
    <xf numFmtId="165" fontId="0" fillId="0" borderId="8" xfId="2" quotePrefix="1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165" fontId="0" fillId="0" borderId="37" xfId="2" quotePrefix="1" applyNumberFormat="1" applyFont="1" applyBorder="1" applyAlignment="1">
      <alignment horizontal="center" vertical="center"/>
    </xf>
    <xf numFmtId="165" fontId="0" fillId="0" borderId="57" xfId="2" applyNumberFormat="1" applyFont="1" applyBorder="1" applyAlignment="1">
      <alignment horizontal="center" vertical="center"/>
    </xf>
    <xf numFmtId="165" fontId="0" fillId="0" borderId="42" xfId="0" applyNumberFormat="1" applyBorder="1" applyAlignment="1">
      <alignment vertical="center"/>
    </xf>
    <xf numFmtId="166" fontId="0" fillId="0" borderId="0" xfId="0" applyNumberFormat="1" applyAlignment="1">
      <alignment vertical="center"/>
    </xf>
    <xf numFmtId="0" fontId="16" fillId="0" borderId="0" xfId="0" applyFont="1" applyAlignment="1">
      <alignment vertical="center"/>
    </xf>
    <xf numFmtId="165" fontId="16" fillId="0" borderId="43" xfId="2" applyNumberFormat="1" applyFont="1" applyBorder="1" applyAlignment="1">
      <alignment horizontal="left" vertical="center"/>
    </xf>
    <xf numFmtId="165" fontId="16" fillId="0" borderId="1" xfId="2" applyNumberFormat="1" applyFont="1" applyBorder="1" applyAlignment="1">
      <alignment horizontal="center" vertical="center"/>
    </xf>
    <xf numFmtId="165" fontId="16" fillId="0" borderId="46" xfId="2" applyNumberFormat="1" applyFont="1" applyBorder="1" applyAlignment="1">
      <alignment horizontal="center" vertical="center"/>
    </xf>
    <xf numFmtId="165" fontId="16" fillId="0" borderId="7" xfId="2" applyNumberFormat="1" applyFont="1" applyBorder="1" applyAlignment="1">
      <alignment horizontal="center" vertical="center"/>
    </xf>
    <xf numFmtId="165" fontId="16" fillId="0" borderId="47" xfId="2" applyNumberFormat="1" applyFont="1" applyBorder="1" applyAlignment="1">
      <alignment horizontal="center" vertical="center"/>
    </xf>
    <xf numFmtId="165" fontId="16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39" fontId="0" fillId="0" borderId="32" xfId="3" applyNumberFormat="1" applyFont="1" applyBorder="1" applyAlignment="1">
      <alignment horizontal="center" vertical="center"/>
    </xf>
    <xf numFmtId="39" fontId="0" fillId="0" borderId="32" xfId="3" applyNumberFormat="1" applyFont="1" applyBorder="1" applyAlignment="1">
      <alignment vertical="center"/>
    </xf>
    <xf numFmtId="39" fontId="0" fillId="0" borderId="35" xfId="3" applyNumberFormat="1" applyFont="1" applyBorder="1" applyAlignment="1">
      <alignment vertical="center"/>
    </xf>
    <xf numFmtId="39" fontId="0" fillId="2" borderId="32" xfId="3" applyNumberFormat="1" applyFont="1" applyFill="1" applyBorder="1" applyAlignment="1">
      <alignment vertical="center"/>
    </xf>
    <xf numFmtId="39" fontId="0" fillId="0" borderId="39" xfId="3" applyNumberFormat="1" applyFont="1" applyBorder="1" applyAlignment="1">
      <alignment vertical="center"/>
    </xf>
    <xf numFmtId="39" fontId="13" fillId="2" borderId="1" xfId="3" applyNumberFormat="1" applyFont="1" applyFill="1" applyBorder="1" applyAlignment="1">
      <alignment vertical="center"/>
    </xf>
    <xf numFmtId="39" fontId="13" fillId="0" borderId="1" xfId="3" applyNumberFormat="1" applyFont="1" applyBorder="1" applyAlignment="1">
      <alignment vertical="center"/>
    </xf>
    <xf numFmtId="0" fontId="5" fillId="0" borderId="3" xfId="1" applyFont="1" applyBorder="1" applyAlignment="1" applyProtection="1">
      <alignment horizontal="center"/>
    </xf>
    <xf numFmtId="0" fontId="5" fillId="0" borderId="5" xfId="1" applyFont="1" applyBorder="1" applyAlignment="1" applyProtection="1">
      <alignment horizontal="center"/>
    </xf>
    <xf numFmtId="0" fontId="4" fillId="0" borderId="4" xfId="1" applyBorder="1" applyAlignment="1" applyProtection="1">
      <alignment horizontal="center"/>
    </xf>
    <xf numFmtId="0" fontId="4" fillId="0" borderId="0" xfId="1" applyAlignment="1" applyProtection="1">
      <alignment horizontal="center"/>
    </xf>
    <xf numFmtId="165" fontId="0" fillId="0" borderId="58" xfId="2" applyNumberFormat="1" applyFont="1" applyBorder="1" applyAlignment="1">
      <alignment horizontal="center" vertical="center"/>
    </xf>
    <xf numFmtId="165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3" fillId="0" borderId="48" xfId="0" applyFont="1" applyBorder="1" applyAlignment="1">
      <alignment horizontal="left" vertical="center"/>
    </xf>
    <xf numFmtId="165" fontId="13" fillId="0" borderId="29" xfId="2" applyNumberFormat="1" applyFont="1" applyBorder="1" applyAlignment="1">
      <alignment horizontal="center" vertical="center"/>
    </xf>
    <xf numFmtId="165" fontId="0" fillId="0" borderId="59" xfId="2" applyNumberFormat="1" applyFont="1" applyBorder="1" applyAlignment="1">
      <alignment horizontal="center" vertical="center"/>
    </xf>
    <xf numFmtId="165" fontId="0" fillId="0" borderId="60" xfId="2" applyNumberFormat="1" applyFont="1" applyBorder="1" applyAlignment="1">
      <alignment horizontal="center" vertical="center"/>
    </xf>
    <xf numFmtId="165" fontId="13" fillId="0" borderId="61" xfId="2" applyNumberFormat="1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5" fillId="0" borderId="3" xfId="1" applyFont="1" applyBorder="1" applyAlignment="1" applyProtection="1">
      <alignment horizontal="center"/>
    </xf>
    <xf numFmtId="0" fontId="5" fillId="0" borderId="5" xfId="1" applyFont="1" applyBorder="1" applyAlignment="1" applyProtection="1">
      <alignment horizontal="center"/>
    </xf>
    <xf numFmtId="0" fontId="4" fillId="0" borderId="4" xfId="1" applyBorder="1" applyAlignment="1" applyProtection="1">
      <alignment horizontal="center"/>
    </xf>
    <xf numFmtId="0" fontId="4" fillId="0" borderId="0" xfId="1" applyAlignment="1" applyProtection="1">
      <alignment horizontal="center"/>
    </xf>
    <xf numFmtId="0" fontId="3" fillId="0" borderId="0" xfId="1" applyFont="1" applyAlignment="1" applyProtection="1">
      <alignment horizontal="center"/>
    </xf>
    <xf numFmtId="0" fontId="5" fillId="0" borderId="3" xfId="1" applyFont="1" applyBorder="1" applyAlignment="1" applyProtection="1">
      <alignment horizontal="center"/>
    </xf>
    <xf numFmtId="0" fontId="5" fillId="0" borderId="4" xfId="1" applyFont="1" applyBorder="1" applyAlignment="1" applyProtection="1">
      <alignment horizontal="center"/>
    </xf>
    <xf numFmtId="0" fontId="5" fillId="0" borderId="5" xfId="1" applyFont="1" applyBorder="1" applyAlignment="1" applyProtection="1">
      <alignment horizontal="center"/>
    </xf>
    <xf numFmtId="0" fontId="5" fillId="0" borderId="1" xfId="1" applyFont="1" applyBorder="1" applyAlignment="1" applyProtection="1">
      <alignment horizontal="center"/>
    </xf>
    <xf numFmtId="0" fontId="3" fillId="0" borderId="1" xfId="1" applyFont="1" applyBorder="1" applyAlignment="1" applyProtection="1">
      <alignment horizontal="center"/>
    </xf>
    <xf numFmtId="0" fontId="5" fillId="0" borderId="0" xfId="1" applyFont="1" applyAlignment="1" applyProtection="1">
      <alignment horizontal="center"/>
    </xf>
    <xf numFmtId="0" fontId="5" fillId="0" borderId="2" xfId="1" applyFont="1" applyBorder="1" applyAlignment="1" applyProtection="1">
      <alignment horizontal="center" vertical="center"/>
    </xf>
    <xf numFmtId="0" fontId="5" fillId="0" borderId="7" xfId="1" applyFont="1" applyBorder="1" applyAlignment="1" applyProtection="1">
      <alignment horizontal="center" vertical="center"/>
    </xf>
    <xf numFmtId="0" fontId="4" fillId="0" borderId="3" xfId="1" applyBorder="1" applyAlignment="1" applyProtection="1">
      <alignment horizontal="center"/>
    </xf>
    <xf numFmtId="0" fontId="4" fillId="0" borderId="4" xfId="1" applyBorder="1" applyAlignment="1" applyProtection="1">
      <alignment horizontal="center"/>
    </xf>
    <xf numFmtId="0" fontId="7" fillId="0" borderId="17" xfId="1" applyFont="1" applyBorder="1" applyAlignment="1" applyProtection="1"/>
    <xf numFmtId="0" fontId="7" fillId="0" borderId="18" xfId="1" applyFont="1" applyBorder="1" applyAlignment="1" applyProtection="1"/>
    <xf numFmtId="0" fontId="7" fillId="0" borderId="19" xfId="1" applyFont="1" applyBorder="1" applyAlignment="1" applyProtection="1"/>
    <xf numFmtId="0" fontId="4" fillId="0" borderId="0" xfId="1" applyAlignment="1" applyProtection="1">
      <alignment horizontal="center"/>
    </xf>
    <xf numFmtId="0" fontId="5" fillId="0" borderId="3" xfId="1" applyFont="1" applyBorder="1" applyAlignment="1" applyProtection="1">
      <alignment horizontal="center" vertical="center"/>
    </xf>
    <xf numFmtId="0" fontId="5" fillId="0" borderId="5" xfId="1" applyFont="1" applyBorder="1" applyAlignment="1" applyProtection="1">
      <alignment horizontal="center" vertical="center"/>
    </xf>
    <xf numFmtId="0" fontId="5" fillId="0" borderId="0" xfId="1" applyFont="1" applyAlignment="1" applyProtection="1">
      <alignment horizontal="left"/>
    </xf>
    <xf numFmtId="0" fontId="7" fillId="0" borderId="21" xfId="1" applyFont="1" applyBorder="1" applyAlignment="1" applyProtection="1"/>
    <xf numFmtId="0" fontId="7" fillId="0" borderId="22" xfId="1" applyFont="1" applyBorder="1" applyAlignment="1" applyProtection="1"/>
    <xf numFmtId="0" fontId="7" fillId="0" borderId="23" xfId="1" applyFont="1" applyBorder="1" applyAlignment="1" applyProtection="1"/>
    <xf numFmtId="0" fontId="8" fillId="0" borderId="0" xfId="1" applyFont="1" applyAlignment="1" applyProtection="1">
      <alignment horizontal="center"/>
    </xf>
    <xf numFmtId="0" fontId="6" fillId="0" borderId="13" xfId="1" applyFont="1" applyBorder="1" applyAlignment="1" applyProtection="1"/>
    <xf numFmtId="0" fontId="6" fillId="0" borderId="14" xfId="1" applyFont="1" applyBorder="1" applyAlignment="1" applyProtection="1"/>
    <xf numFmtId="0" fontId="6" fillId="0" borderId="15" xfId="1" applyFont="1" applyBorder="1" applyAlignment="1" applyProtection="1"/>
    <xf numFmtId="165" fontId="13" fillId="0" borderId="12" xfId="2" applyNumberFormat="1" applyFont="1" applyBorder="1" applyAlignment="1">
      <alignment horizontal="center" vertical="center" wrapText="1"/>
    </xf>
    <xf numFmtId="165" fontId="13" fillId="0" borderId="42" xfId="2" applyNumberFormat="1" applyFont="1" applyBorder="1" applyAlignment="1">
      <alignment horizontal="center" vertical="center" wrapText="1"/>
    </xf>
    <xf numFmtId="0" fontId="17" fillId="0" borderId="1" xfId="1" applyFont="1" applyBorder="1" applyAlignment="1" applyProtection="1">
      <alignment horizontal="center"/>
    </xf>
    <xf numFmtId="0" fontId="10" fillId="0" borderId="0" xfId="0" applyFont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165" fontId="13" fillId="0" borderId="13" xfId="2" applyNumberFormat="1" applyFont="1" applyBorder="1" applyAlignment="1">
      <alignment horizontal="center" vertical="center"/>
    </xf>
    <xf numFmtId="165" fontId="13" fillId="0" borderId="51" xfId="2" applyNumberFormat="1" applyFont="1" applyBorder="1" applyAlignment="1">
      <alignment horizontal="center" vertical="center"/>
    </xf>
    <xf numFmtId="165" fontId="13" fillId="0" borderId="49" xfId="2" applyNumberFormat="1" applyFont="1" applyBorder="1" applyAlignment="1">
      <alignment horizontal="center" vertical="center"/>
    </xf>
    <xf numFmtId="165" fontId="13" fillId="0" borderId="50" xfId="2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</cellXfs>
  <cellStyles count="4">
    <cellStyle name="Comma" xfId="2" builtinId="3"/>
    <cellStyle name="Comma [0]" xfId="3" builtinId="6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zoomScale="86" workbookViewId="0">
      <selection activeCell="F6" sqref="F6"/>
    </sheetView>
  </sheetViews>
  <sheetFormatPr defaultColWidth="10" defaultRowHeight="15" x14ac:dyDescent="0.25"/>
  <cols>
    <col min="3" max="3" width="10" bestFit="1" customWidth="1"/>
    <col min="4" max="4" width="10" hidden="1" bestFit="1" customWidth="1"/>
    <col min="5" max="5" width="10" bestFit="1" customWidth="1"/>
    <col min="6" max="6" width="13.85546875" customWidth="1"/>
    <col min="7" max="7" width="22.85546875" customWidth="1"/>
    <col min="10" max="11" width="10" bestFit="1" customWidth="1"/>
    <col min="12" max="12" width="18.140625" customWidth="1"/>
    <col min="13" max="13" width="43.28515625" customWidth="1"/>
    <col min="14" max="14" width="18.42578125" bestFit="1" customWidth="1"/>
    <col min="16" max="16" width="11.7109375" customWidth="1"/>
    <col min="19" max="19" width="34.42578125" customWidth="1"/>
    <col min="22" max="22" width="13.14062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7" x14ac:dyDescent="0.5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2"/>
      <c r="R2" s="166" t="s">
        <v>1</v>
      </c>
      <c r="S2" s="166"/>
      <c r="T2" s="166"/>
      <c r="U2" s="166"/>
      <c r="V2" s="166"/>
    </row>
    <row r="3" spans="1:22" ht="27" x14ac:dyDescent="0.5">
      <c r="A3" s="165" t="s">
        <v>42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2"/>
      <c r="R3" s="164" t="s">
        <v>42</v>
      </c>
      <c r="S3" s="164"/>
      <c r="T3" s="164"/>
      <c r="U3" s="164"/>
      <c r="V3" s="164"/>
    </row>
    <row r="4" spans="1:22" x14ac:dyDescent="0.25">
      <c r="A4" s="167" t="s">
        <v>2</v>
      </c>
      <c r="B4" s="161" t="s">
        <v>3</v>
      </c>
      <c r="C4" s="161"/>
      <c r="D4" s="161"/>
      <c r="E4" s="162"/>
      <c r="F4" s="163"/>
      <c r="G4" s="161" t="s">
        <v>4</v>
      </c>
      <c r="H4" s="162"/>
      <c r="I4" s="162"/>
      <c r="J4" s="162"/>
      <c r="K4" s="162"/>
      <c r="L4" s="163"/>
      <c r="M4" s="161" t="s">
        <v>5</v>
      </c>
      <c r="N4" s="162"/>
      <c r="O4" s="162"/>
      <c r="P4" s="163"/>
      <c r="Q4" s="2"/>
      <c r="R4" s="3" t="s">
        <v>2</v>
      </c>
      <c r="S4" s="4" t="s">
        <v>6</v>
      </c>
      <c r="T4" s="5" t="s">
        <v>7</v>
      </c>
      <c r="U4" s="4" t="s">
        <v>8</v>
      </c>
      <c r="V4" s="4" t="s">
        <v>9</v>
      </c>
    </row>
    <row r="5" spans="1:22" x14ac:dyDescent="0.25">
      <c r="A5" s="168"/>
      <c r="B5" s="4" t="s">
        <v>10</v>
      </c>
      <c r="C5" s="4" t="s">
        <v>48</v>
      </c>
      <c r="D5" s="4"/>
      <c r="E5" s="4" t="s">
        <v>11</v>
      </c>
      <c r="F5" s="4" t="s">
        <v>12</v>
      </c>
      <c r="G5" s="4" t="s">
        <v>13</v>
      </c>
      <c r="H5" s="4" t="s">
        <v>10</v>
      </c>
      <c r="I5" s="4" t="s">
        <v>14</v>
      </c>
      <c r="J5" s="4" t="s">
        <v>15</v>
      </c>
      <c r="K5" s="4" t="s">
        <v>11</v>
      </c>
      <c r="L5" s="4" t="s">
        <v>12</v>
      </c>
      <c r="M5" s="4"/>
      <c r="N5" s="4" t="s">
        <v>14</v>
      </c>
      <c r="O5" s="4"/>
      <c r="P5" s="4" t="s">
        <v>11</v>
      </c>
      <c r="Q5" s="2"/>
      <c r="R5" s="6">
        <v>1</v>
      </c>
      <c r="S5" s="7" t="s">
        <v>52</v>
      </c>
      <c r="T5" s="8"/>
      <c r="U5" s="9"/>
      <c r="V5" s="10">
        <v>750000</v>
      </c>
    </row>
    <row r="6" spans="1:22" x14ac:dyDescent="0.25">
      <c r="A6" s="11">
        <v>1</v>
      </c>
      <c r="B6" s="12">
        <v>9000</v>
      </c>
      <c r="C6" s="12">
        <v>36144</v>
      </c>
      <c r="D6" s="13">
        <v>1.0249999999999999</v>
      </c>
      <c r="E6" s="14">
        <f>C6/D6</f>
        <v>35262.439024390245</v>
      </c>
      <c r="F6" s="12">
        <f>C6*B6</f>
        <v>325296000</v>
      </c>
      <c r="G6" s="15" t="s">
        <v>16</v>
      </c>
      <c r="H6" s="16">
        <v>11000</v>
      </c>
      <c r="I6" s="17"/>
      <c r="J6" s="18"/>
      <c r="K6" s="19">
        <v>9270</v>
      </c>
      <c r="L6" s="17">
        <f t="shared" ref="L6:L18" si="0">K6*H6</f>
        <v>101970000</v>
      </c>
      <c r="M6" s="15" t="s">
        <v>17</v>
      </c>
      <c r="N6" s="20">
        <v>20</v>
      </c>
      <c r="O6" s="20"/>
      <c r="P6" s="15">
        <v>7</v>
      </c>
      <c r="Q6" s="2"/>
      <c r="R6" s="6">
        <v>2</v>
      </c>
      <c r="S6" s="7" t="s">
        <v>53</v>
      </c>
      <c r="T6" s="21"/>
      <c r="U6" s="9"/>
      <c r="V6" s="10">
        <v>1560000</v>
      </c>
    </row>
    <row r="7" spans="1:22" x14ac:dyDescent="0.25">
      <c r="A7" s="13"/>
      <c r="B7" s="7"/>
      <c r="C7" s="7"/>
      <c r="D7" s="13"/>
      <c r="E7" s="13"/>
      <c r="F7" s="7"/>
      <c r="G7" s="7" t="s">
        <v>18</v>
      </c>
      <c r="H7" s="22">
        <v>11000</v>
      </c>
      <c r="I7" s="10"/>
      <c r="J7" s="9"/>
      <c r="K7" s="23">
        <v>3386</v>
      </c>
      <c r="L7" s="17">
        <f t="shared" si="0"/>
        <v>37246000</v>
      </c>
      <c r="M7" s="7" t="s">
        <v>49</v>
      </c>
      <c r="N7" s="7"/>
      <c r="O7" s="7"/>
      <c r="P7" s="7">
        <v>120</v>
      </c>
      <c r="Q7" s="2"/>
      <c r="R7" s="6">
        <v>3</v>
      </c>
      <c r="S7" s="7" t="s">
        <v>54</v>
      </c>
      <c r="T7" s="21"/>
      <c r="U7" s="9"/>
      <c r="V7" s="10">
        <v>575000</v>
      </c>
    </row>
    <row r="8" spans="1:22" x14ac:dyDescent="0.25">
      <c r="A8" s="13"/>
      <c r="B8" s="7"/>
      <c r="C8" s="7"/>
      <c r="D8" s="13"/>
      <c r="E8" s="13"/>
      <c r="F8" s="7"/>
      <c r="G8" s="7" t="s">
        <v>20</v>
      </c>
      <c r="H8" s="22">
        <v>11000</v>
      </c>
      <c r="I8" s="10"/>
      <c r="J8" s="9"/>
      <c r="K8" s="23">
        <v>830</v>
      </c>
      <c r="L8" s="17">
        <f t="shared" si="0"/>
        <v>9130000</v>
      </c>
      <c r="M8" s="7" t="s">
        <v>21</v>
      </c>
      <c r="N8" s="7"/>
      <c r="O8" s="7"/>
      <c r="P8" s="23">
        <v>630</v>
      </c>
      <c r="Q8" s="2"/>
      <c r="R8" s="6">
        <v>4</v>
      </c>
      <c r="S8" s="7" t="s">
        <v>55</v>
      </c>
      <c r="T8" s="21"/>
      <c r="U8" s="9"/>
      <c r="V8" s="10">
        <v>60000</v>
      </c>
    </row>
    <row r="9" spans="1:22" x14ac:dyDescent="0.25">
      <c r="A9" s="13"/>
      <c r="B9" s="7"/>
      <c r="C9" s="7"/>
      <c r="D9" s="13"/>
      <c r="E9" s="13"/>
      <c r="F9" s="7"/>
      <c r="G9" s="7" t="s">
        <v>22</v>
      </c>
      <c r="H9" s="22">
        <v>10000</v>
      </c>
      <c r="I9" s="10"/>
      <c r="J9" s="9"/>
      <c r="K9" s="23">
        <v>1524</v>
      </c>
      <c r="L9" s="17">
        <f t="shared" si="0"/>
        <v>15240000</v>
      </c>
      <c r="M9" s="7" t="s">
        <v>50</v>
      </c>
      <c r="N9" s="7">
        <v>160</v>
      </c>
      <c r="O9" s="7"/>
      <c r="P9" s="7">
        <v>54</v>
      </c>
      <c r="Q9" s="2"/>
      <c r="R9" s="6">
        <v>5</v>
      </c>
      <c r="S9" s="7" t="s">
        <v>56</v>
      </c>
      <c r="T9" s="21"/>
      <c r="U9" s="9"/>
      <c r="V9" s="10">
        <v>200000</v>
      </c>
    </row>
    <row r="10" spans="1:22" x14ac:dyDescent="0.25">
      <c r="A10" s="13"/>
      <c r="B10" s="7"/>
      <c r="C10" s="7"/>
      <c r="D10" s="13"/>
      <c r="E10" s="13"/>
      <c r="F10" s="7"/>
      <c r="G10" s="7" t="s">
        <v>24</v>
      </c>
      <c r="H10" s="22">
        <v>10000</v>
      </c>
      <c r="I10" s="10"/>
      <c r="J10" s="9"/>
      <c r="K10" s="23">
        <v>455</v>
      </c>
      <c r="L10" s="17">
        <f t="shared" si="0"/>
        <v>4550000</v>
      </c>
      <c r="M10" s="7" t="s">
        <v>25</v>
      </c>
      <c r="N10" s="7"/>
      <c r="O10" s="7"/>
      <c r="P10" s="7">
        <v>543</v>
      </c>
      <c r="Q10" s="2"/>
      <c r="R10" s="6">
        <v>6</v>
      </c>
      <c r="S10" s="7" t="s">
        <v>57</v>
      </c>
      <c r="T10" s="21"/>
      <c r="U10" s="9"/>
      <c r="V10" s="10">
        <v>2114000</v>
      </c>
    </row>
    <row r="11" spans="1:22" x14ac:dyDescent="0.25">
      <c r="A11" s="13"/>
      <c r="B11" s="7"/>
      <c r="C11" s="7"/>
      <c r="D11" s="13"/>
      <c r="E11" s="13"/>
      <c r="F11" s="7"/>
      <c r="G11" s="7" t="s">
        <v>26</v>
      </c>
      <c r="H11" s="22">
        <v>10000</v>
      </c>
      <c r="I11" s="10"/>
      <c r="J11" s="9"/>
      <c r="K11" s="23">
        <v>2800</v>
      </c>
      <c r="L11" s="17">
        <f t="shared" si="0"/>
        <v>28000000</v>
      </c>
      <c r="M11" s="7"/>
      <c r="N11" s="7"/>
      <c r="O11" s="7"/>
      <c r="P11" s="7"/>
      <c r="Q11" s="2"/>
      <c r="R11" s="6">
        <v>7</v>
      </c>
      <c r="S11" s="7" t="s">
        <v>58</v>
      </c>
      <c r="T11" s="21"/>
      <c r="U11" s="9"/>
      <c r="V11" s="10">
        <v>50000</v>
      </c>
    </row>
    <row r="12" spans="1:22" x14ac:dyDescent="0.25">
      <c r="A12" s="13"/>
      <c r="B12" s="7"/>
      <c r="C12" s="7"/>
      <c r="D12" s="13"/>
      <c r="E12" s="13"/>
      <c r="F12" s="7"/>
      <c r="G12" s="7" t="s">
        <v>27</v>
      </c>
      <c r="H12" s="22">
        <v>10000</v>
      </c>
      <c r="I12" s="10"/>
      <c r="J12" s="9"/>
      <c r="K12" s="23">
        <v>1175</v>
      </c>
      <c r="L12" s="17">
        <f t="shared" si="0"/>
        <v>11750000</v>
      </c>
      <c r="M12" s="7"/>
      <c r="N12" s="7"/>
      <c r="O12" s="7"/>
      <c r="P12" s="7"/>
      <c r="Q12" s="2"/>
      <c r="R12" s="6">
        <v>8</v>
      </c>
      <c r="S12" s="7" t="s">
        <v>59</v>
      </c>
      <c r="T12" s="21"/>
      <c r="U12" s="9"/>
      <c r="V12" s="10">
        <v>450000</v>
      </c>
    </row>
    <row r="13" spans="1:22" x14ac:dyDescent="0.25">
      <c r="A13" s="13"/>
      <c r="B13" s="7"/>
      <c r="C13" s="7"/>
      <c r="D13" s="13"/>
      <c r="E13" s="13"/>
      <c r="F13" s="7"/>
      <c r="G13" s="7" t="s">
        <v>28</v>
      </c>
      <c r="H13" s="22">
        <v>10000</v>
      </c>
      <c r="I13" s="10"/>
      <c r="J13" s="9"/>
      <c r="K13" s="23">
        <v>343.9</v>
      </c>
      <c r="L13" s="17">
        <f t="shared" si="0"/>
        <v>3439000</v>
      </c>
      <c r="M13" s="7"/>
      <c r="N13" s="7"/>
      <c r="O13" s="7"/>
      <c r="P13" s="7"/>
      <c r="Q13" s="2"/>
      <c r="R13" s="6">
        <v>9</v>
      </c>
      <c r="S13" s="7" t="s">
        <v>60</v>
      </c>
      <c r="T13" s="21"/>
      <c r="U13" s="9"/>
      <c r="V13" s="10">
        <v>530000</v>
      </c>
    </row>
    <row r="14" spans="1:22" x14ac:dyDescent="0.25">
      <c r="A14" s="13"/>
      <c r="B14" s="7"/>
      <c r="C14" s="7"/>
      <c r="D14" s="13"/>
      <c r="E14" s="13"/>
      <c r="F14" s="7"/>
      <c r="G14" s="7" t="s">
        <v>29</v>
      </c>
      <c r="H14" s="22">
        <v>11000</v>
      </c>
      <c r="I14" s="10"/>
      <c r="J14" s="9"/>
      <c r="K14" s="23">
        <v>169</v>
      </c>
      <c r="L14" s="17">
        <f t="shared" si="0"/>
        <v>1859000</v>
      </c>
      <c r="M14" s="7"/>
      <c r="N14" s="7"/>
      <c r="O14" s="7"/>
      <c r="P14" s="7"/>
      <c r="Q14" s="2"/>
      <c r="R14" s="6">
        <v>10</v>
      </c>
      <c r="S14" s="7" t="s">
        <v>61</v>
      </c>
      <c r="T14" s="21"/>
      <c r="U14" s="9"/>
      <c r="V14" s="10">
        <v>1567000</v>
      </c>
    </row>
    <row r="15" spans="1:22" x14ac:dyDescent="0.25">
      <c r="A15" s="13"/>
      <c r="B15" s="7"/>
      <c r="C15" s="7"/>
      <c r="D15" s="13"/>
      <c r="E15" s="13"/>
      <c r="F15" s="7"/>
      <c r="G15" s="7" t="s">
        <v>30</v>
      </c>
      <c r="H15" s="22">
        <v>10000</v>
      </c>
      <c r="I15" s="10"/>
      <c r="J15" s="9"/>
      <c r="K15" s="23">
        <v>16</v>
      </c>
      <c r="L15" s="17">
        <f t="shared" si="0"/>
        <v>160000</v>
      </c>
      <c r="M15" s="7"/>
      <c r="N15" s="7"/>
      <c r="O15" s="7"/>
      <c r="P15" s="7"/>
      <c r="Q15" s="2"/>
      <c r="R15" s="6">
        <v>11</v>
      </c>
      <c r="S15" s="7" t="s">
        <v>62</v>
      </c>
      <c r="T15" s="21"/>
      <c r="U15" s="9"/>
      <c r="V15" s="10">
        <v>8900000</v>
      </c>
    </row>
    <row r="16" spans="1:22" x14ac:dyDescent="0.25">
      <c r="A16" s="13"/>
      <c r="B16" s="7"/>
      <c r="C16" s="7"/>
      <c r="D16" s="13"/>
      <c r="E16" s="13"/>
      <c r="F16" s="7"/>
      <c r="G16" s="7" t="s">
        <v>31</v>
      </c>
      <c r="H16" s="22">
        <v>10000</v>
      </c>
      <c r="I16" s="10"/>
      <c r="J16" s="9"/>
      <c r="K16" s="23">
        <v>1910</v>
      </c>
      <c r="L16" s="17">
        <f t="shared" si="0"/>
        <v>19100000</v>
      </c>
      <c r="M16" s="7"/>
      <c r="N16" s="7"/>
      <c r="O16" s="7"/>
      <c r="P16" s="7"/>
      <c r="Q16" s="2"/>
      <c r="R16" s="6">
        <v>12</v>
      </c>
      <c r="S16" s="24" t="s">
        <v>63</v>
      </c>
      <c r="T16" s="21"/>
      <c r="U16" s="25"/>
      <c r="V16" s="10">
        <v>126000</v>
      </c>
    </row>
    <row r="17" spans="1:22" x14ac:dyDescent="0.25">
      <c r="A17" s="13"/>
      <c r="B17" s="7"/>
      <c r="C17" s="7"/>
      <c r="D17" s="13"/>
      <c r="E17" s="13"/>
      <c r="F17" s="7"/>
      <c r="G17" s="7" t="s">
        <v>32</v>
      </c>
      <c r="H17" s="22">
        <v>11000</v>
      </c>
      <c r="I17" s="10"/>
      <c r="J17" s="9"/>
      <c r="K17" s="23"/>
      <c r="L17" s="17">
        <f t="shared" si="0"/>
        <v>0</v>
      </c>
      <c r="M17" s="7"/>
      <c r="N17" s="7"/>
      <c r="O17" s="7"/>
      <c r="P17" s="7"/>
      <c r="Q17" s="2"/>
      <c r="R17" s="6">
        <v>13</v>
      </c>
      <c r="S17" s="7" t="s">
        <v>64</v>
      </c>
      <c r="T17" s="21"/>
      <c r="U17" s="25"/>
      <c r="V17" s="10">
        <v>150000</v>
      </c>
    </row>
    <row r="18" spans="1:22" x14ac:dyDescent="0.25">
      <c r="A18" s="13"/>
      <c r="B18" s="7"/>
      <c r="C18" s="7"/>
      <c r="D18" s="13"/>
      <c r="E18" s="13"/>
      <c r="F18" s="7"/>
      <c r="G18" s="7" t="s">
        <v>33</v>
      </c>
      <c r="H18" s="22">
        <v>12000</v>
      </c>
      <c r="I18" s="10"/>
      <c r="J18" s="25"/>
      <c r="K18" s="23">
        <v>75</v>
      </c>
      <c r="L18" s="17">
        <f t="shared" si="0"/>
        <v>900000</v>
      </c>
      <c r="M18" s="7"/>
      <c r="N18" s="7"/>
      <c r="O18" s="7"/>
      <c r="P18" s="7"/>
      <c r="Q18" s="2"/>
      <c r="R18" s="6">
        <v>14</v>
      </c>
      <c r="S18" s="7" t="s">
        <v>65</v>
      </c>
      <c r="T18" s="21"/>
      <c r="U18" s="25"/>
      <c r="V18" s="10">
        <v>63000</v>
      </c>
    </row>
    <row r="19" spans="1:22" x14ac:dyDescent="0.25">
      <c r="A19" s="13"/>
      <c r="B19" s="7"/>
      <c r="C19" s="7"/>
      <c r="D19" s="13"/>
      <c r="E19" s="13"/>
      <c r="F19" s="7"/>
      <c r="G19" s="7" t="s">
        <v>34</v>
      </c>
      <c r="H19" s="22">
        <v>12000</v>
      </c>
      <c r="I19" s="10"/>
      <c r="J19" s="25"/>
      <c r="K19" s="26">
        <v>10106</v>
      </c>
      <c r="L19" s="17">
        <v>82230000</v>
      </c>
      <c r="M19" s="7"/>
      <c r="N19" s="7"/>
      <c r="O19" s="7"/>
      <c r="P19" s="7"/>
      <c r="Q19" s="2"/>
      <c r="R19" s="6">
        <v>15</v>
      </c>
      <c r="S19" s="7" t="s">
        <v>66</v>
      </c>
      <c r="T19" s="21"/>
      <c r="U19" s="25"/>
      <c r="V19" s="10">
        <v>250000</v>
      </c>
    </row>
    <row r="20" spans="1:22" x14ac:dyDescent="0.25">
      <c r="A20" s="13"/>
      <c r="B20" s="7"/>
      <c r="C20" s="7"/>
      <c r="D20" s="13"/>
      <c r="E20" s="13"/>
      <c r="F20" s="7"/>
      <c r="G20" s="7" t="s">
        <v>35</v>
      </c>
      <c r="H20" s="22">
        <v>8000</v>
      </c>
      <c r="I20" s="10">
        <v>2950</v>
      </c>
      <c r="J20" s="9">
        <v>3</v>
      </c>
      <c r="K20" s="23">
        <v>1075</v>
      </c>
      <c r="L20" s="17">
        <v>23600000</v>
      </c>
      <c r="M20" s="7"/>
      <c r="N20" s="7"/>
      <c r="O20" s="7"/>
      <c r="P20" s="7"/>
      <c r="Q20" s="2"/>
      <c r="R20" s="6"/>
      <c r="S20" s="27"/>
      <c r="T20" s="28"/>
      <c r="U20" s="25"/>
      <c r="V20" s="10"/>
    </row>
    <row r="21" spans="1:22" x14ac:dyDescent="0.25">
      <c r="A21" s="13"/>
      <c r="B21" s="7"/>
      <c r="C21" s="7"/>
      <c r="D21" s="13"/>
      <c r="E21" s="13"/>
      <c r="F21" s="7"/>
      <c r="G21" s="7" t="s">
        <v>36</v>
      </c>
      <c r="H21" s="22">
        <v>6000</v>
      </c>
      <c r="I21" s="29">
        <v>889</v>
      </c>
      <c r="J21" s="9">
        <v>3</v>
      </c>
      <c r="K21" s="23">
        <v>297</v>
      </c>
      <c r="L21" s="17">
        <v>5334000</v>
      </c>
      <c r="M21" s="7"/>
      <c r="N21" s="7"/>
      <c r="O21" s="7"/>
      <c r="P21" s="7"/>
      <c r="Q21" s="2"/>
      <c r="R21" s="169" t="s">
        <v>9</v>
      </c>
      <c r="S21" s="170"/>
      <c r="T21" s="30"/>
      <c r="U21" s="31"/>
      <c r="V21" s="32">
        <f>SUM(V5:V20)</f>
        <v>17345000</v>
      </c>
    </row>
    <row r="22" spans="1:22" x14ac:dyDescent="0.25">
      <c r="A22" s="175" t="s">
        <v>9</v>
      </c>
      <c r="B22" s="176"/>
      <c r="C22" s="33">
        <f>SUM(C6:C21)</f>
        <v>36144</v>
      </c>
      <c r="D22" s="33"/>
      <c r="E22" s="33">
        <f>SUM(E6:E21)</f>
        <v>35262.439024390245</v>
      </c>
      <c r="F22" s="34">
        <f>SUM(F6)</f>
        <v>325296000</v>
      </c>
      <c r="G22" s="161" t="s">
        <v>7</v>
      </c>
      <c r="H22" s="162"/>
      <c r="I22" s="163"/>
      <c r="J22" s="35"/>
      <c r="K22" s="36">
        <f>SUM(K6:K21)</f>
        <v>33431.9</v>
      </c>
      <c r="L22" s="37">
        <f>SUM(L6:L21)</f>
        <v>344508000</v>
      </c>
      <c r="M22" s="38" t="s">
        <v>7</v>
      </c>
      <c r="N22" s="38">
        <f>SUM(N6:N21)</f>
        <v>180</v>
      </c>
      <c r="O22" s="38">
        <v>0</v>
      </c>
      <c r="P22" s="38">
        <f>SUM(P6:P21)</f>
        <v>1354</v>
      </c>
      <c r="Q22" s="2"/>
      <c r="R22" s="39"/>
      <c r="S22" s="2"/>
      <c r="T22" s="39"/>
      <c r="U22" s="2"/>
      <c r="V22" s="2"/>
    </row>
    <row r="23" spans="1:22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39"/>
      <c r="S23" s="2"/>
      <c r="T23" s="39"/>
      <c r="U23" s="2"/>
      <c r="V23" s="2"/>
    </row>
    <row r="24" spans="1:22" ht="15.75" x14ac:dyDescent="0.25">
      <c r="A24" s="182" t="s">
        <v>37</v>
      </c>
      <c r="B24" s="183"/>
      <c r="C24" s="183"/>
      <c r="D24" s="183"/>
      <c r="E24" s="183"/>
      <c r="F24" s="184"/>
      <c r="G24" s="40"/>
      <c r="H24" s="40"/>
      <c r="I24" s="41"/>
      <c r="J24" s="2"/>
      <c r="K24" s="2"/>
      <c r="L24" s="2"/>
      <c r="M24" s="174" t="s">
        <v>47</v>
      </c>
      <c r="N24" s="174"/>
      <c r="O24" s="174"/>
      <c r="P24" s="174"/>
      <c r="Q24" s="2"/>
      <c r="R24" s="39"/>
      <c r="S24" s="2"/>
      <c r="T24" s="39"/>
      <c r="U24" s="2"/>
      <c r="V24" s="2"/>
    </row>
    <row r="25" spans="1:22" ht="15.75" x14ac:dyDescent="0.25">
      <c r="A25" s="171"/>
      <c r="B25" s="172"/>
      <c r="C25" s="172"/>
      <c r="D25" s="172"/>
      <c r="E25" s="172"/>
      <c r="F25" s="173"/>
      <c r="G25" s="42"/>
      <c r="H25" s="42"/>
      <c r="I25" s="43"/>
      <c r="J25" s="2"/>
      <c r="K25" s="2"/>
      <c r="L25" s="2"/>
      <c r="M25" s="174"/>
      <c r="N25" s="174"/>
      <c r="O25" s="174"/>
      <c r="P25" s="174"/>
      <c r="Q25" s="2"/>
      <c r="R25" s="39"/>
      <c r="S25" s="2"/>
      <c r="T25" s="39"/>
      <c r="U25" s="2"/>
      <c r="V25" s="2"/>
    </row>
    <row r="26" spans="1:22" ht="15.75" x14ac:dyDescent="0.25">
      <c r="A26" s="171" t="s">
        <v>41</v>
      </c>
      <c r="B26" s="172"/>
      <c r="C26" s="172"/>
      <c r="D26" s="172"/>
      <c r="E26" s="172"/>
      <c r="F26" s="173"/>
      <c r="G26" s="44"/>
      <c r="H26" s="42">
        <v>124</v>
      </c>
      <c r="I26" s="45" t="s">
        <v>38</v>
      </c>
      <c r="J26" s="2"/>
      <c r="K26" s="2"/>
      <c r="L26" s="2"/>
      <c r="M26" s="2"/>
      <c r="N26" s="2"/>
      <c r="O26" s="2"/>
      <c r="P26" s="2"/>
      <c r="Q26" s="2"/>
      <c r="R26" s="39"/>
      <c r="S26" s="2"/>
      <c r="T26" s="39"/>
      <c r="U26" s="2"/>
      <c r="V26" s="2"/>
    </row>
    <row r="27" spans="1:22" ht="15.75" x14ac:dyDescent="0.25">
      <c r="A27" s="171" t="s">
        <v>43</v>
      </c>
      <c r="B27" s="172"/>
      <c r="C27" s="172"/>
      <c r="D27" s="172"/>
      <c r="E27" s="172"/>
      <c r="F27" s="173"/>
      <c r="G27" s="44">
        <f>E22</f>
        <v>35262.439024390245</v>
      </c>
      <c r="H27" s="42"/>
      <c r="I27" s="45" t="s">
        <v>38</v>
      </c>
      <c r="J27" s="2"/>
      <c r="K27" s="2"/>
      <c r="L27" s="2"/>
      <c r="M27" s="2"/>
      <c r="N27" s="2"/>
      <c r="O27" s="2"/>
      <c r="P27" s="2"/>
      <c r="Q27" s="2"/>
      <c r="R27" s="39"/>
      <c r="S27" s="2"/>
      <c r="T27" s="39"/>
      <c r="U27" s="2"/>
      <c r="V27" s="2"/>
    </row>
    <row r="28" spans="1:22" ht="15.75" x14ac:dyDescent="0.25">
      <c r="A28" s="171"/>
      <c r="B28" s="172"/>
      <c r="C28" s="172"/>
      <c r="D28" s="172"/>
      <c r="E28" s="172"/>
      <c r="F28" s="173"/>
      <c r="G28" s="42"/>
      <c r="H28" s="42"/>
      <c r="I28" s="45"/>
      <c r="J28" s="2"/>
      <c r="K28" s="2"/>
      <c r="L28" s="2"/>
      <c r="M28" s="2"/>
      <c r="N28" s="2"/>
      <c r="O28" s="2"/>
      <c r="P28" s="2"/>
      <c r="Q28" s="2"/>
      <c r="R28" s="39"/>
      <c r="S28" s="2"/>
      <c r="T28" s="39"/>
      <c r="U28" s="2"/>
      <c r="V28" s="2"/>
    </row>
    <row r="29" spans="1:22" ht="15.75" x14ac:dyDescent="0.25">
      <c r="A29" s="171"/>
      <c r="B29" s="172"/>
      <c r="C29" s="172"/>
      <c r="D29" s="172"/>
      <c r="E29" s="172"/>
      <c r="F29" s="173"/>
      <c r="G29" s="42" t="s">
        <v>39</v>
      </c>
      <c r="H29" s="44">
        <f>G27+H26</f>
        <v>35386.439024390245</v>
      </c>
      <c r="I29" s="45" t="s">
        <v>38</v>
      </c>
      <c r="J29" s="2"/>
      <c r="K29" s="2"/>
      <c r="L29" s="2"/>
      <c r="M29" s="181" t="s">
        <v>40</v>
      </c>
      <c r="N29" s="181"/>
      <c r="O29" s="181"/>
      <c r="P29" s="181"/>
      <c r="Q29" s="2"/>
      <c r="R29" s="39"/>
      <c r="S29" s="2"/>
      <c r="T29" s="39"/>
      <c r="U29" s="2"/>
      <c r="V29" s="2"/>
    </row>
    <row r="30" spans="1:22" ht="15.75" x14ac:dyDescent="0.25">
      <c r="A30" s="171" t="s">
        <v>44</v>
      </c>
      <c r="B30" s="172"/>
      <c r="C30" s="172"/>
      <c r="D30" s="172"/>
      <c r="E30" s="172"/>
      <c r="F30" s="173"/>
      <c r="G30" s="42"/>
      <c r="H30" s="44">
        <f>K22+P22</f>
        <v>34785.9</v>
      </c>
      <c r="I30" s="45" t="s">
        <v>38</v>
      </c>
      <c r="J30" s="2"/>
      <c r="K30" s="2"/>
      <c r="L30" s="2"/>
      <c r="M30" s="2"/>
      <c r="N30" s="2"/>
      <c r="O30" s="2"/>
      <c r="P30" s="2"/>
      <c r="Q30" s="2"/>
      <c r="R30" s="39"/>
      <c r="S30" s="2"/>
      <c r="T30" s="39"/>
      <c r="U30" s="2"/>
      <c r="V30" s="2"/>
    </row>
    <row r="31" spans="1:22" ht="15.75" x14ac:dyDescent="0.25">
      <c r="A31" s="171" t="s">
        <v>45</v>
      </c>
      <c r="B31" s="172"/>
      <c r="C31" s="172"/>
      <c r="D31" s="172"/>
      <c r="E31" s="172"/>
      <c r="F31" s="173"/>
      <c r="G31" s="42"/>
      <c r="H31" s="44">
        <v>600</v>
      </c>
      <c r="I31" s="45"/>
      <c r="J31" s="2"/>
      <c r="K31" s="2"/>
      <c r="L31" s="2"/>
      <c r="M31" s="2"/>
      <c r="N31" s="2"/>
      <c r="O31" s="2"/>
      <c r="P31" s="2"/>
      <c r="Q31" s="2"/>
      <c r="R31" s="39"/>
      <c r="S31" s="2"/>
      <c r="T31" s="39"/>
      <c r="U31" s="2"/>
      <c r="V31" s="2"/>
    </row>
    <row r="32" spans="1:22" ht="15.75" x14ac:dyDescent="0.25">
      <c r="A32" s="178" t="s">
        <v>46</v>
      </c>
      <c r="B32" s="179"/>
      <c r="C32" s="179"/>
      <c r="D32" s="179"/>
      <c r="E32" s="179"/>
      <c r="F32" s="180"/>
      <c r="G32" s="46"/>
      <c r="H32" s="46">
        <v>600</v>
      </c>
      <c r="I32" s="47" t="s">
        <v>38</v>
      </c>
      <c r="J32" s="2"/>
      <c r="K32" s="2"/>
      <c r="L32" s="2"/>
      <c r="M32" s="2"/>
      <c r="N32" s="2"/>
      <c r="O32" s="2"/>
      <c r="P32" s="2"/>
      <c r="Q32" s="2"/>
      <c r="R32" s="39"/>
      <c r="S32" s="2"/>
      <c r="T32" s="39"/>
      <c r="U32" s="2"/>
      <c r="V32" s="2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77" t="s">
        <v>51</v>
      </c>
      <c r="B34" s="177"/>
      <c r="C34" s="177"/>
      <c r="D34" s="177"/>
      <c r="E34" s="17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M35" s="1"/>
    </row>
  </sheetData>
  <mergeCells count="24">
    <mergeCell ref="M29:P29"/>
    <mergeCell ref="A26:F26"/>
    <mergeCell ref="A27:F27"/>
    <mergeCell ref="A25:F25"/>
    <mergeCell ref="A24:F24"/>
    <mergeCell ref="A29:F29"/>
    <mergeCell ref="A34:E34"/>
    <mergeCell ref="A31:F31"/>
    <mergeCell ref="A30:F30"/>
    <mergeCell ref="G22:I22"/>
    <mergeCell ref="A32:F32"/>
    <mergeCell ref="R21:S21"/>
    <mergeCell ref="A28:F28"/>
    <mergeCell ref="M25:P25"/>
    <mergeCell ref="A22:B22"/>
    <mergeCell ref="M24:P24"/>
    <mergeCell ref="A2:P2"/>
    <mergeCell ref="B4:F4"/>
    <mergeCell ref="R3:V3"/>
    <mergeCell ref="A3:P3"/>
    <mergeCell ref="R2:V2"/>
    <mergeCell ref="M4:P4"/>
    <mergeCell ref="A4:A5"/>
    <mergeCell ref="G4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workbookViewId="0">
      <selection activeCell="R3" sqref="R3:V3"/>
    </sheetView>
  </sheetViews>
  <sheetFormatPr defaultColWidth="10" defaultRowHeight="15" x14ac:dyDescent="0.25"/>
  <cols>
    <col min="6" max="6" width="15.42578125" customWidth="1"/>
    <col min="12" max="12" width="17" customWidth="1"/>
    <col min="13" max="13" width="17.5703125" customWidth="1"/>
    <col min="19" max="19" width="27.2851562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7" x14ac:dyDescent="0.5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2"/>
      <c r="R2" s="166" t="s">
        <v>1</v>
      </c>
      <c r="S2" s="166"/>
      <c r="T2" s="166"/>
      <c r="U2" s="166"/>
      <c r="V2" s="166"/>
    </row>
    <row r="3" spans="1:22" ht="27.75" thickBot="1" x14ac:dyDescent="0.55000000000000004">
      <c r="A3" s="165" t="s">
        <v>74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2"/>
      <c r="R3" s="164" t="s">
        <v>74</v>
      </c>
      <c r="S3" s="164"/>
      <c r="T3" s="164"/>
      <c r="U3" s="164"/>
      <c r="V3" s="164"/>
    </row>
    <row r="4" spans="1:22" ht="15.75" thickBot="1" x14ac:dyDescent="0.3">
      <c r="A4" s="167" t="s">
        <v>2</v>
      </c>
      <c r="B4" s="161" t="s">
        <v>3</v>
      </c>
      <c r="C4" s="161"/>
      <c r="D4" s="161"/>
      <c r="E4" s="162"/>
      <c r="F4" s="163"/>
      <c r="G4" s="161" t="s">
        <v>4</v>
      </c>
      <c r="H4" s="162"/>
      <c r="I4" s="162"/>
      <c r="J4" s="162"/>
      <c r="K4" s="162"/>
      <c r="L4" s="163"/>
      <c r="M4" s="161" t="s">
        <v>5</v>
      </c>
      <c r="N4" s="162"/>
      <c r="O4" s="162"/>
      <c r="P4" s="163"/>
      <c r="Q4" s="2"/>
      <c r="R4" s="48" t="s">
        <v>2</v>
      </c>
      <c r="S4" s="4" t="s">
        <v>6</v>
      </c>
      <c r="T4" s="49" t="s">
        <v>7</v>
      </c>
      <c r="U4" s="4" t="s">
        <v>8</v>
      </c>
      <c r="V4" s="4" t="s">
        <v>9</v>
      </c>
    </row>
    <row r="5" spans="1:22" ht="15.75" thickBot="1" x14ac:dyDescent="0.3">
      <c r="A5" s="168"/>
      <c r="B5" s="4" t="s">
        <v>10</v>
      </c>
      <c r="C5" s="4" t="s">
        <v>48</v>
      </c>
      <c r="D5" s="4"/>
      <c r="E5" s="4" t="s">
        <v>11</v>
      </c>
      <c r="F5" s="4" t="s">
        <v>12</v>
      </c>
      <c r="G5" s="4" t="s">
        <v>13</v>
      </c>
      <c r="H5" s="4" t="s">
        <v>10</v>
      </c>
      <c r="I5" s="4" t="s">
        <v>14</v>
      </c>
      <c r="J5" s="4" t="s">
        <v>15</v>
      </c>
      <c r="K5" s="4" t="s">
        <v>11</v>
      </c>
      <c r="L5" s="4" t="s">
        <v>12</v>
      </c>
      <c r="M5" s="4"/>
      <c r="N5" s="4" t="s">
        <v>14</v>
      </c>
      <c r="O5" s="4"/>
      <c r="P5" s="4" t="s">
        <v>11</v>
      </c>
      <c r="Q5" s="2"/>
      <c r="R5" s="6">
        <v>1</v>
      </c>
      <c r="S5" s="7" t="s">
        <v>59</v>
      </c>
      <c r="T5" s="8"/>
      <c r="U5" s="9"/>
      <c r="V5" s="10">
        <v>1300000</v>
      </c>
    </row>
    <row r="6" spans="1:22" ht="15.75" thickBot="1" x14ac:dyDescent="0.3">
      <c r="A6" s="11">
        <v>1</v>
      </c>
      <c r="B6" s="12">
        <v>9000</v>
      </c>
      <c r="C6" s="12">
        <v>24930</v>
      </c>
      <c r="D6" s="13">
        <v>1.0249999999999999</v>
      </c>
      <c r="E6" s="14">
        <f>C6/D6</f>
        <v>24321.951219512197</v>
      </c>
      <c r="F6" s="12">
        <f>C6*B6</f>
        <v>224370000</v>
      </c>
      <c r="G6" s="15" t="s">
        <v>16</v>
      </c>
      <c r="H6" s="16">
        <v>11000</v>
      </c>
      <c r="I6" s="17"/>
      <c r="J6" s="18"/>
      <c r="K6" s="19">
        <v>6540</v>
      </c>
      <c r="L6" s="17">
        <f t="shared" ref="L6:L18" si="0">K6*H6</f>
        <v>71940000</v>
      </c>
      <c r="M6" s="15" t="s">
        <v>17</v>
      </c>
      <c r="N6" s="20">
        <v>15</v>
      </c>
      <c r="O6" s="20"/>
      <c r="P6" s="15">
        <v>5</v>
      </c>
      <c r="Q6" s="2"/>
      <c r="R6" s="6">
        <v>2</v>
      </c>
      <c r="S6" s="7" t="s">
        <v>58</v>
      </c>
      <c r="T6" s="21"/>
      <c r="U6" s="9"/>
      <c r="V6" s="10">
        <v>50000</v>
      </c>
    </row>
    <row r="7" spans="1:22" ht="15.75" thickBot="1" x14ac:dyDescent="0.3">
      <c r="A7" s="13"/>
      <c r="B7" s="7"/>
      <c r="C7" s="7"/>
      <c r="D7" s="13"/>
      <c r="E7" s="13"/>
      <c r="F7" s="7"/>
      <c r="G7" s="7" t="s">
        <v>18</v>
      </c>
      <c r="H7" s="22">
        <v>11000</v>
      </c>
      <c r="I7" s="10"/>
      <c r="J7" s="9"/>
      <c r="K7" s="23">
        <v>2164</v>
      </c>
      <c r="L7" s="17">
        <f t="shared" si="0"/>
        <v>23804000</v>
      </c>
      <c r="M7" s="7" t="s">
        <v>19</v>
      </c>
      <c r="N7" s="7"/>
      <c r="O7" s="7"/>
      <c r="P7" s="7">
        <v>50</v>
      </c>
      <c r="Q7" s="2"/>
      <c r="R7" s="6">
        <v>3</v>
      </c>
      <c r="S7" s="7" t="s">
        <v>63</v>
      </c>
      <c r="T7" s="21"/>
      <c r="U7" s="9"/>
      <c r="V7" s="10">
        <v>205000</v>
      </c>
    </row>
    <row r="8" spans="1:22" ht="15.75" thickBot="1" x14ac:dyDescent="0.3">
      <c r="A8" s="13"/>
      <c r="B8" s="7"/>
      <c r="C8" s="7"/>
      <c r="D8" s="13"/>
      <c r="E8" s="13"/>
      <c r="F8" s="7"/>
      <c r="G8" s="7" t="s">
        <v>20</v>
      </c>
      <c r="H8" s="22">
        <v>11000</v>
      </c>
      <c r="I8" s="10"/>
      <c r="J8" s="9"/>
      <c r="K8" s="23">
        <v>590</v>
      </c>
      <c r="L8" s="17">
        <f t="shared" si="0"/>
        <v>6490000</v>
      </c>
      <c r="M8" s="7" t="s">
        <v>21</v>
      </c>
      <c r="N8" s="7"/>
      <c r="O8" s="7"/>
      <c r="P8" s="23">
        <v>528</v>
      </c>
      <c r="Q8" s="2"/>
      <c r="R8" s="6">
        <v>4</v>
      </c>
      <c r="S8" s="7" t="s">
        <v>57</v>
      </c>
      <c r="T8" s="21"/>
      <c r="U8" s="9"/>
      <c r="V8" s="10">
        <v>975000</v>
      </c>
    </row>
    <row r="9" spans="1:22" ht="15.75" thickBot="1" x14ac:dyDescent="0.3">
      <c r="A9" s="13"/>
      <c r="B9" s="7"/>
      <c r="C9" s="7"/>
      <c r="D9" s="13"/>
      <c r="E9" s="13"/>
      <c r="F9" s="7"/>
      <c r="G9" s="7" t="s">
        <v>22</v>
      </c>
      <c r="H9" s="22">
        <v>10000</v>
      </c>
      <c r="I9" s="10"/>
      <c r="J9" s="9"/>
      <c r="K9" s="23">
        <v>843</v>
      </c>
      <c r="L9" s="17">
        <f t="shared" si="0"/>
        <v>8430000</v>
      </c>
      <c r="M9" s="7" t="s">
        <v>23</v>
      </c>
      <c r="N9" s="7"/>
      <c r="O9" s="7"/>
      <c r="P9" s="7"/>
      <c r="Q9" s="2"/>
      <c r="R9" s="6">
        <v>5</v>
      </c>
      <c r="S9" s="7" t="s">
        <v>53</v>
      </c>
      <c r="T9" s="21"/>
      <c r="U9" s="9"/>
      <c r="V9" s="10">
        <v>520000</v>
      </c>
    </row>
    <row r="10" spans="1:22" ht="15.75" thickBot="1" x14ac:dyDescent="0.3">
      <c r="A10" s="13"/>
      <c r="B10" s="7"/>
      <c r="C10" s="7"/>
      <c r="D10" s="13"/>
      <c r="E10" s="13"/>
      <c r="F10" s="7"/>
      <c r="G10" s="7" t="s">
        <v>24</v>
      </c>
      <c r="H10" s="22">
        <v>10000</v>
      </c>
      <c r="I10" s="10"/>
      <c r="J10" s="9"/>
      <c r="K10" s="23">
        <v>140</v>
      </c>
      <c r="L10" s="17">
        <f t="shared" si="0"/>
        <v>1400000</v>
      </c>
      <c r="M10" s="7" t="s">
        <v>25</v>
      </c>
      <c r="N10" s="7"/>
      <c r="O10" s="7"/>
      <c r="P10" s="7">
        <v>420</v>
      </c>
      <c r="Q10" s="2"/>
      <c r="R10" s="6">
        <v>6</v>
      </c>
      <c r="S10" s="7" t="s">
        <v>70</v>
      </c>
      <c r="T10" s="21"/>
      <c r="U10" s="9"/>
      <c r="V10" s="10">
        <v>525000</v>
      </c>
    </row>
    <row r="11" spans="1:22" ht="15.75" thickBot="1" x14ac:dyDescent="0.3">
      <c r="A11" s="13"/>
      <c r="B11" s="7"/>
      <c r="C11" s="7"/>
      <c r="D11" s="13"/>
      <c r="E11" s="13"/>
      <c r="F11" s="7"/>
      <c r="G11" s="7" t="s">
        <v>26</v>
      </c>
      <c r="H11" s="22">
        <v>10000</v>
      </c>
      <c r="I11" s="10"/>
      <c r="J11" s="9"/>
      <c r="K11" s="23">
        <v>1775</v>
      </c>
      <c r="L11" s="17">
        <f t="shared" si="0"/>
        <v>17750000</v>
      </c>
      <c r="M11" s="7"/>
      <c r="N11" s="7"/>
      <c r="O11" s="7"/>
      <c r="P11" s="7"/>
      <c r="Q11" s="2"/>
      <c r="R11" s="6">
        <v>7</v>
      </c>
      <c r="S11" s="7" t="s">
        <v>71</v>
      </c>
      <c r="T11" s="21"/>
      <c r="U11" s="9"/>
      <c r="V11" s="10">
        <v>12000</v>
      </c>
    </row>
    <row r="12" spans="1:22" ht="15.75" thickBot="1" x14ac:dyDescent="0.3">
      <c r="A12" s="13"/>
      <c r="B12" s="7"/>
      <c r="C12" s="7"/>
      <c r="D12" s="13"/>
      <c r="E12" s="13"/>
      <c r="F12" s="7"/>
      <c r="G12" s="7" t="s">
        <v>27</v>
      </c>
      <c r="H12" s="22">
        <v>10000</v>
      </c>
      <c r="I12" s="10"/>
      <c r="J12" s="9"/>
      <c r="K12" s="23">
        <v>960</v>
      </c>
      <c r="L12" s="17">
        <f t="shared" si="0"/>
        <v>9600000</v>
      </c>
      <c r="M12" s="7"/>
      <c r="N12" s="7"/>
      <c r="O12" s="7"/>
      <c r="P12" s="7"/>
      <c r="Q12" s="2"/>
      <c r="R12" s="6">
        <v>8</v>
      </c>
      <c r="S12" s="7" t="s">
        <v>72</v>
      </c>
      <c r="T12" s="21"/>
      <c r="U12" s="9"/>
      <c r="V12" s="10">
        <v>500000</v>
      </c>
    </row>
    <row r="13" spans="1:22" ht="15.75" thickBot="1" x14ac:dyDescent="0.3">
      <c r="A13" s="13"/>
      <c r="B13" s="7"/>
      <c r="C13" s="7"/>
      <c r="D13" s="13"/>
      <c r="E13" s="13"/>
      <c r="F13" s="7"/>
      <c r="G13" s="7" t="s">
        <v>28</v>
      </c>
      <c r="H13" s="22">
        <v>10000</v>
      </c>
      <c r="I13" s="10"/>
      <c r="J13" s="9"/>
      <c r="K13" s="23">
        <v>375.9</v>
      </c>
      <c r="L13" s="17">
        <f t="shared" si="0"/>
        <v>3759000</v>
      </c>
      <c r="M13" s="7"/>
      <c r="N13" s="7"/>
      <c r="O13" s="7"/>
      <c r="P13" s="7"/>
      <c r="Q13" s="2"/>
      <c r="R13" s="6">
        <v>9</v>
      </c>
      <c r="S13" s="7" t="s">
        <v>64</v>
      </c>
      <c r="T13" s="21"/>
      <c r="U13" s="9"/>
      <c r="V13" s="10">
        <v>150000</v>
      </c>
    </row>
    <row r="14" spans="1:22" ht="15.75" thickBot="1" x14ac:dyDescent="0.3">
      <c r="A14" s="13"/>
      <c r="B14" s="7"/>
      <c r="C14" s="7"/>
      <c r="D14" s="13"/>
      <c r="E14" s="13"/>
      <c r="F14" s="7"/>
      <c r="G14" s="7" t="s">
        <v>29</v>
      </c>
      <c r="H14" s="22">
        <v>11000</v>
      </c>
      <c r="I14" s="10"/>
      <c r="J14" s="9"/>
      <c r="K14" s="23">
        <v>144</v>
      </c>
      <c r="L14" s="17">
        <f t="shared" si="0"/>
        <v>1584000</v>
      </c>
      <c r="M14" s="7"/>
      <c r="N14" s="7"/>
      <c r="O14" s="7"/>
      <c r="P14" s="7"/>
      <c r="Q14" s="2"/>
      <c r="R14" s="6">
        <v>10</v>
      </c>
      <c r="S14" s="7" t="s">
        <v>73</v>
      </c>
      <c r="T14" s="21"/>
      <c r="U14" s="9"/>
      <c r="V14" s="10">
        <v>465000</v>
      </c>
    </row>
    <row r="15" spans="1:22" ht="15.75" thickBot="1" x14ac:dyDescent="0.3">
      <c r="A15" s="13"/>
      <c r="B15" s="7"/>
      <c r="C15" s="7"/>
      <c r="D15" s="13"/>
      <c r="E15" s="13"/>
      <c r="F15" s="7"/>
      <c r="G15" s="7" t="s">
        <v>30</v>
      </c>
      <c r="H15" s="22">
        <v>10000</v>
      </c>
      <c r="I15" s="10"/>
      <c r="J15" s="9"/>
      <c r="K15" s="23">
        <v>5</v>
      </c>
      <c r="L15" s="17">
        <f t="shared" si="0"/>
        <v>50000</v>
      </c>
      <c r="M15" s="7"/>
      <c r="N15" s="7"/>
      <c r="O15" s="7"/>
      <c r="P15" s="7"/>
      <c r="Q15" s="2"/>
      <c r="R15" s="6">
        <v>11</v>
      </c>
      <c r="S15" s="7"/>
      <c r="T15" s="21"/>
      <c r="U15" s="9"/>
      <c r="V15" s="10"/>
    </row>
    <row r="16" spans="1:22" ht="15.75" thickBot="1" x14ac:dyDescent="0.3">
      <c r="A16" s="13"/>
      <c r="B16" s="7"/>
      <c r="C16" s="7"/>
      <c r="D16" s="13"/>
      <c r="E16" s="13"/>
      <c r="F16" s="7"/>
      <c r="G16" s="7" t="s">
        <v>31</v>
      </c>
      <c r="H16" s="22">
        <v>10000</v>
      </c>
      <c r="I16" s="10"/>
      <c r="J16" s="9"/>
      <c r="K16" s="23">
        <v>1890</v>
      </c>
      <c r="L16" s="17">
        <f t="shared" si="0"/>
        <v>18900000</v>
      </c>
      <c r="M16" s="7"/>
      <c r="N16" s="7"/>
      <c r="O16" s="7"/>
      <c r="P16" s="7"/>
      <c r="Q16" s="2"/>
      <c r="R16" s="6">
        <v>12</v>
      </c>
      <c r="S16" s="24"/>
      <c r="T16" s="21"/>
      <c r="U16" s="25"/>
      <c r="V16" s="10"/>
    </row>
    <row r="17" spans="1:22" ht="15.75" thickBot="1" x14ac:dyDescent="0.3">
      <c r="A17" s="13"/>
      <c r="B17" s="7"/>
      <c r="C17" s="7"/>
      <c r="D17" s="13"/>
      <c r="E17" s="13"/>
      <c r="F17" s="7"/>
      <c r="G17" s="7" t="s">
        <v>32</v>
      </c>
      <c r="H17" s="22">
        <v>11000</v>
      </c>
      <c r="I17" s="10"/>
      <c r="J17" s="9"/>
      <c r="K17" s="23"/>
      <c r="L17" s="17">
        <f t="shared" si="0"/>
        <v>0</v>
      </c>
      <c r="M17" s="7"/>
      <c r="N17" s="7"/>
      <c r="O17" s="7"/>
      <c r="P17" s="7"/>
      <c r="Q17" s="2"/>
      <c r="R17" s="6">
        <v>13</v>
      </c>
      <c r="S17" s="7"/>
      <c r="T17" s="21"/>
      <c r="U17" s="25"/>
      <c r="V17" s="10"/>
    </row>
    <row r="18" spans="1:22" ht="15.75" thickBot="1" x14ac:dyDescent="0.3">
      <c r="A18" s="13"/>
      <c r="B18" s="7"/>
      <c r="C18" s="7"/>
      <c r="D18" s="13"/>
      <c r="E18" s="13"/>
      <c r="F18" s="7"/>
      <c r="G18" s="7" t="s">
        <v>33</v>
      </c>
      <c r="H18" s="22">
        <v>12000</v>
      </c>
      <c r="I18" s="10"/>
      <c r="J18" s="25"/>
      <c r="K18" s="23">
        <v>102</v>
      </c>
      <c r="L18" s="17">
        <f t="shared" si="0"/>
        <v>1224000</v>
      </c>
      <c r="M18" s="7"/>
      <c r="N18" s="7"/>
      <c r="O18" s="7"/>
      <c r="P18" s="7"/>
      <c r="Q18" s="2"/>
      <c r="R18" s="6">
        <v>14</v>
      </c>
      <c r="S18" s="7"/>
      <c r="T18" s="21"/>
      <c r="U18" s="25"/>
      <c r="V18" s="10"/>
    </row>
    <row r="19" spans="1:22" ht="15.75" thickBot="1" x14ac:dyDescent="0.3">
      <c r="A19" s="13"/>
      <c r="B19" s="7"/>
      <c r="C19" s="7"/>
      <c r="D19" s="13"/>
      <c r="E19" s="13"/>
      <c r="F19" s="7"/>
      <c r="G19" s="7" t="s">
        <v>34</v>
      </c>
      <c r="H19" s="22">
        <v>12000</v>
      </c>
      <c r="I19" s="10"/>
      <c r="J19" s="25"/>
      <c r="K19" s="26">
        <v>7424</v>
      </c>
      <c r="L19" s="17">
        <v>70205000</v>
      </c>
      <c r="M19" s="7"/>
      <c r="N19" s="7"/>
      <c r="O19" s="7"/>
      <c r="P19" s="7"/>
      <c r="Q19" s="2"/>
      <c r="R19" s="6">
        <v>15</v>
      </c>
      <c r="S19" s="7"/>
      <c r="T19" s="21"/>
      <c r="U19" s="25"/>
      <c r="V19" s="10"/>
    </row>
    <row r="20" spans="1:22" ht="15.75" thickBot="1" x14ac:dyDescent="0.3">
      <c r="A20" s="13"/>
      <c r="B20" s="7"/>
      <c r="C20" s="7"/>
      <c r="D20" s="13"/>
      <c r="E20" s="13"/>
      <c r="F20" s="7"/>
      <c r="G20" s="7" t="s">
        <v>35</v>
      </c>
      <c r="H20" s="22">
        <v>8000</v>
      </c>
      <c r="I20" s="10">
        <v>1954</v>
      </c>
      <c r="J20" s="9">
        <v>3</v>
      </c>
      <c r="K20" s="23">
        <v>605</v>
      </c>
      <c r="L20" s="17">
        <v>15632000</v>
      </c>
      <c r="M20" s="7"/>
      <c r="N20" s="7"/>
      <c r="O20" s="7"/>
      <c r="P20" s="7"/>
      <c r="Q20" s="2"/>
      <c r="R20" s="6"/>
      <c r="S20" s="27"/>
      <c r="T20" s="28"/>
      <c r="U20" s="25"/>
      <c r="V20" s="10"/>
    </row>
    <row r="21" spans="1:22" ht="15.75" thickBot="1" x14ac:dyDescent="0.3">
      <c r="A21" s="13"/>
      <c r="B21" s="7"/>
      <c r="C21" s="7"/>
      <c r="D21" s="13"/>
      <c r="E21" s="13"/>
      <c r="F21" s="7"/>
      <c r="G21" s="7" t="s">
        <v>36</v>
      </c>
      <c r="H21" s="22">
        <v>6000</v>
      </c>
      <c r="I21" s="29">
        <v>541</v>
      </c>
      <c r="J21" s="9">
        <v>3</v>
      </c>
      <c r="K21" s="23">
        <v>181</v>
      </c>
      <c r="L21" s="17">
        <v>3246000</v>
      </c>
      <c r="M21" s="7"/>
      <c r="N21" s="7"/>
      <c r="O21" s="7"/>
      <c r="P21" s="7"/>
      <c r="Q21" s="2"/>
      <c r="R21" s="169" t="s">
        <v>9</v>
      </c>
      <c r="S21" s="170"/>
      <c r="T21" s="50"/>
      <c r="U21" s="31"/>
      <c r="V21" s="32">
        <f>SUM(V5:V20)</f>
        <v>4702000</v>
      </c>
    </row>
    <row r="22" spans="1:22" ht="15.75" thickBot="1" x14ac:dyDescent="0.3">
      <c r="A22" s="175" t="s">
        <v>9</v>
      </c>
      <c r="B22" s="176"/>
      <c r="C22" s="33">
        <f>SUM(C6:C21)</f>
        <v>24930</v>
      </c>
      <c r="D22" s="33"/>
      <c r="E22" s="33">
        <f>SUM(E6:E21)</f>
        <v>24321.951219512197</v>
      </c>
      <c r="F22" s="34">
        <f>SUM(F6)</f>
        <v>224370000</v>
      </c>
      <c r="G22" s="161" t="s">
        <v>7</v>
      </c>
      <c r="H22" s="162"/>
      <c r="I22" s="163"/>
      <c r="J22" s="38"/>
      <c r="K22" s="36">
        <f>SUM(K6:K21)</f>
        <v>23738.9</v>
      </c>
      <c r="L22" s="37">
        <f>SUM(L6:L21)</f>
        <v>254014000</v>
      </c>
      <c r="M22" s="38" t="s">
        <v>7</v>
      </c>
      <c r="N22" s="38">
        <f>SUM(N6:N21)</f>
        <v>15</v>
      </c>
      <c r="O22" s="38">
        <v>0</v>
      </c>
      <c r="P22" s="38">
        <f>SUM(P6:P21)</f>
        <v>1003</v>
      </c>
      <c r="Q22" s="2"/>
      <c r="R22" s="51"/>
      <c r="S22" s="2"/>
      <c r="T22" s="51"/>
      <c r="U22" s="2"/>
      <c r="V22" s="2"/>
    </row>
    <row r="23" spans="1:2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51"/>
      <c r="S23" s="2"/>
      <c r="T23" s="51"/>
      <c r="U23" s="2"/>
      <c r="V23" s="2"/>
    </row>
    <row r="24" spans="1:22" ht="15.75" x14ac:dyDescent="0.25">
      <c r="A24" s="182" t="s">
        <v>37</v>
      </c>
      <c r="B24" s="183"/>
      <c r="C24" s="183"/>
      <c r="D24" s="183"/>
      <c r="E24" s="183"/>
      <c r="F24" s="184"/>
      <c r="G24" s="40"/>
      <c r="H24" s="40"/>
      <c r="I24" s="41"/>
      <c r="J24" s="2"/>
      <c r="K24" s="2"/>
      <c r="L24" s="2"/>
      <c r="M24" s="174" t="s">
        <v>47</v>
      </c>
      <c r="N24" s="174"/>
      <c r="O24" s="174"/>
      <c r="P24" s="174"/>
      <c r="Q24" s="2"/>
      <c r="R24" s="51"/>
      <c r="S24" s="2"/>
      <c r="T24" s="51"/>
      <c r="U24" s="2"/>
      <c r="V24" s="2"/>
    </row>
    <row r="25" spans="1:22" ht="15.75" x14ac:dyDescent="0.25">
      <c r="A25" s="171"/>
      <c r="B25" s="172"/>
      <c r="C25" s="172"/>
      <c r="D25" s="172"/>
      <c r="E25" s="172"/>
      <c r="F25" s="173"/>
      <c r="G25" s="42"/>
      <c r="H25" s="42"/>
      <c r="I25" s="43"/>
      <c r="J25" s="2"/>
      <c r="K25" s="2"/>
      <c r="L25" s="2"/>
      <c r="M25" s="174"/>
      <c r="N25" s="174"/>
      <c r="O25" s="174"/>
      <c r="P25" s="174"/>
      <c r="Q25" s="2"/>
      <c r="R25" s="51"/>
      <c r="S25" s="2"/>
      <c r="T25" s="51"/>
      <c r="U25" s="2"/>
      <c r="V25" s="2"/>
    </row>
    <row r="26" spans="1:22" ht="15.75" x14ac:dyDescent="0.25">
      <c r="A26" s="171" t="s">
        <v>45</v>
      </c>
      <c r="B26" s="172"/>
      <c r="C26" s="172"/>
      <c r="D26" s="172"/>
      <c r="E26" s="172"/>
      <c r="F26" s="173"/>
      <c r="G26" s="44"/>
      <c r="H26" s="42">
        <v>600</v>
      </c>
      <c r="I26" s="45" t="s">
        <v>38</v>
      </c>
      <c r="J26" s="2"/>
      <c r="K26" s="2"/>
      <c r="L26" s="2"/>
      <c r="M26" s="2"/>
      <c r="N26" s="2"/>
      <c r="O26" s="2"/>
      <c r="P26" s="2"/>
      <c r="Q26" s="2"/>
      <c r="R26" s="51"/>
      <c r="S26" s="2"/>
      <c r="T26" s="51"/>
      <c r="U26" s="2"/>
      <c r="V26" s="2"/>
    </row>
    <row r="27" spans="1:22" ht="15.75" x14ac:dyDescent="0.25">
      <c r="A27" s="171" t="s">
        <v>43</v>
      </c>
      <c r="B27" s="172"/>
      <c r="C27" s="172"/>
      <c r="D27" s="172"/>
      <c r="E27" s="172"/>
      <c r="F27" s="173"/>
      <c r="G27" s="44">
        <f>E22</f>
        <v>24321.951219512197</v>
      </c>
      <c r="H27" s="42"/>
      <c r="I27" s="45" t="s">
        <v>38</v>
      </c>
      <c r="J27" s="2"/>
      <c r="K27" s="2"/>
      <c r="L27" s="2"/>
      <c r="M27" s="2"/>
      <c r="N27" s="2"/>
      <c r="O27" s="2"/>
      <c r="P27" s="2"/>
      <c r="Q27" s="2"/>
      <c r="R27" s="51"/>
      <c r="S27" s="2"/>
      <c r="T27" s="51"/>
      <c r="U27" s="2"/>
      <c r="V27" s="2"/>
    </row>
    <row r="28" spans="1:22" ht="15.75" x14ac:dyDescent="0.25">
      <c r="A28" s="171"/>
      <c r="B28" s="172"/>
      <c r="C28" s="172"/>
      <c r="D28" s="172"/>
      <c r="E28" s="172"/>
      <c r="F28" s="173"/>
      <c r="G28" s="42"/>
      <c r="H28" s="42"/>
      <c r="I28" s="45"/>
      <c r="J28" s="2"/>
      <c r="K28" s="2"/>
      <c r="L28" s="2"/>
      <c r="M28" s="2"/>
      <c r="N28" s="2"/>
      <c r="O28" s="2"/>
      <c r="P28" s="2"/>
      <c r="Q28" s="2"/>
      <c r="R28" s="51"/>
      <c r="S28" s="2"/>
      <c r="T28" s="51"/>
      <c r="U28" s="2"/>
      <c r="V28" s="2"/>
    </row>
    <row r="29" spans="1:22" ht="15.75" x14ac:dyDescent="0.25">
      <c r="A29" s="171"/>
      <c r="B29" s="172"/>
      <c r="C29" s="172"/>
      <c r="D29" s="172"/>
      <c r="E29" s="172"/>
      <c r="F29" s="173"/>
      <c r="G29" s="42" t="s">
        <v>39</v>
      </c>
      <c r="H29" s="44">
        <f>G27+H26</f>
        <v>24921.951219512197</v>
      </c>
      <c r="I29" s="45" t="s">
        <v>38</v>
      </c>
      <c r="J29" s="2"/>
      <c r="K29" s="2"/>
      <c r="L29" s="2"/>
      <c r="M29" s="181" t="s">
        <v>40</v>
      </c>
      <c r="N29" s="181"/>
      <c r="O29" s="181"/>
      <c r="P29" s="181"/>
      <c r="Q29" s="2"/>
      <c r="R29" s="51"/>
      <c r="S29" s="2"/>
      <c r="T29" s="51"/>
      <c r="U29" s="2"/>
      <c r="V29" s="2"/>
    </row>
    <row r="30" spans="1:22" ht="15.75" x14ac:dyDescent="0.25">
      <c r="A30" s="171" t="s">
        <v>75</v>
      </c>
      <c r="B30" s="172"/>
      <c r="C30" s="172"/>
      <c r="D30" s="172"/>
      <c r="E30" s="172"/>
      <c r="F30" s="173"/>
      <c r="G30" s="42"/>
      <c r="H30" s="44">
        <f>K22+P22</f>
        <v>24741.9</v>
      </c>
      <c r="I30" s="45" t="s">
        <v>38</v>
      </c>
      <c r="J30" s="2"/>
      <c r="K30" s="2"/>
      <c r="L30" s="2"/>
      <c r="M30" s="2"/>
      <c r="N30" s="2"/>
      <c r="O30" s="2"/>
      <c r="P30" s="2"/>
      <c r="Q30" s="2"/>
      <c r="R30" s="51"/>
      <c r="S30" s="2"/>
      <c r="T30" s="51"/>
      <c r="U30" s="2"/>
      <c r="V30" s="2"/>
    </row>
    <row r="31" spans="1:22" ht="15.75" x14ac:dyDescent="0.25">
      <c r="A31" s="171" t="s">
        <v>67</v>
      </c>
      <c r="B31" s="172"/>
      <c r="C31" s="172"/>
      <c r="D31" s="172"/>
      <c r="E31" s="172"/>
      <c r="F31" s="173"/>
      <c r="G31" s="42"/>
      <c r="H31" s="44">
        <v>180</v>
      </c>
      <c r="I31" s="45"/>
      <c r="J31" s="2"/>
      <c r="K31" s="2"/>
      <c r="L31" s="2"/>
      <c r="M31" s="2"/>
      <c r="N31" s="2"/>
      <c r="O31" s="2"/>
      <c r="P31" s="2"/>
      <c r="Q31" s="2"/>
      <c r="R31" s="51"/>
      <c r="S31" s="2"/>
      <c r="T31" s="51"/>
      <c r="U31" s="2"/>
      <c r="V31" s="2"/>
    </row>
    <row r="32" spans="1:22" ht="16.5" thickBot="1" x14ac:dyDescent="0.3">
      <c r="A32" s="178" t="s">
        <v>68</v>
      </c>
      <c r="B32" s="179"/>
      <c r="C32" s="179"/>
      <c r="D32" s="179"/>
      <c r="E32" s="179"/>
      <c r="F32" s="180"/>
      <c r="G32" s="46"/>
      <c r="H32" s="46">
        <v>180</v>
      </c>
      <c r="I32" s="47" t="s">
        <v>38</v>
      </c>
      <c r="J32" s="2"/>
      <c r="K32" s="2"/>
      <c r="L32" s="2"/>
      <c r="M32" s="2"/>
      <c r="N32" s="2"/>
      <c r="O32" s="2"/>
      <c r="P32" s="2"/>
      <c r="Q32" s="2"/>
      <c r="R32" s="51"/>
      <c r="S32" s="2"/>
      <c r="T32" s="51"/>
      <c r="U32" s="2"/>
      <c r="V32" s="2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77" t="s">
        <v>69</v>
      </c>
      <c r="B34" s="177"/>
      <c r="C34" s="177"/>
      <c r="D34" s="177"/>
      <c r="E34" s="17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M35" s="1"/>
    </row>
  </sheetData>
  <mergeCells count="24">
    <mergeCell ref="A2:P2"/>
    <mergeCell ref="R2:V2"/>
    <mergeCell ref="A3:P3"/>
    <mergeCell ref="R3:V3"/>
    <mergeCell ref="A4:A5"/>
    <mergeCell ref="B4:F4"/>
    <mergeCell ref="G4:L4"/>
    <mergeCell ref="M4:P4"/>
    <mergeCell ref="M29:P29"/>
    <mergeCell ref="A30:F30"/>
    <mergeCell ref="R21:S21"/>
    <mergeCell ref="A22:B22"/>
    <mergeCell ref="G22:I22"/>
    <mergeCell ref="A24:F24"/>
    <mergeCell ref="M24:P24"/>
    <mergeCell ref="A25:F25"/>
    <mergeCell ref="M25:P25"/>
    <mergeCell ref="A31:F31"/>
    <mergeCell ref="A32:F32"/>
    <mergeCell ref="A34:E34"/>
    <mergeCell ref="A26:F26"/>
    <mergeCell ref="A27:F27"/>
    <mergeCell ref="A28:F28"/>
    <mergeCell ref="A29:F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opLeftCell="C4" workbookViewId="0">
      <selection activeCell="K19" sqref="K19"/>
    </sheetView>
  </sheetViews>
  <sheetFormatPr defaultColWidth="10" defaultRowHeight="15" x14ac:dyDescent="0.25"/>
  <cols>
    <col min="6" max="6" width="14.140625" customWidth="1"/>
    <col min="12" max="12" width="11.140625" bestFit="1" customWidth="1"/>
    <col min="13" max="13" width="17.28515625" customWidth="1"/>
    <col min="19" max="19" width="26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7" x14ac:dyDescent="0.5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2"/>
      <c r="R2" s="166" t="s">
        <v>1</v>
      </c>
      <c r="S2" s="166"/>
      <c r="T2" s="166"/>
      <c r="U2" s="166"/>
      <c r="V2" s="166"/>
    </row>
    <row r="3" spans="1:22" ht="27.75" thickBot="1" x14ac:dyDescent="0.55000000000000004">
      <c r="A3" s="165" t="s">
        <v>76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2"/>
      <c r="R3" s="164" t="s">
        <v>76</v>
      </c>
      <c r="S3" s="164"/>
      <c r="T3" s="164"/>
      <c r="U3" s="164"/>
      <c r="V3" s="164"/>
    </row>
    <row r="4" spans="1:22" ht="15.75" thickBot="1" x14ac:dyDescent="0.3">
      <c r="A4" s="167" t="s">
        <v>2</v>
      </c>
      <c r="B4" s="161" t="s">
        <v>3</v>
      </c>
      <c r="C4" s="161"/>
      <c r="D4" s="161"/>
      <c r="E4" s="162"/>
      <c r="F4" s="163"/>
      <c r="G4" s="161" t="s">
        <v>4</v>
      </c>
      <c r="H4" s="162"/>
      <c r="I4" s="162"/>
      <c r="J4" s="162"/>
      <c r="K4" s="162"/>
      <c r="L4" s="163"/>
      <c r="M4" s="161" t="s">
        <v>5</v>
      </c>
      <c r="N4" s="162"/>
      <c r="O4" s="162"/>
      <c r="P4" s="163"/>
      <c r="Q4" s="2"/>
      <c r="R4" s="48" t="s">
        <v>2</v>
      </c>
      <c r="S4" s="4" t="s">
        <v>6</v>
      </c>
      <c r="T4" s="49" t="s">
        <v>7</v>
      </c>
      <c r="U4" s="4" t="s">
        <v>8</v>
      </c>
      <c r="V4" s="4" t="s">
        <v>9</v>
      </c>
    </row>
    <row r="5" spans="1:22" ht="15.75" thickBot="1" x14ac:dyDescent="0.3">
      <c r="A5" s="168"/>
      <c r="B5" s="4" t="s">
        <v>10</v>
      </c>
      <c r="C5" s="4" t="s">
        <v>48</v>
      </c>
      <c r="D5" s="4"/>
      <c r="E5" s="4" t="s">
        <v>11</v>
      </c>
      <c r="F5" s="4" t="s">
        <v>12</v>
      </c>
      <c r="G5" s="4" t="s">
        <v>13</v>
      </c>
      <c r="H5" s="4" t="s">
        <v>10</v>
      </c>
      <c r="I5" s="4" t="s">
        <v>14</v>
      </c>
      <c r="J5" s="4" t="s">
        <v>15</v>
      </c>
      <c r="K5" s="4" t="s">
        <v>11</v>
      </c>
      <c r="L5" s="4" t="s">
        <v>12</v>
      </c>
      <c r="M5" s="4"/>
      <c r="N5" s="4" t="s">
        <v>14</v>
      </c>
      <c r="O5" s="4"/>
      <c r="P5" s="4" t="s">
        <v>11</v>
      </c>
      <c r="Q5" s="2"/>
      <c r="R5" s="6">
        <v>1</v>
      </c>
      <c r="S5" s="7" t="s">
        <v>58</v>
      </c>
      <c r="T5" s="8"/>
      <c r="U5" s="9"/>
      <c r="V5" s="10">
        <v>50000</v>
      </c>
    </row>
    <row r="6" spans="1:22" ht="15.75" thickBot="1" x14ac:dyDescent="0.3">
      <c r="A6" s="11">
        <v>1</v>
      </c>
      <c r="B6" s="12">
        <v>9000</v>
      </c>
      <c r="C6" s="12">
        <v>25952</v>
      </c>
      <c r="D6" s="13">
        <v>1.0249999999999999</v>
      </c>
      <c r="E6" s="14">
        <f>C6/D6</f>
        <v>25319.024390243903</v>
      </c>
      <c r="F6" s="12">
        <f>C6*B6</f>
        <v>233568000</v>
      </c>
      <c r="G6" s="15" t="s">
        <v>16</v>
      </c>
      <c r="H6" s="16">
        <v>11000</v>
      </c>
      <c r="I6" s="17"/>
      <c r="J6" s="18"/>
      <c r="K6" s="19">
        <v>6180</v>
      </c>
      <c r="L6" s="17">
        <f t="shared" ref="L6:L18" si="0">K6*H6</f>
        <v>67980000</v>
      </c>
      <c r="M6" s="15" t="s">
        <v>17</v>
      </c>
      <c r="N6" s="20">
        <v>15</v>
      </c>
      <c r="O6" s="20"/>
      <c r="P6" s="15">
        <v>5</v>
      </c>
      <c r="Q6" s="2"/>
      <c r="R6" s="6">
        <v>2</v>
      </c>
      <c r="S6" s="7" t="s">
        <v>53</v>
      </c>
      <c r="T6" s="21"/>
      <c r="U6" s="9"/>
      <c r="V6" s="10">
        <v>1300000</v>
      </c>
    </row>
    <row r="7" spans="1:22" ht="15.75" thickBot="1" x14ac:dyDescent="0.3">
      <c r="A7" s="13"/>
      <c r="B7" s="7"/>
      <c r="C7" s="7"/>
      <c r="D7" s="13"/>
      <c r="E7" s="13"/>
      <c r="F7" s="7"/>
      <c r="G7" s="7" t="s">
        <v>18</v>
      </c>
      <c r="H7" s="22">
        <v>11000</v>
      </c>
      <c r="I7" s="10"/>
      <c r="J7" s="9"/>
      <c r="K7" s="23">
        <v>2560</v>
      </c>
      <c r="L7" s="17">
        <f t="shared" si="0"/>
        <v>28160000</v>
      </c>
      <c r="M7" s="7" t="s">
        <v>19</v>
      </c>
      <c r="N7" s="7"/>
      <c r="O7" s="7"/>
      <c r="P7" s="7">
        <v>10</v>
      </c>
      <c r="Q7" s="2"/>
      <c r="R7" s="6">
        <v>3</v>
      </c>
      <c r="S7" s="7" t="s">
        <v>63</v>
      </c>
      <c r="T7" s="21"/>
      <c r="U7" s="9"/>
      <c r="V7" s="10">
        <v>189000</v>
      </c>
    </row>
    <row r="8" spans="1:22" ht="15.75" thickBot="1" x14ac:dyDescent="0.3">
      <c r="A8" s="13"/>
      <c r="B8" s="7"/>
      <c r="C8" s="7"/>
      <c r="D8" s="13"/>
      <c r="E8" s="13"/>
      <c r="F8" s="7"/>
      <c r="G8" s="7" t="s">
        <v>20</v>
      </c>
      <c r="H8" s="22">
        <v>11000</v>
      </c>
      <c r="I8" s="10"/>
      <c r="J8" s="9"/>
      <c r="K8" s="23">
        <v>550</v>
      </c>
      <c r="L8" s="17">
        <f t="shared" si="0"/>
        <v>6050000</v>
      </c>
      <c r="M8" s="7" t="s">
        <v>21</v>
      </c>
      <c r="N8" s="7"/>
      <c r="O8" s="7"/>
      <c r="P8" s="23">
        <v>215.8</v>
      </c>
      <c r="Q8" s="2"/>
      <c r="R8" s="6">
        <v>4</v>
      </c>
      <c r="S8" s="7" t="s">
        <v>81</v>
      </c>
      <c r="T8" s="21"/>
      <c r="U8" s="9"/>
      <c r="V8" s="10">
        <v>1720000</v>
      </c>
    </row>
    <row r="9" spans="1:22" ht="15.75" thickBot="1" x14ac:dyDescent="0.3">
      <c r="A9" s="13"/>
      <c r="B9" s="7"/>
      <c r="C9" s="7"/>
      <c r="D9" s="13"/>
      <c r="E9" s="13"/>
      <c r="F9" s="7"/>
      <c r="G9" s="7" t="s">
        <v>22</v>
      </c>
      <c r="H9" s="22">
        <v>10000</v>
      </c>
      <c r="I9" s="10"/>
      <c r="J9" s="9"/>
      <c r="K9" s="23">
        <v>1055</v>
      </c>
      <c r="L9" s="17">
        <f t="shared" si="0"/>
        <v>10550000</v>
      </c>
      <c r="M9" s="7" t="s">
        <v>23</v>
      </c>
      <c r="N9" s="7">
        <v>20</v>
      </c>
      <c r="O9" s="7"/>
      <c r="P9" s="7">
        <v>10</v>
      </c>
      <c r="Q9" s="2"/>
      <c r="R9" s="6">
        <v>5</v>
      </c>
      <c r="S9" s="7" t="s">
        <v>57</v>
      </c>
      <c r="T9" s="21"/>
      <c r="U9" s="9"/>
      <c r="V9" s="10">
        <v>1125000</v>
      </c>
    </row>
    <row r="10" spans="1:22" ht="15.75" thickBot="1" x14ac:dyDescent="0.3">
      <c r="A10" s="13"/>
      <c r="B10" s="7"/>
      <c r="C10" s="7"/>
      <c r="D10" s="13"/>
      <c r="E10" s="13"/>
      <c r="F10" s="7"/>
      <c r="G10" s="7" t="s">
        <v>24</v>
      </c>
      <c r="H10" s="22">
        <v>10000</v>
      </c>
      <c r="I10" s="10"/>
      <c r="J10" s="9"/>
      <c r="K10" s="23">
        <v>438</v>
      </c>
      <c r="L10" s="17">
        <f t="shared" si="0"/>
        <v>4380000</v>
      </c>
      <c r="M10" s="7" t="s">
        <v>25</v>
      </c>
      <c r="N10" s="7"/>
      <c r="O10" s="7"/>
      <c r="P10" s="7">
        <v>220</v>
      </c>
      <c r="Q10" s="2"/>
      <c r="R10" s="6">
        <v>6</v>
      </c>
      <c r="S10" s="7" t="s">
        <v>73</v>
      </c>
      <c r="T10" s="21"/>
      <c r="U10" s="9"/>
      <c r="V10" s="10">
        <v>1280000</v>
      </c>
    </row>
    <row r="11" spans="1:22" ht="15.75" thickBot="1" x14ac:dyDescent="0.3">
      <c r="A11" s="13"/>
      <c r="B11" s="7"/>
      <c r="C11" s="7"/>
      <c r="D11" s="13"/>
      <c r="E11" s="13"/>
      <c r="F11" s="7"/>
      <c r="G11" s="7" t="s">
        <v>26</v>
      </c>
      <c r="H11" s="22">
        <v>10000</v>
      </c>
      <c r="I11" s="10"/>
      <c r="J11" s="9"/>
      <c r="K11" s="23">
        <v>2100</v>
      </c>
      <c r="L11" s="17">
        <f t="shared" si="0"/>
        <v>21000000</v>
      </c>
      <c r="M11" s="7"/>
      <c r="N11" s="7"/>
      <c r="O11" s="7"/>
      <c r="P11" s="7"/>
      <c r="Q11" s="2"/>
      <c r="R11" s="6">
        <v>7</v>
      </c>
      <c r="S11" s="7" t="s">
        <v>64</v>
      </c>
      <c r="T11" s="21"/>
      <c r="U11" s="9"/>
      <c r="V11" s="10">
        <v>150000</v>
      </c>
    </row>
    <row r="12" spans="1:22" ht="15.75" thickBot="1" x14ac:dyDescent="0.3">
      <c r="A12" s="13"/>
      <c r="B12" s="7"/>
      <c r="C12" s="7"/>
      <c r="D12" s="13"/>
      <c r="E12" s="13"/>
      <c r="F12" s="7"/>
      <c r="G12" s="7" t="s">
        <v>27</v>
      </c>
      <c r="H12" s="22">
        <v>10000</v>
      </c>
      <c r="I12" s="10"/>
      <c r="J12" s="9"/>
      <c r="K12" s="23">
        <v>742</v>
      </c>
      <c r="L12" s="17">
        <f t="shared" si="0"/>
        <v>7420000</v>
      </c>
      <c r="M12" s="7"/>
      <c r="N12" s="7"/>
      <c r="O12" s="7"/>
      <c r="P12" s="7"/>
      <c r="Q12" s="2"/>
      <c r="R12" s="6">
        <v>8</v>
      </c>
      <c r="S12" s="7" t="s">
        <v>82</v>
      </c>
      <c r="T12" s="21"/>
      <c r="U12" s="9"/>
      <c r="V12" s="10">
        <v>20000</v>
      </c>
    </row>
    <row r="13" spans="1:22" ht="15.75" thickBot="1" x14ac:dyDescent="0.3">
      <c r="A13" s="13"/>
      <c r="B13" s="7"/>
      <c r="C13" s="7"/>
      <c r="D13" s="13"/>
      <c r="E13" s="13"/>
      <c r="F13" s="7"/>
      <c r="G13" s="7" t="s">
        <v>28</v>
      </c>
      <c r="H13" s="22">
        <v>10000</v>
      </c>
      <c r="I13" s="10"/>
      <c r="J13" s="9"/>
      <c r="K13" s="23">
        <v>416.2</v>
      </c>
      <c r="L13" s="17">
        <f t="shared" si="0"/>
        <v>4162000</v>
      </c>
      <c r="M13" s="7"/>
      <c r="N13" s="7"/>
      <c r="O13" s="7"/>
      <c r="P13" s="7"/>
      <c r="Q13" s="2"/>
      <c r="R13" s="6">
        <v>9</v>
      </c>
      <c r="S13" s="7" t="s">
        <v>83</v>
      </c>
      <c r="T13" s="21"/>
      <c r="U13" s="9"/>
      <c r="V13" s="10">
        <v>480000</v>
      </c>
    </row>
    <row r="14" spans="1:22" ht="15.75" thickBot="1" x14ac:dyDescent="0.3">
      <c r="A14" s="13"/>
      <c r="B14" s="7"/>
      <c r="C14" s="7"/>
      <c r="D14" s="13"/>
      <c r="E14" s="13"/>
      <c r="F14" s="7"/>
      <c r="G14" s="7" t="s">
        <v>29</v>
      </c>
      <c r="H14" s="22">
        <v>11000</v>
      </c>
      <c r="I14" s="10"/>
      <c r="J14" s="9"/>
      <c r="K14" s="23">
        <v>138</v>
      </c>
      <c r="L14" s="17">
        <f t="shared" si="0"/>
        <v>1518000</v>
      </c>
      <c r="M14" s="7"/>
      <c r="N14" s="7"/>
      <c r="O14" s="7"/>
      <c r="P14" s="7"/>
      <c r="Q14" s="2"/>
      <c r="R14" s="6">
        <v>10</v>
      </c>
      <c r="S14" s="7" t="s">
        <v>84</v>
      </c>
      <c r="T14" s="21"/>
      <c r="U14" s="9"/>
      <c r="V14" s="10">
        <v>164000</v>
      </c>
    </row>
    <row r="15" spans="1:22" ht="15.75" thickBot="1" x14ac:dyDescent="0.3">
      <c r="A15" s="13"/>
      <c r="B15" s="7"/>
      <c r="C15" s="7"/>
      <c r="D15" s="13"/>
      <c r="E15" s="13"/>
      <c r="F15" s="7"/>
      <c r="G15" s="7" t="s">
        <v>30</v>
      </c>
      <c r="H15" s="22">
        <v>10000</v>
      </c>
      <c r="I15" s="10"/>
      <c r="J15" s="9"/>
      <c r="K15" s="23">
        <v>23</v>
      </c>
      <c r="L15" s="17">
        <f t="shared" si="0"/>
        <v>230000</v>
      </c>
      <c r="M15" s="7"/>
      <c r="N15" s="7"/>
      <c r="O15" s="7"/>
      <c r="P15" s="7"/>
      <c r="Q15" s="2"/>
      <c r="R15" s="6">
        <v>11</v>
      </c>
      <c r="S15" s="7" t="s">
        <v>85</v>
      </c>
      <c r="T15" s="21"/>
      <c r="U15" s="9"/>
      <c r="V15" s="10">
        <v>2500000</v>
      </c>
    </row>
    <row r="16" spans="1:22" ht="15.75" thickBot="1" x14ac:dyDescent="0.3">
      <c r="A16" s="13"/>
      <c r="B16" s="7"/>
      <c r="C16" s="7"/>
      <c r="D16" s="13"/>
      <c r="E16" s="13"/>
      <c r="F16" s="7"/>
      <c r="G16" s="7" t="s">
        <v>31</v>
      </c>
      <c r="H16" s="22">
        <v>10000</v>
      </c>
      <c r="I16" s="10"/>
      <c r="J16" s="9"/>
      <c r="K16" s="23">
        <v>830</v>
      </c>
      <c r="L16" s="17">
        <f t="shared" si="0"/>
        <v>8300000</v>
      </c>
      <c r="M16" s="7"/>
      <c r="N16" s="7"/>
      <c r="O16" s="7"/>
      <c r="P16" s="7"/>
      <c r="Q16" s="2"/>
      <c r="R16" s="6">
        <v>12</v>
      </c>
      <c r="S16" s="24"/>
      <c r="T16" s="21"/>
      <c r="U16" s="25"/>
      <c r="V16" s="10"/>
    </row>
    <row r="17" spans="1:22" ht="15.75" thickBot="1" x14ac:dyDescent="0.3">
      <c r="A17" s="13"/>
      <c r="B17" s="7"/>
      <c r="C17" s="7"/>
      <c r="D17" s="13"/>
      <c r="E17" s="13"/>
      <c r="F17" s="7"/>
      <c r="G17" s="7" t="s">
        <v>32</v>
      </c>
      <c r="H17" s="22">
        <v>11000</v>
      </c>
      <c r="I17" s="10"/>
      <c r="J17" s="9"/>
      <c r="K17" s="23"/>
      <c r="L17" s="17">
        <f t="shared" si="0"/>
        <v>0</v>
      </c>
      <c r="M17" s="7"/>
      <c r="N17" s="7"/>
      <c r="O17" s="7"/>
      <c r="P17" s="7"/>
      <c r="Q17" s="2"/>
      <c r="R17" s="6">
        <v>13</v>
      </c>
      <c r="S17" s="7"/>
      <c r="T17" s="21"/>
      <c r="U17" s="25"/>
      <c r="V17" s="10"/>
    </row>
    <row r="18" spans="1:22" ht="15.75" thickBot="1" x14ac:dyDescent="0.3">
      <c r="A18" s="13"/>
      <c r="B18" s="7"/>
      <c r="C18" s="7"/>
      <c r="D18" s="13"/>
      <c r="E18" s="13"/>
      <c r="F18" s="7"/>
      <c r="G18" s="7" t="s">
        <v>33</v>
      </c>
      <c r="H18" s="22">
        <v>12000</v>
      </c>
      <c r="I18" s="10"/>
      <c r="J18" s="25"/>
      <c r="K18" s="23">
        <v>78</v>
      </c>
      <c r="L18" s="17">
        <f t="shared" si="0"/>
        <v>936000</v>
      </c>
      <c r="M18" s="7"/>
      <c r="N18" s="7"/>
      <c r="O18" s="7"/>
      <c r="P18" s="7"/>
      <c r="Q18" s="2"/>
      <c r="R18" s="6">
        <v>14</v>
      </c>
      <c r="S18" s="7"/>
      <c r="T18" s="21"/>
      <c r="U18" s="25"/>
      <c r="V18" s="10"/>
    </row>
    <row r="19" spans="1:22" ht="15.75" thickBot="1" x14ac:dyDescent="0.3">
      <c r="A19" s="13"/>
      <c r="B19" s="7"/>
      <c r="C19" s="7"/>
      <c r="D19" s="13"/>
      <c r="E19" s="13"/>
      <c r="F19" s="7"/>
      <c r="G19" s="7" t="s">
        <v>34</v>
      </c>
      <c r="H19" s="22">
        <v>12000</v>
      </c>
      <c r="I19" s="10"/>
      <c r="J19" s="25"/>
      <c r="K19" s="26">
        <v>8533</v>
      </c>
      <c r="L19" s="17">
        <v>75210000</v>
      </c>
      <c r="M19" s="7"/>
      <c r="N19" s="7"/>
      <c r="O19" s="7"/>
      <c r="P19" s="7"/>
      <c r="Q19" s="2"/>
      <c r="R19" s="6">
        <v>15</v>
      </c>
      <c r="S19" s="7"/>
      <c r="T19" s="21"/>
      <c r="U19" s="25"/>
      <c r="V19" s="10"/>
    </row>
    <row r="20" spans="1:22" ht="15.75" thickBot="1" x14ac:dyDescent="0.3">
      <c r="A20" s="13"/>
      <c r="B20" s="7"/>
      <c r="C20" s="7"/>
      <c r="D20" s="13"/>
      <c r="E20" s="13"/>
      <c r="F20" s="7"/>
      <c r="G20" s="7" t="s">
        <v>35</v>
      </c>
      <c r="H20" s="22">
        <v>8000</v>
      </c>
      <c r="I20" s="10">
        <v>3092</v>
      </c>
      <c r="J20" s="9">
        <v>3</v>
      </c>
      <c r="K20" s="23">
        <v>1027</v>
      </c>
      <c r="L20" s="17">
        <v>24736000</v>
      </c>
      <c r="M20" s="7"/>
      <c r="N20" s="7"/>
      <c r="O20" s="7"/>
      <c r="P20" s="7"/>
      <c r="Q20" s="2"/>
      <c r="R20" s="6"/>
      <c r="S20" s="27"/>
      <c r="T20" s="28"/>
      <c r="U20" s="25"/>
      <c r="V20" s="10"/>
    </row>
    <row r="21" spans="1:22" ht="15.75" thickBot="1" x14ac:dyDescent="0.3">
      <c r="A21" s="13"/>
      <c r="B21" s="7"/>
      <c r="C21" s="7"/>
      <c r="D21" s="13"/>
      <c r="E21" s="13"/>
      <c r="F21" s="7"/>
      <c r="G21" s="7" t="s">
        <v>36</v>
      </c>
      <c r="H21" s="22">
        <v>6000</v>
      </c>
      <c r="I21" s="29">
        <v>408</v>
      </c>
      <c r="J21" s="9">
        <v>3</v>
      </c>
      <c r="K21" s="23">
        <v>182</v>
      </c>
      <c r="L21" s="17">
        <v>2448000</v>
      </c>
      <c r="M21" s="7"/>
      <c r="N21" s="7"/>
      <c r="O21" s="7"/>
      <c r="P21" s="7"/>
      <c r="Q21" s="2"/>
      <c r="R21" s="169" t="s">
        <v>9</v>
      </c>
      <c r="S21" s="170"/>
      <c r="T21" s="50"/>
      <c r="U21" s="31"/>
      <c r="V21" s="32">
        <f>SUM(V5:V20)</f>
        <v>8978000</v>
      </c>
    </row>
    <row r="22" spans="1:22" ht="15.75" thickBot="1" x14ac:dyDescent="0.3">
      <c r="A22" s="175" t="s">
        <v>9</v>
      </c>
      <c r="B22" s="176"/>
      <c r="C22" s="33">
        <f>SUM(C6:C21)</f>
        <v>25952</v>
      </c>
      <c r="D22" s="33"/>
      <c r="E22" s="33">
        <f>SUM(E6:E21)</f>
        <v>25319.024390243903</v>
      </c>
      <c r="F22" s="34">
        <f>SUM(F6)</f>
        <v>233568000</v>
      </c>
      <c r="G22" s="161" t="s">
        <v>7</v>
      </c>
      <c r="H22" s="162"/>
      <c r="I22" s="163"/>
      <c r="J22" s="38"/>
      <c r="K22" s="36">
        <f>SUM(K6:K21)</f>
        <v>24852.2</v>
      </c>
      <c r="L22" s="37">
        <f>SUM(L6:L21)</f>
        <v>263080000</v>
      </c>
      <c r="M22" s="38" t="s">
        <v>7</v>
      </c>
      <c r="N22" s="38">
        <f>SUM(N6:N21)</f>
        <v>35</v>
      </c>
      <c r="O22" s="38">
        <v>0</v>
      </c>
      <c r="P22" s="38">
        <f>SUM(P6:P21)</f>
        <v>460.8</v>
      </c>
      <c r="Q22" s="2"/>
      <c r="R22" s="51"/>
      <c r="S22" s="2"/>
      <c r="T22" s="51"/>
      <c r="U22" s="2"/>
      <c r="V22" s="2"/>
    </row>
    <row r="23" spans="1:2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51"/>
      <c r="S23" s="2"/>
      <c r="T23" s="51"/>
      <c r="U23" s="2"/>
      <c r="V23" s="2"/>
    </row>
    <row r="24" spans="1:22" ht="15.75" x14ac:dyDescent="0.25">
      <c r="A24" s="182" t="s">
        <v>37</v>
      </c>
      <c r="B24" s="183"/>
      <c r="C24" s="183"/>
      <c r="D24" s="183"/>
      <c r="E24" s="183"/>
      <c r="F24" s="184"/>
      <c r="G24" s="40"/>
      <c r="H24" s="40"/>
      <c r="I24" s="41"/>
      <c r="J24" s="2"/>
      <c r="K24" s="2"/>
      <c r="L24" s="2"/>
      <c r="M24" s="174" t="s">
        <v>47</v>
      </c>
      <c r="N24" s="174"/>
      <c r="O24" s="174"/>
      <c r="P24" s="174"/>
      <c r="Q24" s="2"/>
      <c r="R24" s="51"/>
      <c r="S24" s="2"/>
      <c r="T24" s="51"/>
      <c r="U24" s="2"/>
      <c r="V24" s="2"/>
    </row>
    <row r="25" spans="1:22" ht="15.75" x14ac:dyDescent="0.25">
      <c r="A25" s="171"/>
      <c r="B25" s="172"/>
      <c r="C25" s="172"/>
      <c r="D25" s="172"/>
      <c r="E25" s="172"/>
      <c r="F25" s="173"/>
      <c r="G25" s="42"/>
      <c r="H25" s="42"/>
      <c r="I25" s="43"/>
      <c r="J25" s="2"/>
      <c r="K25" s="2"/>
      <c r="L25" s="2"/>
      <c r="M25" s="174"/>
      <c r="N25" s="174"/>
      <c r="O25" s="174"/>
      <c r="P25" s="174"/>
      <c r="Q25" s="2"/>
      <c r="R25" s="51"/>
      <c r="S25" s="2"/>
      <c r="T25" s="51"/>
      <c r="U25" s="2"/>
      <c r="V25" s="2"/>
    </row>
    <row r="26" spans="1:22" ht="15.75" x14ac:dyDescent="0.25">
      <c r="A26" s="171" t="s">
        <v>67</v>
      </c>
      <c r="B26" s="172"/>
      <c r="C26" s="172"/>
      <c r="D26" s="172"/>
      <c r="E26" s="172"/>
      <c r="F26" s="173"/>
      <c r="G26" s="44"/>
      <c r="H26" s="42">
        <v>180</v>
      </c>
      <c r="I26" s="45" t="s">
        <v>38</v>
      </c>
      <c r="J26" s="2"/>
      <c r="K26" s="2"/>
      <c r="L26" s="2"/>
      <c r="M26" s="2"/>
      <c r="N26" s="2"/>
      <c r="O26" s="2"/>
      <c r="P26" s="2"/>
      <c r="Q26" s="2"/>
      <c r="R26" s="51"/>
      <c r="S26" s="2"/>
      <c r="T26" s="51"/>
      <c r="U26" s="2"/>
      <c r="V26" s="2"/>
    </row>
    <row r="27" spans="1:22" ht="15.75" x14ac:dyDescent="0.25">
      <c r="A27" s="171" t="s">
        <v>43</v>
      </c>
      <c r="B27" s="172"/>
      <c r="C27" s="172"/>
      <c r="D27" s="172"/>
      <c r="E27" s="172"/>
      <c r="F27" s="173"/>
      <c r="G27" s="44">
        <f>E22</f>
        <v>25319.024390243903</v>
      </c>
      <c r="H27" s="42"/>
      <c r="I27" s="45" t="s">
        <v>38</v>
      </c>
      <c r="J27" s="2"/>
      <c r="K27" s="2"/>
      <c r="L27" s="2"/>
      <c r="M27" s="2"/>
      <c r="N27" s="2"/>
      <c r="O27" s="2"/>
      <c r="P27" s="2"/>
      <c r="Q27" s="2"/>
      <c r="R27" s="51"/>
      <c r="S27" s="2"/>
      <c r="T27" s="51"/>
      <c r="U27" s="2"/>
      <c r="V27" s="2"/>
    </row>
    <row r="28" spans="1:22" ht="15.75" x14ac:dyDescent="0.25">
      <c r="A28" s="171"/>
      <c r="B28" s="172"/>
      <c r="C28" s="172"/>
      <c r="D28" s="172"/>
      <c r="E28" s="172"/>
      <c r="F28" s="173"/>
      <c r="G28" s="42"/>
      <c r="H28" s="42"/>
      <c r="I28" s="45"/>
      <c r="J28" s="2"/>
      <c r="K28" s="2"/>
      <c r="L28" s="2"/>
      <c r="M28" s="2"/>
      <c r="N28" s="2"/>
      <c r="O28" s="2"/>
      <c r="P28" s="2"/>
      <c r="Q28" s="2"/>
      <c r="R28" s="51"/>
      <c r="S28" s="2"/>
      <c r="T28" s="51"/>
      <c r="U28" s="2"/>
      <c r="V28" s="2"/>
    </row>
    <row r="29" spans="1:22" ht="15.75" x14ac:dyDescent="0.25">
      <c r="A29" s="171"/>
      <c r="B29" s="172"/>
      <c r="C29" s="172"/>
      <c r="D29" s="172"/>
      <c r="E29" s="172"/>
      <c r="F29" s="173"/>
      <c r="G29" s="42" t="s">
        <v>39</v>
      </c>
      <c r="H29" s="44">
        <f>G27+H26</f>
        <v>25499.024390243903</v>
      </c>
      <c r="I29" s="45" t="s">
        <v>38</v>
      </c>
      <c r="J29" s="2"/>
      <c r="K29" s="2"/>
      <c r="L29" s="2"/>
      <c r="M29" s="181" t="s">
        <v>40</v>
      </c>
      <c r="N29" s="181"/>
      <c r="O29" s="181"/>
      <c r="P29" s="181"/>
      <c r="Q29" s="2"/>
      <c r="R29" s="51"/>
      <c r="S29" s="2"/>
      <c r="T29" s="51"/>
      <c r="U29" s="2"/>
      <c r="V29" s="2"/>
    </row>
    <row r="30" spans="1:22" ht="15.75" x14ac:dyDescent="0.25">
      <c r="A30" s="171" t="s">
        <v>77</v>
      </c>
      <c r="B30" s="172"/>
      <c r="C30" s="172"/>
      <c r="D30" s="172"/>
      <c r="E30" s="172"/>
      <c r="F30" s="173"/>
      <c r="G30" s="42"/>
      <c r="H30" s="44">
        <f>K22+P22</f>
        <v>25313</v>
      </c>
      <c r="I30" s="45" t="s">
        <v>38</v>
      </c>
      <c r="J30" s="2"/>
      <c r="K30" s="2"/>
      <c r="L30" s="2"/>
      <c r="M30" s="2"/>
      <c r="N30" s="2"/>
      <c r="O30" s="2"/>
      <c r="P30" s="2"/>
      <c r="Q30" s="2"/>
      <c r="R30" s="51"/>
      <c r="S30" s="2"/>
      <c r="T30" s="51"/>
      <c r="U30" s="2"/>
      <c r="V30" s="2"/>
    </row>
    <row r="31" spans="1:22" ht="15.75" x14ac:dyDescent="0.25">
      <c r="A31" s="171" t="s">
        <v>78</v>
      </c>
      <c r="B31" s="172"/>
      <c r="C31" s="172"/>
      <c r="D31" s="172"/>
      <c r="E31" s="172"/>
      <c r="F31" s="173"/>
      <c r="G31" s="42"/>
      <c r="H31" s="44">
        <v>186</v>
      </c>
      <c r="I31" s="45"/>
      <c r="J31" s="2"/>
      <c r="K31" s="2"/>
      <c r="L31" s="2"/>
      <c r="M31" s="2"/>
      <c r="N31" s="2"/>
      <c r="O31" s="2"/>
      <c r="P31" s="2"/>
      <c r="Q31" s="2"/>
      <c r="R31" s="51"/>
      <c r="S31" s="2"/>
      <c r="T31" s="51"/>
      <c r="U31" s="2"/>
      <c r="V31" s="2"/>
    </row>
    <row r="32" spans="1:22" ht="16.5" thickBot="1" x14ac:dyDescent="0.3">
      <c r="A32" s="178" t="s">
        <v>79</v>
      </c>
      <c r="B32" s="179"/>
      <c r="C32" s="179"/>
      <c r="D32" s="179"/>
      <c r="E32" s="179"/>
      <c r="F32" s="180"/>
      <c r="G32" s="46"/>
      <c r="H32" s="46">
        <v>186</v>
      </c>
      <c r="I32" s="47" t="s">
        <v>38</v>
      </c>
      <c r="J32" s="2"/>
      <c r="K32" s="2"/>
      <c r="L32" s="2"/>
      <c r="M32" s="2"/>
      <c r="N32" s="2"/>
      <c r="O32" s="2"/>
      <c r="P32" s="2"/>
      <c r="Q32" s="2"/>
      <c r="R32" s="51"/>
      <c r="S32" s="2"/>
      <c r="T32" s="51"/>
      <c r="U32" s="2"/>
      <c r="V32" s="2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77" t="s">
        <v>80</v>
      </c>
      <c r="B34" s="177"/>
      <c r="C34" s="177"/>
      <c r="D34" s="177"/>
      <c r="E34" s="17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M35" s="1"/>
    </row>
  </sheetData>
  <mergeCells count="24">
    <mergeCell ref="A2:P2"/>
    <mergeCell ref="R2:V2"/>
    <mergeCell ref="A3:P3"/>
    <mergeCell ref="R3:V3"/>
    <mergeCell ref="A4:A5"/>
    <mergeCell ref="B4:F4"/>
    <mergeCell ref="G4:L4"/>
    <mergeCell ref="M4:P4"/>
    <mergeCell ref="M29:P29"/>
    <mergeCell ref="A30:F30"/>
    <mergeCell ref="R21:S21"/>
    <mergeCell ref="A22:B22"/>
    <mergeCell ref="G22:I22"/>
    <mergeCell ref="A24:F24"/>
    <mergeCell ref="M24:P24"/>
    <mergeCell ref="A25:F25"/>
    <mergeCell ref="M25:P25"/>
    <mergeCell ref="A31:F31"/>
    <mergeCell ref="A32:F32"/>
    <mergeCell ref="A34:E34"/>
    <mergeCell ref="A26:F26"/>
    <mergeCell ref="A27:F27"/>
    <mergeCell ref="A28:F28"/>
    <mergeCell ref="A29:F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opLeftCell="A4" workbookViewId="0">
      <selection activeCell="A34" sqref="A34:E34"/>
    </sheetView>
  </sheetViews>
  <sheetFormatPr defaultRowHeight="15" x14ac:dyDescent="0.25"/>
  <cols>
    <col min="6" max="6" width="16.85546875" customWidth="1"/>
    <col min="9" max="9" width="9.42578125" customWidth="1"/>
    <col min="12" max="12" width="18.7109375" customWidth="1"/>
    <col min="13" max="13" width="22.140625" customWidth="1"/>
    <col min="19" max="19" width="26.4257812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7" x14ac:dyDescent="0.5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2"/>
      <c r="R2" s="166" t="s">
        <v>1</v>
      </c>
      <c r="S2" s="166"/>
      <c r="T2" s="166"/>
      <c r="U2" s="166"/>
      <c r="V2" s="166"/>
    </row>
    <row r="3" spans="1:22" ht="27.75" thickBot="1" x14ac:dyDescent="0.55000000000000004">
      <c r="A3" s="165" t="s">
        <v>89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2"/>
      <c r="R3" s="164" t="s">
        <v>89</v>
      </c>
      <c r="S3" s="164"/>
      <c r="T3" s="164"/>
      <c r="U3" s="164"/>
      <c r="V3" s="164"/>
    </row>
    <row r="4" spans="1:22" ht="15.75" thickBot="1" x14ac:dyDescent="0.3">
      <c r="A4" s="167" t="s">
        <v>2</v>
      </c>
      <c r="B4" s="161" t="s">
        <v>3</v>
      </c>
      <c r="C4" s="161"/>
      <c r="D4" s="161"/>
      <c r="E4" s="162"/>
      <c r="F4" s="163"/>
      <c r="G4" s="161" t="s">
        <v>4</v>
      </c>
      <c r="H4" s="162"/>
      <c r="I4" s="162"/>
      <c r="J4" s="162"/>
      <c r="K4" s="162"/>
      <c r="L4" s="163"/>
      <c r="M4" s="161" t="s">
        <v>5</v>
      </c>
      <c r="N4" s="162"/>
      <c r="O4" s="162"/>
      <c r="P4" s="163"/>
      <c r="Q4" s="2"/>
      <c r="R4" s="48" t="s">
        <v>2</v>
      </c>
      <c r="S4" s="4" t="s">
        <v>6</v>
      </c>
      <c r="T4" s="49" t="s">
        <v>7</v>
      </c>
      <c r="U4" s="4" t="s">
        <v>8</v>
      </c>
      <c r="V4" s="4" t="s">
        <v>9</v>
      </c>
    </row>
    <row r="5" spans="1:22" ht="15.75" thickBot="1" x14ac:dyDescent="0.3">
      <c r="A5" s="168"/>
      <c r="B5" s="4" t="s">
        <v>10</v>
      </c>
      <c r="C5" s="4" t="s">
        <v>48</v>
      </c>
      <c r="D5" s="4"/>
      <c r="E5" s="4" t="s">
        <v>11</v>
      </c>
      <c r="F5" s="4" t="s">
        <v>12</v>
      </c>
      <c r="G5" s="4" t="s">
        <v>13</v>
      </c>
      <c r="H5" s="4" t="s">
        <v>10</v>
      </c>
      <c r="I5" s="4" t="s">
        <v>14</v>
      </c>
      <c r="J5" s="4" t="s">
        <v>15</v>
      </c>
      <c r="K5" s="4" t="s">
        <v>11</v>
      </c>
      <c r="L5" s="4" t="s">
        <v>12</v>
      </c>
      <c r="M5" s="4"/>
      <c r="N5" s="4" t="s">
        <v>14</v>
      </c>
      <c r="O5" s="4"/>
      <c r="P5" s="4" t="s">
        <v>11</v>
      </c>
      <c r="Q5" s="2"/>
      <c r="R5" s="6">
        <v>1</v>
      </c>
      <c r="S5" s="7" t="s">
        <v>53</v>
      </c>
      <c r="T5" s="8">
        <v>5</v>
      </c>
      <c r="U5" s="9">
        <v>260</v>
      </c>
      <c r="V5" s="10">
        <v>1300000</v>
      </c>
    </row>
    <row r="6" spans="1:22" ht="15.75" thickBot="1" x14ac:dyDescent="0.3">
      <c r="A6" s="11">
        <v>1</v>
      </c>
      <c r="B6" s="12">
        <v>9000</v>
      </c>
      <c r="C6" s="12">
        <v>35180</v>
      </c>
      <c r="D6" s="13">
        <v>1.0249999999999999</v>
      </c>
      <c r="E6" s="14">
        <f>C6/D6</f>
        <v>34321.951219512201</v>
      </c>
      <c r="F6" s="12">
        <f>C6*B6</f>
        <v>316620000</v>
      </c>
      <c r="G6" s="15" t="s">
        <v>16</v>
      </c>
      <c r="H6" s="16">
        <v>11000</v>
      </c>
      <c r="I6" s="17"/>
      <c r="J6" s="18"/>
      <c r="K6" s="19">
        <v>9010</v>
      </c>
      <c r="L6" s="17">
        <f t="shared" ref="L6:L18" si="0">K6*H6</f>
        <v>99110000</v>
      </c>
      <c r="M6" s="15" t="s">
        <v>17</v>
      </c>
      <c r="N6" s="20">
        <v>20</v>
      </c>
      <c r="O6" s="20"/>
      <c r="P6" s="15">
        <v>6</v>
      </c>
      <c r="Q6" s="2"/>
      <c r="R6" s="6">
        <v>2</v>
      </c>
      <c r="S6" s="7" t="s">
        <v>58</v>
      </c>
      <c r="T6" s="21"/>
      <c r="U6" s="9"/>
      <c r="V6" s="10">
        <v>50000</v>
      </c>
    </row>
    <row r="7" spans="1:22" ht="15.75" thickBot="1" x14ac:dyDescent="0.3">
      <c r="A7" s="13"/>
      <c r="B7" s="7"/>
      <c r="C7" s="7"/>
      <c r="D7" s="13"/>
      <c r="E7" s="13"/>
      <c r="F7" s="7"/>
      <c r="G7" s="7" t="s">
        <v>18</v>
      </c>
      <c r="H7" s="22">
        <v>11000</v>
      </c>
      <c r="I7" s="10"/>
      <c r="J7" s="9"/>
      <c r="K7" s="23">
        <v>3590</v>
      </c>
      <c r="L7" s="17">
        <f t="shared" si="0"/>
        <v>39490000</v>
      </c>
      <c r="M7" s="7" t="s">
        <v>19</v>
      </c>
      <c r="N7" s="7">
        <v>15</v>
      </c>
      <c r="O7" s="7"/>
      <c r="P7" s="7">
        <v>15</v>
      </c>
      <c r="Q7" s="2"/>
      <c r="R7" s="6">
        <v>3</v>
      </c>
      <c r="S7" s="7" t="s">
        <v>63</v>
      </c>
      <c r="T7" s="21"/>
      <c r="U7" s="9"/>
      <c r="V7" s="10">
        <v>324000</v>
      </c>
    </row>
    <row r="8" spans="1:22" ht="15.75" thickBot="1" x14ac:dyDescent="0.3">
      <c r="A8" s="13"/>
      <c r="B8" s="7"/>
      <c r="C8" s="7"/>
      <c r="D8" s="13"/>
      <c r="E8" s="13"/>
      <c r="F8" s="7"/>
      <c r="G8" s="7" t="s">
        <v>20</v>
      </c>
      <c r="H8" s="22">
        <v>11000</v>
      </c>
      <c r="I8" s="10"/>
      <c r="J8" s="9"/>
      <c r="K8" s="23">
        <v>934</v>
      </c>
      <c r="L8" s="17">
        <f t="shared" si="0"/>
        <v>10274000</v>
      </c>
      <c r="M8" s="7" t="s">
        <v>21</v>
      </c>
      <c r="N8" s="7"/>
      <c r="O8" s="7"/>
      <c r="P8" s="23">
        <v>525</v>
      </c>
      <c r="Q8" s="2"/>
      <c r="R8" s="6">
        <v>4</v>
      </c>
      <c r="S8" s="7" t="s">
        <v>57</v>
      </c>
      <c r="T8" s="21"/>
      <c r="U8" s="9"/>
      <c r="V8" s="10">
        <v>1950000</v>
      </c>
    </row>
    <row r="9" spans="1:22" ht="15.75" thickBot="1" x14ac:dyDescent="0.3">
      <c r="A9" s="13"/>
      <c r="B9" s="7"/>
      <c r="C9" s="7"/>
      <c r="D9" s="13"/>
      <c r="E9" s="13"/>
      <c r="F9" s="7"/>
      <c r="G9" s="7" t="s">
        <v>22</v>
      </c>
      <c r="H9" s="22">
        <v>10000</v>
      </c>
      <c r="I9" s="10"/>
      <c r="J9" s="9"/>
      <c r="K9" s="23">
        <v>1513</v>
      </c>
      <c r="L9" s="17">
        <f t="shared" si="0"/>
        <v>15130000</v>
      </c>
      <c r="M9" s="7" t="s">
        <v>50</v>
      </c>
      <c r="N9" s="7">
        <v>10</v>
      </c>
      <c r="O9" s="7"/>
      <c r="P9" s="7">
        <v>3</v>
      </c>
      <c r="Q9" s="2"/>
      <c r="R9" s="6">
        <v>5</v>
      </c>
      <c r="S9" s="7" t="s">
        <v>87</v>
      </c>
      <c r="T9" s="21"/>
      <c r="U9" s="9"/>
      <c r="V9" s="10">
        <v>1701000</v>
      </c>
    </row>
    <row r="10" spans="1:22" ht="15.75" thickBot="1" x14ac:dyDescent="0.3">
      <c r="A10" s="13"/>
      <c r="B10" s="7"/>
      <c r="C10" s="7"/>
      <c r="D10" s="13"/>
      <c r="E10" s="13"/>
      <c r="F10" s="7"/>
      <c r="G10" s="7" t="s">
        <v>24</v>
      </c>
      <c r="H10" s="22">
        <v>10000</v>
      </c>
      <c r="I10" s="10"/>
      <c r="J10" s="9"/>
      <c r="K10" s="23">
        <v>550</v>
      </c>
      <c r="L10" s="17">
        <f t="shared" si="0"/>
        <v>5500000</v>
      </c>
      <c r="M10" s="7" t="s">
        <v>25</v>
      </c>
      <c r="N10" s="7"/>
      <c r="O10" s="7"/>
      <c r="P10" s="7">
        <v>530.20000000000005</v>
      </c>
      <c r="Q10" s="2"/>
      <c r="R10" s="6">
        <v>6</v>
      </c>
      <c r="S10" s="7" t="s">
        <v>73</v>
      </c>
      <c r="T10" s="21"/>
      <c r="U10" s="9"/>
      <c r="V10" s="10">
        <v>270000</v>
      </c>
    </row>
    <row r="11" spans="1:22" ht="15.75" thickBot="1" x14ac:dyDescent="0.3">
      <c r="A11" s="13"/>
      <c r="B11" s="7"/>
      <c r="C11" s="7"/>
      <c r="D11" s="13"/>
      <c r="E11" s="13"/>
      <c r="F11" s="7"/>
      <c r="G11" s="7" t="s">
        <v>26</v>
      </c>
      <c r="H11" s="22">
        <v>10000</v>
      </c>
      <c r="I11" s="10"/>
      <c r="J11" s="9"/>
      <c r="K11" s="23">
        <v>3325</v>
      </c>
      <c r="L11" s="17">
        <f t="shared" si="0"/>
        <v>33250000</v>
      </c>
      <c r="M11" s="7"/>
      <c r="N11" s="7"/>
      <c r="O11" s="7"/>
      <c r="P11" s="7"/>
      <c r="Q11" s="2"/>
      <c r="R11" s="6">
        <v>7</v>
      </c>
      <c r="S11" s="7" t="s">
        <v>64</v>
      </c>
      <c r="T11" s="21"/>
      <c r="U11" s="9"/>
      <c r="V11" s="10">
        <v>150000</v>
      </c>
    </row>
    <row r="12" spans="1:22" ht="15.75" thickBot="1" x14ac:dyDescent="0.3">
      <c r="A12" s="13"/>
      <c r="B12" s="7"/>
      <c r="C12" s="7"/>
      <c r="D12" s="13"/>
      <c r="E12" s="13"/>
      <c r="F12" s="7"/>
      <c r="G12" s="7" t="s">
        <v>27</v>
      </c>
      <c r="H12" s="22">
        <v>10000</v>
      </c>
      <c r="I12" s="10"/>
      <c r="J12" s="9"/>
      <c r="K12" s="23">
        <v>1140</v>
      </c>
      <c r="L12" s="17">
        <f t="shared" si="0"/>
        <v>11400000</v>
      </c>
      <c r="M12" s="7"/>
      <c r="N12" s="7"/>
      <c r="O12" s="7"/>
      <c r="P12" s="7"/>
      <c r="Q12" s="2"/>
      <c r="R12" s="6">
        <v>8</v>
      </c>
      <c r="S12" s="7" t="s">
        <v>82</v>
      </c>
      <c r="T12" s="21"/>
      <c r="U12" s="9"/>
      <c r="V12" s="10">
        <v>21000</v>
      </c>
    </row>
    <row r="13" spans="1:22" ht="15.75" thickBot="1" x14ac:dyDescent="0.3">
      <c r="A13" s="13"/>
      <c r="B13" s="7"/>
      <c r="C13" s="7"/>
      <c r="D13" s="13"/>
      <c r="E13" s="13"/>
      <c r="F13" s="7"/>
      <c r="G13" s="7" t="s">
        <v>28</v>
      </c>
      <c r="H13" s="22">
        <v>10000</v>
      </c>
      <c r="I13" s="10"/>
      <c r="J13" s="9"/>
      <c r="K13" s="23">
        <v>323.8</v>
      </c>
      <c r="L13" s="17">
        <f t="shared" si="0"/>
        <v>3238000</v>
      </c>
      <c r="M13" s="7"/>
      <c r="N13" s="7"/>
      <c r="O13" s="7"/>
      <c r="P13" s="7"/>
      <c r="Q13" s="2"/>
      <c r="R13" s="6">
        <v>9</v>
      </c>
      <c r="S13" s="7" t="s">
        <v>88</v>
      </c>
      <c r="T13" s="21"/>
      <c r="U13" s="9"/>
      <c r="V13" s="10">
        <v>250000</v>
      </c>
    </row>
    <row r="14" spans="1:22" ht="15.75" thickBot="1" x14ac:dyDescent="0.3">
      <c r="A14" s="13"/>
      <c r="B14" s="7"/>
      <c r="C14" s="7"/>
      <c r="D14" s="13"/>
      <c r="E14" s="13"/>
      <c r="F14" s="7"/>
      <c r="G14" s="7" t="s">
        <v>29</v>
      </c>
      <c r="H14" s="22">
        <v>11000</v>
      </c>
      <c r="I14" s="10"/>
      <c r="J14" s="9"/>
      <c r="K14" s="23">
        <v>158</v>
      </c>
      <c r="L14" s="17">
        <f t="shared" si="0"/>
        <v>1738000</v>
      </c>
      <c r="M14" s="7"/>
      <c r="N14" s="7"/>
      <c r="O14" s="7"/>
      <c r="P14" s="7"/>
      <c r="Q14" s="2"/>
      <c r="R14" s="6">
        <v>10</v>
      </c>
      <c r="S14" s="7"/>
      <c r="T14" s="21"/>
      <c r="U14" s="9"/>
      <c r="V14" s="10"/>
    </row>
    <row r="15" spans="1:22" ht="15.75" thickBot="1" x14ac:dyDescent="0.3">
      <c r="A15" s="13"/>
      <c r="B15" s="7"/>
      <c r="C15" s="7"/>
      <c r="D15" s="13"/>
      <c r="E15" s="13"/>
      <c r="F15" s="7"/>
      <c r="G15" s="7" t="s">
        <v>30</v>
      </c>
      <c r="H15" s="22">
        <v>10000</v>
      </c>
      <c r="I15" s="10"/>
      <c r="J15" s="9"/>
      <c r="K15" s="23">
        <v>5</v>
      </c>
      <c r="L15" s="17">
        <f t="shared" si="0"/>
        <v>50000</v>
      </c>
      <c r="M15" s="7"/>
      <c r="N15" s="7"/>
      <c r="O15" s="7"/>
      <c r="P15" s="7"/>
      <c r="Q15" s="2"/>
      <c r="R15" s="6">
        <v>11</v>
      </c>
      <c r="S15" s="7"/>
      <c r="T15" s="21"/>
      <c r="U15" s="9"/>
      <c r="V15" s="10"/>
    </row>
    <row r="16" spans="1:22" ht="15.75" thickBot="1" x14ac:dyDescent="0.3">
      <c r="A16" s="13"/>
      <c r="B16" s="7"/>
      <c r="C16" s="7"/>
      <c r="D16" s="13"/>
      <c r="E16" s="13"/>
      <c r="F16" s="7"/>
      <c r="G16" s="7" t="s">
        <v>31</v>
      </c>
      <c r="H16" s="22">
        <v>10000</v>
      </c>
      <c r="I16" s="10"/>
      <c r="J16" s="9"/>
      <c r="K16" s="23">
        <v>2580</v>
      </c>
      <c r="L16" s="17">
        <f t="shared" si="0"/>
        <v>25800000</v>
      </c>
      <c r="M16" s="7"/>
      <c r="N16" s="7"/>
      <c r="O16" s="7"/>
      <c r="P16" s="7"/>
      <c r="Q16" s="2"/>
      <c r="R16" s="6">
        <v>12</v>
      </c>
      <c r="S16" s="24"/>
      <c r="T16" s="21"/>
      <c r="U16" s="25"/>
      <c r="V16" s="10"/>
    </row>
    <row r="17" spans="1:22" ht="15.75" thickBot="1" x14ac:dyDescent="0.3">
      <c r="A17" s="13"/>
      <c r="B17" s="7"/>
      <c r="C17" s="7"/>
      <c r="D17" s="13"/>
      <c r="E17" s="13"/>
      <c r="F17" s="7"/>
      <c r="G17" s="7" t="s">
        <v>32</v>
      </c>
      <c r="H17" s="22">
        <v>11000</v>
      </c>
      <c r="I17" s="10"/>
      <c r="J17" s="9"/>
      <c r="K17" s="23"/>
      <c r="L17" s="17">
        <f t="shared" si="0"/>
        <v>0</v>
      </c>
      <c r="M17" s="7"/>
      <c r="N17" s="7"/>
      <c r="O17" s="7"/>
      <c r="P17" s="7"/>
      <c r="Q17" s="2"/>
      <c r="R17" s="6">
        <v>13</v>
      </c>
      <c r="S17" s="7"/>
      <c r="T17" s="21"/>
      <c r="U17" s="25"/>
      <c r="V17" s="10"/>
    </row>
    <row r="18" spans="1:22" ht="15.75" thickBot="1" x14ac:dyDescent="0.3">
      <c r="A18" s="13"/>
      <c r="B18" s="7"/>
      <c r="C18" s="7"/>
      <c r="D18" s="13"/>
      <c r="E18" s="13"/>
      <c r="F18" s="7"/>
      <c r="G18" s="7" t="s">
        <v>33</v>
      </c>
      <c r="H18" s="22">
        <v>12000</v>
      </c>
      <c r="I18" s="10"/>
      <c r="J18" s="25"/>
      <c r="K18" s="23">
        <v>135</v>
      </c>
      <c r="L18" s="17">
        <f t="shared" si="0"/>
        <v>1620000</v>
      </c>
      <c r="M18" s="7"/>
      <c r="N18" s="7"/>
      <c r="O18" s="7"/>
      <c r="P18" s="7"/>
      <c r="Q18" s="2"/>
      <c r="R18" s="6">
        <v>14</v>
      </c>
      <c r="S18" s="7"/>
      <c r="T18" s="21"/>
      <c r="U18" s="25"/>
      <c r="V18" s="10"/>
    </row>
    <row r="19" spans="1:22" ht="15.75" thickBot="1" x14ac:dyDescent="0.3">
      <c r="A19" s="13"/>
      <c r="B19" s="7"/>
      <c r="C19" s="7"/>
      <c r="D19" s="13"/>
      <c r="E19" s="13"/>
      <c r="F19" s="7"/>
      <c r="G19" s="7" t="s">
        <v>34</v>
      </c>
      <c r="H19" s="22">
        <v>12000</v>
      </c>
      <c r="I19" s="10"/>
      <c r="J19" s="25"/>
      <c r="K19" s="26">
        <v>8841</v>
      </c>
      <c r="L19" s="17">
        <v>83991000</v>
      </c>
      <c r="M19" s="7"/>
      <c r="N19" s="7"/>
      <c r="O19" s="7"/>
      <c r="P19" s="7"/>
      <c r="Q19" s="2"/>
      <c r="R19" s="6">
        <v>15</v>
      </c>
      <c r="S19" s="7"/>
      <c r="T19" s="21"/>
      <c r="U19" s="25"/>
      <c r="V19" s="10"/>
    </row>
    <row r="20" spans="1:22" ht="15.75" thickBot="1" x14ac:dyDescent="0.3">
      <c r="A20" s="13"/>
      <c r="B20" s="7"/>
      <c r="C20" s="7"/>
      <c r="D20" s="13"/>
      <c r="E20" s="13"/>
      <c r="F20" s="7"/>
      <c r="G20" s="7" t="s">
        <v>35</v>
      </c>
      <c r="H20" s="22">
        <v>8000</v>
      </c>
      <c r="I20" s="10">
        <v>2301</v>
      </c>
      <c r="J20" s="9">
        <v>3</v>
      </c>
      <c r="K20" s="23">
        <v>715</v>
      </c>
      <c r="L20" s="17">
        <v>18408000</v>
      </c>
      <c r="M20" s="7"/>
      <c r="N20" s="7"/>
      <c r="O20" s="7"/>
      <c r="P20" s="7"/>
      <c r="Q20" s="2"/>
      <c r="R20" s="6"/>
      <c r="S20" s="27"/>
      <c r="T20" s="28"/>
      <c r="U20" s="25"/>
      <c r="V20" s="10"/>
    </row>
    <row r="21" spans="1:22" ht="15.75" thickBot="1" x14ac:dyDescent="0.3">
      <c r="A21" s="13"/>
      <c r="B21" s="7"/>
      <c r="C21" s="7"/>
      <c r="D21" s="13"/>
      <c r="E21" s="13"/>
      <c r="F21" s="7"/>
      <c r="G21" s="7" t="s">
        <v>36</v>
      </c>
      <c r="H21" s="22">
        <v>6000</v>
      </c>
      <c r="I21" s="29">
        <v>689</v>
      </c>
      <c r="J21" s="9">
        <v>3</v>
      </c>
      <c r="K21" s="23">
        <v>253</v>
      </c>
      <c r="L21" s="17">
        <v>4134000</v>
      </c>
      <c r="M21" s="7"/>
      <c r="N21" s="7"/>
      <c r="O21" s="7"/>
      <c r="P21" s="7"/>
      <c r="Q21" s="2"/>
      <c r="R21" s="169" t="s">
        <v>9</v>
      </c>
      <c r="S21" s="170"/>
      <c r="T21" s="50"/>
      <c r="U21" s="31"/>
      <c r="V21" s="32">
        <f>SUM(V5:V20)</f>
        <v>6016000</v>
      </c>
    </row>
    <row r="22" spans="1:22" ht="15.75" thickBot="1" x14ac:dyDescent="0.3">
      <c r="A22" s="175" t="s">
        <v>9</v>
      </c>
      <c r="B22" s="176"/>
      <c r="C22" s="33">
        <f>SUM(C6:C21)</f>
        <v>35180</v>
      </c>
      <c r="D22" s="33"/>
      <c r="E22" s="33">
        <f>SUM(E6:E21)</f>
        <v>34321.951219512201</v>
      </c>
      <c r="F22" s="34">
        <f>SUM(F6)</f>
        <v>316620000</v>
      </c>
      <c r="G22" s="161" t="s">
        <v>7</v>
      </c>
      <c r="H22" s="162"/>
      <c r="I22" s="163"/>
      <c r="J22" s="38"/>
      <c r="K22" s="36">
        <f>SUM(K6:K21)</f>
        <v>33072.800000000003</v>
      </c>
      <c r="L22" s="37">
        <f>SUM(L6:L21)</f>
        <v>353133000</v>
      </c>
      <c r="M22" s="38" t="s">
        <v>7</v>
      </c>
      <c r="N22" s="38">
        <f>SUM(N6:N21)</f>
        <v>45</v>
      </c>
      <c r="O22" s="38">
        <v>0</v>
      </c>
      <c r="P22" s="38">
        <f>SUM(P6:P21)</f>
        <v>1079.2</v>
      </c>
      <c r="Q22" s="2"/>
      <c r="R22" s="51"/>
      <c r="S22" s="2"/>
      <c r="T22" s="51"/>
      <c r="U22" s="2"/>
      <c r="V22" s="2"/>
    </row>
    <row r="23" spans="1:2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51"/>
      <c r="S23" s="2"/>
      <c r="T23" s="51"/>
      <c r="U23" s="2"/>
      <c r="V23" s="2"/>
    </row>
    <row r="24" spans="1:22" ht="15.75" x14ac:dyDescent="0.25">
      <c r="A24" s="182" t="s">
        <v>37</v>
      </c>
      <c r="B24" s="183"/>
      <c r="C24" s="183"/>
      <c r="D24" s="183"/>
      <c r="E24" s="183"/>
      <c r="F24" s="184"/>
      <c r="G24" s="40"/>
      <c r="H24" s="40"/>
      <c r="I24" s="41"/>
      <c r="J24" s="2"/>
      <c r="K24" s="2"/>
      <c r="L24" s="2"/>
      <c r="M24" s="174" t="s">
        <v>47</v>
      </c>
      <c r="N24" s="174"/>
      <c r="O24" s="174"/>
      <c r="P24" s="174"/>
      <c r="Q24" s="2"/>
      <c r="R24" s="51"/>
      <c r="S24" s="2"/>
      <c r="T24" s="51"/>
      <c r="U24" s="2"/>
      <c r="V24" s="2"/>
    </row>
    <row r="25" spans="1:22" ht="15.75" x14ac:dyDescent="0.25">
      <c r="A25" s="171"/>
      <c r="B25" s="172"/>
      <c r="C25" s="172"/>
      <c r="D25" s="172"/>
      <c r="E25" s="172"/>
      <c r="F25" s="173"/>
      <c r="G25" s="42"/>
      <c r="H25" s="42"/>
      <c r="I25" s="43"/>
      <c r="J25" s="2"/>
      <c r="K25" s="2"/>
      <c r="L25" s="2"/>
      <c r="M25" s="174"/>
      <c r="N25" s="174"/>
      <c r="O25" s="174"/>
      <c r="P25" s="174"/>
      <c r="Q25" s="2"/>
      <c r="R25" s="51"/>
      <c r="S25" s="2"/>
      <c r="T25" s="51"/>
      <c r="U25" s="2"/>
      <c r="V25" s="2"/>
    </row>
    <row r="26" spans="1:22" ht="15.75" x14ac:dyDescent="0.25">
      <c r="A26" s="171" t="s">
        <v>41</v>
      </c>
      <c r="B26" s="172"/>
      <c r="C26" s="172"/>
      <c r="D26" s="172"/>
      <c r="E26" s="172"/>
      <c r="F26" s="173"/>
      <c r="G26" s="44"/>
      <c r="H26" s="42">
        <v>186</v>
      </c>
      <c r="I26" s="45" t="s">
        <v>38</v>
      </c>
      <c r="J26" s="2"/>
      <c r="K26" s="2"/>
      <c r="L26" s="2"/>
      <c r="M26" s="2"/>
      <c r="N26" s="2"/>
      <c r="O26" s="2"/>
      <c r="P26" s="2"/>
      <c r="Q26" s="2"/>
      <c r="R26" s="51"/>
      <c r="S26" s="2"/>
      <c r="T26" s="51"/>
      <c r="U26" s="2"/>
      <c r="V26" s="2"/>
    </row>
    <row r="27" spans="1:22" ht="15.75" x14ac:dyDescent="0.25">
      <c r="A27" s="171" t="s">
        <v>43</v>
      </c>
      <c r="B27" s="172"/>
      <c r="C27" s="172"/>
      <c r="D27" s="172"/>
      <c r="E27" s="172"/>
      <c r="F27" s="173"/>
      <c r="G27" s="44">
        <f>E22</f>
        <v>34321.951219512201</v>
      </c>
      <c r="H27" s="42"/>
      <c r="I27" s="45" t="s">
        <v>38</v>
      </c>
      <c r="J27" s="2"/>
      <c r="K27" s="2"/>
      <c r="L27" s="2"/>
      <c r="M27" s="2"/>
      <c r="N27" s="2"/>
      <c r="O27" s="2"/>
      <c r="P27" s="2"/>
      <c r="Q27" s="2"/>
      <c r="R27" s="51"/>
      <c r="S27" s="2"/>
      <c r="T27" s="51"/>
      <c r="U27" s="2"/>
      <c r="V27" s="2"/>
    </row>
    <row r="28" spans="1:22" ht="15.75" x14ac:dyDescent="0.25">
      <c r="A28" s="171"/>
      <c r="B28" s="172"/>
      <c r="C28" s="172"/>
      <c r="D28" s="172"/>
      <c r="E28" s="172"/>
      <c r="F28" s="173"/>
      <c r="G28" s="42"/>
      <c r="H28" s="42"/>
      <c r="I28" s="45"/>
      <c r="J28" s="2"/>
      <c r="K28" s="2"/>
      <c r="L28" s="2"/>
      <c r="M28" s="2"/>
      <c r="N28" s="2"/>
      <c r="O28" s="2"/>
      <c r="P28" s="2"/>
      <c r="Q28" s="2"/>
      <c r="R28" s="51"/>
      <c r="S28" s="2"/>
      <c r="T28" s="51"/>
      <c r="U28" s="2"/>
      <c r="V28" s="2"/>
    </row>
    <row r="29" spans="1:22" ht="15.75" x14ac:dyDescent="0.25">
      <c r="A29" s="171"/>
      <c r="B29" s="172"/>
      <c r="C29" s="172"/>
      <c r="D29" s="172"/>
      <c r="E29" s="172"/>
      <c r="F29" s="173"/>
      <c r="G29" s="42" t="s">
        <v>39</v>
      </c>
      <c r="H29" s="44">
        <f>G27+H26</f>
        <v>34507.951219512201</v>
      </c>
      <c r="I29" s="45" t="s">
        <v>38</v>
      </c>
      <c r="J29" s="2"/>
      <c r="K29" s="2"/>
      <c r="L29" s="2"/>
      <c r="M29" s="181" t="s">
        <v>40</v>
      </c>
      <c r="N29" s="181"/>
      <c r="O29" s="181"/>
      <c r="P29" s="181"/>
      <c r="Q29" s="2"/>
      <c r="R29" s="51"/>
      <c r="S29" s="2"/>
      <c r="T29" s="51"/>
      <c r="U29" s="2"/>
      <c r="V29" s="2"/>
    </row>
    <row r="30" spans="1:22" ht="15.75" x14ac:dyDescent="0.25">
      <c r="A30" s="171" t="s">
        <v>44</v>
      </c>
      <c r="B30" s="172"/>
      <c r="C30" s="172"/>
      <c r="D30" s="172"/>
      <c r="E30" s="172"/>
      <c r="F30" s="173"/>
      <c r="G30" s="42"/>
      <c r="H30" s="44">
        <f>K22+P22</f>
        <v>34152</v>
      </c>
      <c r="I30" s="45" t="s">
        <v>38</v>
      </c>
      <c r="J30" s="2"/>
      <c r="K30" s="2"/>
      <c r="L30" s="2"/>
      <c r="M30" s="2"/>
      <c r="N30" s="2"/>
      <c r="O30" s="2"/>
      <c r="P30" s="2"/>
      <c r="Q30" s="2"/>
      <c r="R30" s="51"/>
      <c r="S30" s="2"/>
      <c r="T30" s="51"/>
      <c r="U30" s="2"/>
      <c r="V30" s="2"/>
    </row>
    <row r="31" spans="1:22" ht="15.75" x14ac:dyDescent="0.25">
      <c r="A31" s="171" t="s">
        <v>45</v>
      </c>
      <c r="B31" s="172"/>
      <c r="C31" s="172"/>
      <c r="D31" s="172"/>
      <c r="E31" s="172"/>
      <c r="F31" s="173"/>
      <c r="G31" s="42"/>
      <c r="H31" s="44">
        <v>356</v>
      </c>
      <c r="I31" s="45"/>
      <c r="J31" s="2"/>
      <c r="K31" s="2"/>
      <c r="L31" s="2"/>
      <c r="M31" s="2"/>
      <c r="N31" s="2"/>
      <c r="O31" s="2"/>
      <c r="P31" s="2"/>
      <c r="Q31" s="2"/>
      <c r="R31" s="51"/>
      <c r="S31" s="2"/>
      <c r="T31" s="51"/>
      <c r="U31" s="2"/>
      <c r="V31" s="2"/>
    </row>
    <row r="32" spans="1:22" ht="16.5" thickBot="1" x14ac:dyDescent="0.3">
      <c r="A32" s="178" t="s">
        <v>46</v>
      </c>
      <c r="B32" s="179"/>
      <c r="C32" s="179"/>
      <c r="D32" s="179"/>
      <c r="E32" s="179"/>
      <c r="F32" s="180"/>
      <c r="G32" s="46"/>
      <c r="H32" s="46">
        <v>356</v>
      </c>
      <c r="I32" s="47" t="s">
        <v>38</v>
      </c>
      <c r="J32" s="2"/>
      <c r="K32" s="2"/>
      <c r="L32" s="2"/>
      <c r="M32" s="2"/>
      <c r="N32" s="2"/>
      <c r="O32" s="2"/>
      <c r="P32" s="2"/>
      <c r="Q32" s="2"/>
      <c r="R32" s="51"/>
      <c r="S32" s="2"/>
      <c r="T32" s="51"/>
      <c r="U32" s="2"/>
      <c r="V32" s="2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77" t="s">
        <v>86</v>
      </c>
      <c r="B34" s="177"/>
      <c r="C34" s="177"/>
      <c r="D34" s="177"/>
      <c r="E34" s="17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M35" s="1"/>
    </row>
  </sheetData>
  <mergeCells count="24">
    <mergeCell ref="A2:P2"/>
    <mergeCell ref="R2:V2"/>
    <mergeCell ref="A3:P3"/>
    <mergeCell ref="R3:V3"/>
    <mergeCell ref="A4:A5"/>
    <mergeCell ref="B4:F4"/>
    <mergeCell ref="G4:L4"/>
    <mergeCell ref="M4:P4"/>
    <mergeCell ref="M29:P29"/>
    <mergeCell ref="A30:F30"/>
    <mergeCell ref="R21:S21"/>
    <mergeCell ref="A22:B22"/>
    <mergeCell ref="G22:I22"/>
    <mergeCell ref="A24:F24"/>
    <mergeCell ref="M24:P24"/>
    <mergeCell ref="A25:F25"/>
    <mergeCell ref="M25:P25"/>
    <mergeCell ref="A31:F31"/>
    <mergeCell ref="A32:F32"/>
    <mergeCell ref="A34:E34"/>
    <mergeCell ref="A26:F26"/>
    <mergeCell ref="A27:F27"/>
    <mergeCell ref="A28:F28"/>
    <mergeCell ref="A29:F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opLeftCell="G4" workbookViewId="0">
      <selection activeCell="K18" sqref="K18"/>
    </sheetView>
  </sheetViews>
  <sheetFormatPr defaultRowHeight="15" x14ac:dyDescent="0.25"/>
  <cols>
    <col min="6" max="6" width="13.7109375" customWidth="1"/>
    <col min="12" max="12" width="20.42578125" customWidth="1"/>
    <col min="13" max="13" width="19.7109375" customWidth="1"/>
    <col min="19" max="19" width="18" customWidth="1"/>
    <col min="22" max="22" width="14.2851562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7" x14ac:dyDescent="0.5">
      <c r="A2" s="160" t="s">
        <v>0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2"/>
      <c r="R2" s="166" t="s">
        <v>1</v>
      </c>
      <c r="S2" s="166"/>
      <c r="T2" s="166"/>
      <c r="U2" s="166"/>
      <c r="V2" s="166"/>
    </row>
    <row r="3" spans="1:22" ht="27.75" thickBot="1" x14ac:dyDescent="0.55000000000000004">
      <c r="A3" s="165" t="s">
        <v>95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2"/>
      <c r="R3" s="164" t="s">
        <v>42</v>
      </c>
      <c r="S3" s="164"/>
      <c r="T3" s="164"/>
      <c r="U3" s="164"/>
      <c r="V3" s="164"/>
    </row>
    <row r="4" spans="1:22" ht="15.75" thickBot="1" x14ac:dyDescent="0.3">
      <c r="A4" s="167" t="s">
        <v>2</v>
      </c>
      <c r="B4" s="161" t="s">
        <v>3</v>
      </c>
      <c r="C4" s="161"/>
      <c r="D4" s="161"/>
      <c r="E4" s="162"/>
      <c r="F4" s="163"/>
      <c r="G4" s="161" t="s">
        <v>4</v>
      </c>
      <c r="H4" s="162"/>
      <c r="I4" s="162"/>
      <c r="J4" s="162"/>
      <c r="K4" s="162"/>
      <c r="L4" s="163"/>
      <c r="M4" s="161" t="s">
        <v>5</v>
      </c>
      <c r="N4" s="162"/>
      <c r="O4" s="162"/>
      <c r="P4" s="163"/>
      <c r="Q4" s="2"/>
      <c r="R4" s="48" t="s">
        <v>2</v>
      </c>
      <c r="S4" s="4" t="s">
        <v>6</v>
      </c>
      <c r="T4" s="49" t="s">
        <v>7</v>
      </c>
      <c r="U4" s="4" t="s">
        <v>8</v>
      </c>
      <c r="V4" s="4" t="s">
        <v>9</v>
      </c>
    </row>
    <row r="5" spans="1:22" ht="15.75" thickBot="1" x14ac:dyDescent="0.3">
      <c r="A5" s="168"/>
      <c r="B5" s="4" t="s">
        <v>10</v>
      </c>
      <c r="C5" s="4" t="s">
        <v>48</v>
      </c>
      <c r="D5" s="4"/>
      <c r="E5" s="4" t="s">
        <v>11</v>
      </c>
      <c r="F5" s="4" t="s">
        <v>12</v>
      </c>
      <c r="G5" s="4" t="s">
        <v>13</v>
      </c>
      <c r="H5" s="4" t="s">
        <v>10</v>
      </c>
      <c r="I5" s="4" t="s">
        <v>14</v>
      </c>
      <c r="J5" s="4" t="s">
        <v>15</v>
      </c>
      <c r="K5" s="4" t="s">
        <v>11</v>
      </c>
      <c r="L5" s="4" t="s">
        <v>12</v>
      </c>
      <c r="M5" s="4"/>
      <c r="N5" s="4" t="s">
        <v>14</v>
      </c>
      <c r="O5" s="4"/>
      <c r="P5" s="4" t="s">
        <v>11</v>
      </c>
      <c r="Q5" s="2"/>
      <c r="R5" s="6">
        <v>1</v>
      </c>
      <c r="S5" s="7" t="s">
        <v>58</v>
      </c>
      <c r="T5" s="8"/>
      <c r="U5" s="9"/>
      <c r="V5" s="10">
        <v>50000</v>
      </c>
    </row>
    <row r="6" spans="1:22" ht="15.75" thickBot="1" x14ac:dyDescent="0.3">
      <c r="A6" s="11">
        <v>1</v>
      </c>
      <c r="B6" s="12">
        <v>9000</v>
      </c>
      <c r="C6" s="12">
        <v>41052</v>
      </c>
      <c r="D6" s="13">
        <v>1.0249999999999999</v>
      </c>
      <c r="E6" s="14">
        <f>C6/D6</f>
        <v>40050.731707317078</v>
      </c>
      <c r="F6" s="12">
        <f>C6*B6</f>
        <v>369468000</v>
      </c>
      <c r="G6" s="15" t="s">
        <v>16</v>
      </c>
      <c r="H6" s="16">
        <v>11000</v>
      </c>
      <c r="I6" s="17"/>
      <c r="J6" s="18"/>
      <c r="K6" s="19">
        <v>10740</v>
      </c>
      <c r="L6" s="17">
        <f t="shared" ref="L6:L18" si="0">K6*H6</f>
        <v>118140000</v>
      </c>
      <c r="M6" s="15" t="s">
        <v>17</v>
      </c>
      <c r="N6" s="20">
        <v>50</v>
      </c>
      <c r="O6" s="20"/>
      <c r="P6" s="15">
        <v>13</v>
      </c>
      <c r="Q6" s="2"/>
      <c r="R6" s="6">
        <v>2</v>
      </c>
      <c r="S6" s="7" t="s">
        <v>64</v>
      </c>
      <c r="T6" s="21"/>
      <c r="U6" s="9"/>
      <c r="V6" s="10">
        <v>150000</v>
      </c>
    </row>
    <row r="7" spans="1:22" ht="15.75" thickBot="1" x14ac:dyDescent="0.3">
      <c r="A7" s="13"/>
      <c r="B7" s="7"/>
      <c r="C7" s="7"/>
      <c r="D7" s="13"/>
      <c r="E7" s="13"/>
      <c r="F7" s="7"/>
      <c r="G7" s="7" t="s">
        <v>18</v>
      </c>
      <c r="H7" s="22">
        <v>11000</v>
      </c>
      <c r="I7" s="10"/>
      <c r="J7" s="9"/>
      <c r="K7" s="23">
        <v>4560</v>
      </c>
      <c r="L7" s="17">
        <f t="shared" si="0"/>
        <v>50160000</v>
      </c>
      <c r="M7" s="7" t="s">
        <v>19</v>
      </c>
      <c r="N7" s="7"/>
      <c r="O7" s="7"/>
      <c r="P7" s="7">
        <v>15</v>
      </c>
      <c r="Q7" s="2"/>
      <c r="R7" s="6">
        <v>3</v>
      </c>
      <c r="S7" s="7" t="s">
        <v>63</v>
      </c>
      <c r="T7" s="21"/>
      <c r="U7" s="9"/>
      <c r="V7" s="10">
        <v>360000</v>
      </c>
    </row>
    <row r="8" spans="1:22" ht="15.75" thickBot="1" x14ac:dyDescent="0.3">
      <c r="A8" s="13"/>
      <c r="B8" s="7"/>
      <c r="C8" s="7"/>
      <c r="D8" s="13"/>
      <c r="E8" s="13"/>
      <c r="F8" s="7"/>
      <c r="G8" s="7" t="s">
        <v>20</v>
      </c>
      <c r="H8" s="22">
        <v>11000</v>
      </c>
      <c r="I8" s="10"/>
      <c r="J8" s="9"/>
      <c r="K8" s="23">
        <v>1000</v>
      </c>
      <c r="L8" s="17">
        <f t="shared" si="0"/>
        <v>11000000</v>
      </c>
      <c r="M8" s="7" t="s">
        <v>21</v>
      </c>
      <c r="N8" s="7"/>
      <c r="O8" s="7"/>
      <c r="P8" s="23">
        <v>657.7</v>
      </c>
      <c r="Q8" s="2"/>
      <c r="R8" s="6">
        <v>4</v>
      </c>
      <c r="S8" s="7" t="s">
        <v>57</v>
      </c>
      <c r="T8" s="21"/>
      <c r="U8" s="9"/>
      <c r="V8" s="10">
        <v>1650000</v>
      </c>
    </row>
    <row r="9" spans="1:22" ht="15.75" thickBot="1" x14ac:dyDescent="0.3">
      <c r="A9" s="13"/>
      <c r="B9" s="7"/>
      <c r="C9" s="7"/>
      <c r="D9" s="13"/>
      <c r="E9" s="13"/>
      <c r="F9" s="7"/>
      <c r="G9" s="7" t="s">
        <v>22</v>
      </c>
      <c r="H9" s="22">
        <v>10000</v>
      </c>
      <c r="I9" s="10"/>
      <c r="J9" s="9"/>
      <c r="K9" s="23">
        <v>2042</v>
      </c>
      <c r="L9" s="17">
        <f t="shared" si="0"/>
        <v>20420000</v>
      </c>
      <c r="M9" s="7" t="s">
        <v>23</v>
      </c>
      <c r="N9" s="7">
        <v>30</v>
      </c>
      <c r="O9" s="7"/>
      <c r="P9" s="7">
        <v>8</v>
      </c>
      <c r="Q9" s="2"/>
      <c r="R9" s="6">
        <v>5</v>
      </c>
      <c r="S9" s="7" t="s">
        <v>73</v>
      </c>
      <c r="T9" s="21"/>
      <c r="U9" s="9"/>
      <c r="V9" s="10">
        <v>2320000</v>
      </c>
    </row>
    <row r="10" spans="1:22" ht="15.75" thickBot="1" x14ac:dyDescent="0.3">
      <c r="A10" s="13"/>
      <c r="B10" s="7"/>
      <c r="C10" s="7"/>
      <c r="D10" s="13"/>
      <c r="E10" s="13"/>
      <c r="F10" s="7"/>
      <c r="G10" s="7" t="s">
        <v>24</v>
      </c>
      <c r="H10" s="22">
        <v>10000</v>
      </c>
      <c r="I10" s="10"/>
      <c r="J10" s="9"/>
      <c r="K10" s="23">
        <v>650</v>
      </c>
      <c r="L10" s="17">
        <f t="shared" si="0"/>
        <v>6500000</v>
      </c>
      <c r="M10" s="7" t="s">
        <v>25</v>
      </c>
      <c r="N10" s="7"/>
      <c r="O10" s="7"/>
      <c r="P10" s="7">
        <v>697.7</v>
      </c>
      <c r="Q10" s="2"/>
      <c r="R10" s="6">
        <v>6</v>
      </c>
      <c r="S10" s="7" t="s">
        <v>59</v>
      </c>
      <c r="T10" s="21"/>
      <c r="U10" s="9"/>
      <c r="V10" s="10">
        <v>2265000</v>
      </c>
    </row>
    <row r="11" spans="1:22" ht="15.75" thickBot="1" x14ac:dyDescent="0.3">
      <c r="A11" s="13"/>
      <c r="B11" s="7"/>
      <c r="C11" s="7"/>
      <c r="D11" s="13"/>
      <c r="E11" s="13"/>
      <c r="F11" s="7"/>
      <c r="G11" s="7" t="s">
        <v>26</v>
      </c>
      <c r="H11" s="22">
        <v>10000</v>
      </c>
      <c r="I11" s="10"/>
      <c r="J11" s="9"/>
      <c r="K11" s="23">
        <v>3640</v>
      </c>
      <c r="L11" s="17">
        <f t="shared" si="0"/>
        <v>36400000</v>
      </c>
      <c r="M11" s="7"/>
      <c r="N11" s="7"/>
      <c r="O11" s="7"/>
      <c r="P11" s="7"/>
      <c r="Q11" s="2"/>
      <c r="R11" s="6">
        <v>7</v>
      </c>
      <c r="S11" s="7" t="s">
        <v>88</v>
      </c>
      <c r="T11" s="21"/>
      <c r="U11" s="9"/>
      <c r="V11" s="10">
        <v>1050000</v>
      </c>
    </row>
    <row r="12" spans="1:22" ht="15.75" thickBot="1" x14ac:dyDescent="0.3">
      <c r="A12" s="13"/>
      <c r="B12" s="7"/>
      <c r="C12" s="7"/>
      <c r="D12" s="13"/>
      <c r="E12" s="13"/>
      <c r="F12" s="7"/>
      <c r="G12" s="7" t="s">
        <v>27</v>
      </c>
      <c r="H12" s="22">
        <v>10000</v>
      </c>
      <c r="I12" s="10"/>
      <c r="J12" s="9"/>
      <c r="K12" s="23">
        <v>960</v>
      </c>
      <c r="L12" s="17">
        <f t="shared" si="0"/>
        <v>9600000</v>
      </c>
      <c r="M12" s="7"/>
      <c r="N12" s="7"/>
      <c r="O12" s="7"/>
      <c r="P12" s="7"/>
      <c r="Q12" s="2"/>
      <c r="R12" s="6">
        <v>8</v>
      </c>
      <c r="S12" s="7" t="s">
        <v>82</v>
      </c>
      <c r="T12" s="21"/>
      <c r="U12" s="9"/>
      <c r="V12" s="10">
        <v>66000</v>
      </c>
    </row>
    <row r="13" spans="1:22" ht="15.75" thickBot="1" x14ac:dyDescent="0.3">
      <c r="A13" s="13"/>
      <c r="B13" s="7"/>
      <c r="C13" s="7"/>
      <c r="D13" s="13"/>
      <c r="E13" s="13"/>
      <c r="F13" s="7"/>
      <c r="G13" s="7" t="s">
        <v>28</v>
      </c>
      <c r="H13" s="22">
        <v>10000</v>
      </c>
      <c r="I13" s="10"/>
      <c r="J13" s="9"/>
      <c r="K13" s="23">
        <v>252.6</v>
      </c>
      <c r="L13" s="17">
        <f t="shared" si="0"/>
        <v>2526000</v>
      </c>
      <c r="M13" s="7"/>
      <c r="N13" s="7"/>
      <c r="O13" s="7"/>
      <c r="P13" s="7"/>
      <c r="Q13" s="2"/>
      <c r="R13" s="6">
        <v>9</v>
      </c>
      <c r="S13" s="7" t="s">
        <v>53</v>
      </c>
      <c r="T13" s="21"/>
      <c r="U13" s="9"/>
      <c r="V13" s="10">
        <v>1040000</v>
      </c>
    </row>
    <row r="14" spans="1:22" ht="15.75" thickBot="1" x14ac:dyDescent="0.3">
      <c r="A14" s="13"/>
      <c r="B14" s="7"/>
      <c r="C14" s="7"/>
      <c r="D14" s="13"/>
      <c r="E14" s="13"/>
      <c r="F14" s="7"/>
      <c r="G14" s="7" t="s">
        <v>29</v>
      </c>
      <c r="H14" s="22">
        <v>11000</v>
      </c>
      <c r="I14" s="10"/>
      <c r="J14" s="9"/>
      <c r="K14" s="23">
        <v>142</v>
      </c>
      <c r="L14" s="17">
        <f t="shared" si="0"/>
        <v>1562000</v>
      </c>
      <c r="M14" s="7"/>
      <c r="N14" s="7"/>
      <c r="O14" s="7"/>
      <c r="P14" s="7"/>
      <c r="Q14" s="2"/>
      <c r="R14" s="6">
        <v>10</v>
      </c>
      <c r="S14" s="7" t="s">
        <v>83</v>
      </c>
      <c r="T14" s="21"/>
      <c r="U14" s="9"/>
      <c r="V14" s="10">
        <v>843000</v>
      </c>
    </row>
    <row r="15" spans="1:22" ht="15.75" thickBot="1" x14ac:dyDescent="0.3">
      <c r="A15" s="13"/>
      <c r="B15" s="7"/>
      <c r="C15" s="7"/>
      <c r="D15" s="13"/>
      <c r="E15" s="13"/>
      <c r="F15" s="7"/>
      <c r="G15" s="7" t="s">
        <v>30</v>
      </c>
      <c r="H15" s="22">
        <v>10000</v>
      </c>
      <c r="I15" s="10"/>
      <c r="J15" s="9"/>
      <c r="K15" s="23"/>
      <c r="L15" s="17">
        <f t="shared" si="0"/>
        <v>0</v>
      </c>
      <c r="M15" s="7"/>
      <c r="N15" s="7"/>
      <c r="O15" s="7"/>
      <c r="P15" s="7"/>
      <c r="Q15" s="2"/>
      <c r="R15" s="6">
        <v>11</v>
      </c>
      <c r="S15" s="7" t="s">
        <v>97</v>
      </c>
      <c r="T15" s="21"/>
      <c r="U15" s="9"/>
      <c r="V15" s="10">
        <v>205000</v>
      </c>
    </row>
    <row r="16" spans="1:22" ht="15.75" thickBot="1" x14ac:dyDescent="0.3">
      <c r="A16" s="13"/>
      <c r="B16" s="7"/>
      <c r="C16" s="7"/>
      <c r="D16" s="13"/>
      <c r="E16" s="13"/>
      <c r="F16" s="7"/>
      <c r="G16" s="7" t="s">
        <v>31</v>
      </c>
      <c r="H16" s="22">
        <v>10000</v>
      </c>
      <c r="I16" s="10"/>
      <c r="J16" s="9"/>
      <c r="K16" s="23">
        <v>2545</v>
      </c>
      <c r="L16" s="17">
        <f t="shared" si="0"/>
        <v>25450000</v>
      </c>
      <c r="M16" s="7"/>
      <c r="N16" s="7"/>
      <c r="O16" s="7"/>
      <c r="P16" s="7"/>
      <c r="Q16" s="2"/>
      <c r="R16" s="6">
        <v>12</v>
      </c>
      <c r="S16" s="24" t="s">
        <v>98</v>
      </c>
      <c r="T16" s="21"/>
      <c r="U16" s="25"/>
      <c r="V16" s="10">
        <v>180000</v>
      </c>
    </row>
    <row r="17" spans="1:22" ht="15.75" thickBot="1" x14ac:dyDescent="0.3">
      <c r="A17" s="13"/>
      <c r="B17" s="7"/>
      <c r="C17" s="7"/>
      <c r="D17" s="13"/>
      <c r="E17" s="13"/>
      <c r="F17" s="7"/>
      <c r="G17" s="7" t="s">
        <v>32</v>
      </c>
      <c r="H17" s="22">
        <v>11000</v>
      </c>
      <c r="I17" s="10"/>
      <c r="J17" s="9"/>
      <c r="K17" s="23"/>
      <c r="L17" s="17">
        <f t="shared" si="0"/>
        <v>0</v>
      </c>
      <c r="M17" s="7"/>
      <c r="N17" s="7"/>
      <c r="O17" s="7"/>
      <c r="P17" s="7"/>
      <c r="Q17" s="2"/>
      <c r="R17" s="6">
        <v>13</v>
      </c>
      <c r="S17" s="7"/>
      <c r="T17" s="21"/>
      <c r="U17" s="25"/>
      <c r="V17" s="10"/>
    </row>
    <row r="18" spans="1:22" ht="15.75" thickBot="1" x14ac:dyDescent="0.3">
      <c r="A18" s="13"/>
      <c r="B18" s="7"/>
      <c r="C18" s="7"/>
      <c r="D18" s="13"/>
      <c r="E18" s="13"/>
      <c r="F18" s="7"/>
      <c r="G18" s="7" t="s">
        <v>33</v>
      </c>
      <c r="H18" s="22">
        <v>12000</v>
      </c>
      <c r="I18" s="10"/>
      <c r="J18" s="25"/>
      <c r="K18" s="23">
        <v>100</v>
      </c>
      <c r="L18" s="17">
        <f t="shared" si="0"/>
        <v>1200000</v>
      </c>
      <c r="M18" s="7"/>
      <c r="N18" s="7"/>
      <c r="O18" s="7"/>
      <c r="P18" s="7"/>
      <c r="Q18" s="2"/>
      <c r="R18" s="6">
        <v>14</v>
      </c>
      <c r="S18" s="7"/>
      <c r="T18" s="21"/>
      <c r="U18" s="25"/>
      <c r="V18" s="10"/>
    </row>
    <row r="19" spans="1:22" ht="15.75" thickBot="1" x14ac:dyDescent="0.3">
      <c r="A19" s="13"/>
      <c r="B19" s="7"/>
      <c r="C19" s="7"/>
      <c r="D19" s="13"/>
      <c r="E19" s="13"/>
      <c r="F19" s="7"/>
      <c r="G19" s="7" t="s">
        <v>34</v>
      </c>
      <c r="H19" s="22">
        <v>12000</v>
      </c>
      <c r="I19" s="10"/>
      <c r="J19" s="25"/>
      <c r="K19" s="26">
        <v>10713</v>
      </c>
      <c r="L19" s="17">
        <v>96419000</v>
      </c>
      <c r="M19" s="7"/>
      <c r="N19" s="7"/>
      <c r="O19" s="7"/>
      <c r="P19" s="7"/>
      <c r="Q19" s="2"/>
      <c r="R19" s="6">
        <v>15</v>
      </c>
      <c r="S19" s="7"/>
      <c r="T19" s="21"/>
      <c r="U19" s="25"/>
      <c r="V19" s="10"/>
    </row>
    <row r="20" spans="1:22" ht="15.75" thickBot="1" x14ac:dyDescent="0.3">
      <c r="A20" s="13"/>
      <c r="B20" s="7"/>
      <c r="C20" s="7"/>
      <c r="D20" s="13"/>
      <c r="E20" s="13"/>
      <c r="F20" s="7"/>
      <c r="G20" s="7" t="s">
        <v>35</v>
      </c>
      <c r="H20" s="22">
        <v>8000</v>
      </c>
      <c r="I20" s="10">
        <v>3085</v>
      </c>
      <c r="J20" s="9">
        <v>3</v>
      </c>
      <c r="K20" s="23">
        <v>926</v>
      </c>
      <c r="L20" s="17">
        <v>24680000</v>
      </c>
      <c r="M20" s="7"/>
      <c r="N20" s="7"/>
      <c r="O20" s="7"/>
      <c r="P20" s="7"/>
      <c r="Q20" s="2"/>
      <c r="R20" s="6"/>
      <c r="S20" s="27"/>
      <c r="T20" s="28"/>
      <c r="U20" s="25"/>
      <c r="V20" s="10"/>
    </row>
    <row r="21" spans="1:22" ht="15.75" thickBot="1" x14ac:dyDescent="0.3">
      <c r="A21" s="13"/>
      <c r="B21" s="7"/>
      <c r="C21" s="7"/>
      <c r="D21" s="13"/>
      <c r="E21" s="13"/>
      <c r="F21" s="7"/>
      <c r="G21" s="7" t="s">
        <v>36</v>
      </c>
      <c r="H21" s="22">
        <v>6000</v>
      </c>
      <c r="I21" s="29">
        <v>973</v>
      </c>
      <c r="J21" s="9">
        <v>3</v>
      </c>
      <c r="K21" s="23">
        <v>295</v>
      </c>
      <c r="L21" s="17">
        <v>5838000</v>
      </c>
      <c r="M21" s="7"/>
      <c r="N21" s="7"/>
      <c r="O21" s="7"/>
      <c r="P21" s="7"/>
      <c r="Q21" s="2"/>
      <c r="R21" s="169" t="s">
        <v>9</v>
      </c>
      <c r="S21" s="170"/>
      <c r="T21" s="50"/>
      <c r="U21" s="31"/>
      <c r="V21" s="32">
        <f>SUM(V5:V20)</f>
        <v>10179000</v>
      </c>
    </row>
    <row r="22" spans="1:22" ht="15.75" thickBot="1" x14ac:dyDescent="0.3">
      <c r="A22" s="175" t="s">
        <v>9</v>
      </c>
      <c r="B22" s="176"/>
      <c r="C22" s="33">
        <f>SUM(C6:C21)</f>
        <v>41052</v>
      </c>
      <c r="D22" s="33"/>
      <c r="E22" s="33">
        <f>SUM(E6:E21)</f>
        <v>40050.731707317078</v>
      </c>
      <c r="F22" s="34">
        <f>SUM(F6)</f>
        <v>369468000</v>
      </c>
      <c r="G22" s="161" t="s">
        <v>7</v>
      </c>
      <c r="H22" s="162"/>
      <c r="I22" s="163"/>
      <c r="J22" s="38"/>
      <c r="K22" s="36">
        <f>SUM(K6:K21)</f>
        <v>38565.599999999999</v>
      </c>
      <c r="L22" s="37">
        <f>SUM(L6:L21)</f>
        <v>409895000</v>
      </c>
      <c r="M22" s="38" t="s">
        <v>7</v>
      </c>
      <c r="N22" s="38">
        <f>SUM(N6:N21)</f>
        <v>80</v>
      </c>
      <c r="O22" s="38">
        <v>0</v>
      </c>
      <c r="P22" s="38">
        <f>SUM(P6:P21)</f>
        <v>1391.4</v>
      </c>
      <c r="Q22" s="2"/>
      <c r="R22" s="51"/>
      <c r="S22" s="2"/>
      <c r="T22" s="51"/>
      <c r="U22" s="2"/>
      <c r="V22" s="2"/>
    </row>
    <row r="23" spans="1:22" ht="15.75" thickBo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51"/>
      <c r="S23" s="2"/>
      <c r="T23" s="51"/>
      <c r="U23" s="2"/>
      <c r="V23" s="2"/>
    </row>
    <row r="24" spans="1:22" ht="15.75" x14ac:dyDescent="0.25">
      <c r="A24" s="182" t="s">
        <v>37</v>
      </c>
      <c r="B24" s="183"/>
      <c r="C24" s="183"/>
      <c r="D24" s="183"/>
      <c r="E24" s="183"/>
      <c r="F24" s="184"/>
      <c r="G24" s="40"/>
      <c r="H24" s="40"/>
      <c r="I24" s="41"/>
      <c r="J24" s="2"/>
      <c r="K24" s="2"/>
      <c r="L24" s="2"/>
      <c r="M24" s="174" t="s">
        <v>47</v>
      </c>
      <c r="N24" s="174"/>
      <c r="O24" s="174"/>
      <c r="P24" s="174"/>
      <c r="Q24" s="2"/>
      <c r="R24" s="51"/>
      <c r="S24" s="2"/>
      <c r="T24" s="51"/>
      <c r="U24" s="2"/>
      <c r="V24" s="2"/>
    </row>
    <row r="25" spans="1:22" ht="15.75" x14ac:dyDescent="0.25">
      <c r="A25" s="171"/>
      <c r="B25" s="172"/>
      <c r="C25" s="172"/>
      <c r="D25" s="172"/>
      <c r="E25" s="172"/>
      <c r="F25" s="173"/>
      <c r="G25" s="42"/>
      <c r="H25" s="42"/>
      <c r="I25" s="43"/>
      <c r="J25" s="2"/>
      <c r="K25" s="2"/>
      <c r="L25" s="2"/>
      <c r="M25" s="174"/>
      <c r="N25" s="174"/>
      <c r="O25" s="174"/>
      <c r="P25" s="174"/>
      <c r="Q25" s="2"/>
      <c r="R25" s="51"/>
      <c r="S25" s="2"/>
      <c r="T25" s="51"/>
      <c r="U25" s="2"/>
      <c r="V25" s="2"/>
    </row>
    <row r="26" spans="1:22" ht="15.75" x14ac:dyDescent="0.25">
      <c r="A26" s="171" t="s">
        <v>90</v>
      </c>
      <c r="B26" s="172"/>
      <c r="C26" s="172"/>
      <c r="D26" s="172"/>
      <c r="E26" s="172"/>
      <c r="F26" s="173"/>
      <c r="G26" s="44"/>
      <c r="H26" s="42">
        <v>356</v>
      </c>
      <c r="I26" s="45" t="s">
        <v>38</v>
      </c>
      <c r="J26" s="2"/>
      <c r="K26" s="2"/>
      <c r="L26" s="2"/>
      <c r="M26" s="2"/>
      <c r="N26" s="2"/>
      <c r="O26" s="2"/>
      <c r="P26" s="2"/>
      <c r="Q26" s="2"/>
      <c r="R26" s="51"/>
      <c r="S26" s="2"/>
      <c r="T26" s="51"/>
      <c r="U26" s="2"/>
      <c r="V26" s="2"/>
    </row>
    <row r="27" spans="1:22" ht="15.75" x14ac:dyDescent="0.25">
      <c r="A27" s="171" t="s">
        <v>91</v>
      </c>
      <c r="B27" s="172"/>
      <c r="C27" s="172"/>
      <c r="D27" s="172"/>
      <c r="E27" s="172"/>
      <c r="F27" s="173"/>
      <c r="G27" s="44">
        <f>E22</f>
        <v>40050.731707317078</v>
      </c>
      <c r="H27" s="42"/>
      <c r="I27" s="45" t="s">
        <v>38</v>
      </c>
      <c r="J27" s="2"/>
      <c r="K27" s="2"/>
      <c r="L27" s="2"/>
      <c r="M27" s="2"/>
      <c r="N27" s="2"/>
      <c r="O27" s="2"/>
      <c r="P27" s="2"/>
      <c r="Q27" s="2"/>
      <c r="R27" s="51"/>
      <c r="S27" s="2"/>
      <c r="T27" s="51"/>
      <c r="U27" s="2"/>
      <c r="V27" s="2"/>
    </row>
    <row r="28" spans="1:22" ht="15.75" x14ac:dyDescent="0.25">
      <c r="A28" s="171"/>
      <c r="B28" s="172"/>
      <c r="C28" s="172"/>
      <c r="D28" s="172"/>
      <c r="E28" s="172"/>
      <c r="F28" s="173"/>
      <c r="G28" s="42"/>
      <c r="H28" s="42"/>
      <c r="I28" s="45"/>
      <c r="J28" s="2"/>
      <c r="K28" s="2"/>
      <c r="L28" s="2"/>
      <c r="M28" s="2"/>
      <c r="N28" s="2"/>
      <c r="O28" s="2"/>
      <c r="P28" s="2"/>
      <c r="Q28" s="2"/>
      <c r="R28" s="51"/>
      <c r="S28" s="2"/>
      <c r="T28" s="51"/>
      <c r="U28" s="2"/>
      <c r="V28" s="2"/>
    </row>
    <row r="29" spans="1:22" ht="15.75" x14ac:dyDescent="0.25">
      <c r="A29" s="171"/>
      <c r="B29" s="172"/>
      <c r="C29" s="172"/>
      <c r="D29" s="172"/>
      <c r="E29" s="172"/>
      <c r="F29" s="173"/>
      <c r="G29" s="42" t="s">
        <v>39</v>
      </c>
      <c r="H29" s="44">
        <f>G27+H26</f>
        <v>40406.731707317078</v>
      </c>
      <c r="I29" s="45" t="s">
        <v>38</v>
      </c>
      <c r="J29" s="2"/>
      <c r="K29" s="2"/>
      <c r="L29" s="2"/>
      <c r="M29" s="181" t="s">
        <v>40</v>
      </c>
      <c r="N29" s="181"/>
      <c r="O29" s="181"/>
      <c r="P29" s="181"/>
      <c r="Q29" s="2"/>
      <c r="R29" s="51"/>
      <c r="S29" s="2"/>
      <c r="T29" s="51"/>
      <c r="U29" s="2"/>
      <c r="V29" s="2"/>
    </row>
    <row r="30" spans="1:22" ht="15.75" x14ac:dyDescent="0.25">
      <c r="A30" s="171" t="s">
        <v>92</v>
      </c>
      <c r="B30" s="172"/>
      <c r="C30" s="172"/>
      <c r="D30" s="172"/>
      <c r="E30" s="172"/>
      <c r="F30" s="173"/>
      <c r="G30" s="42"/>
      <c r="H30" s="44">
        <f>K22+P22</f>
        <v>39957</v>
      </c>
      <c r="I30" s="45" t="s">
        <v>38</v>
      </c>
      <c r="J30" s="2"/>
      <c r="K30" s="2"/>
      <c r="L30" s="2"/>
      <c r="M30" s="2"/>
      <c r="N30" s="2"/>
      <c r="O30" s="2"/>
      <c r="P30" s="2"/>
      <c r="Q30" s="2"/>
      <c r="R30" s="51"/>
      <c r="S30" s="2"/>
      <c r="T30" s="51"/>
      <c r="U30" s="2"/>
      <c r="V30" s="2"/>
    </row>
    <row r="31" spans="1:22" ht="15.75" x14ac:dyDescent="0.25">
      <c r="A31" s="171" t="s">
        <v>93</v>
      </c>
      <c r="B31" s="172"/>
      <c r="C31" s="172"/>
      <c r="D31" s="172"/>
      <c r="E31" s="172"/>
      <c r="F31" s="173"/>
      <c r="G31" s="42"/>
      <c r="H31" s="44">
        <v>450</v>
      </c>
      <c r="I31" s="45"/>
      <c r="J31" s="2"/>
      <c r="K31" s="2"/>
      <c r="L31" s="2"/>
      <c r="M31" s="2"/>
      <c r="N31" s="2"/>
      <c r="O31" s="2"/>
      <c r="P31" s="2"/>
      <c r="Q31" s="2"/>
      <c r="R31" s="51"/>
      <c r="S31" s="2"/>
      <c r="T31" s="51"/>
      <c r="U31" s="2"/>
      <c r="V31" s="2"/>
    </row>
    <row r="32" spans="1:22" ht="16.5" thickBot="1" x14ac:dyDescent="0.3">
      <c r="A32" s="178" t="s">
        <v>94</v>
      </c>
      <c r="B32" s="179"/>
      <c r="C32" s="179"/>
      <c r="D32" s="179"/>
      <c r="E32" s="179"/>
      <c r="F32" s="180"/>
      <c r="G32" s="46"/>
      <c r="H32" s="46">
        <v>450</v>
      </c>
      <c r="I32" s="47" t="s">
        <v>38</v>
      </c>
      <c r="J32" s="2"/>
      <c r="K32" s="2"/>
      <c r="L32" s="2"/>
      <c r="M32" s="2"/>
      <c r="N32" s="2"/>
      <c r="O32" s="2"/>
      <c r="P32" s="2"/>
      <c r="Q32" s="2"/>
      <c r="R32" s="51"/>
      <c r="S32" s="2"/>
      <c r="T32" s="51"/>
      <c r="U32" s="2"/>
      <c r="V32" s="2"/>
    </row>
    <row r="33" spans="1:2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77" t="s">
        <v>96</v>
      </c>
      <c r="B34" s="177"/>
      <c r="C34" s="177"/>
      <c r="D34" s="177"/>
      <c r="E34" s="17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M35" s="1"/>
    </row>
  </sheetData>
  <mergeCells count="24">
    <mergeCell ref="A2:P2"/>
    <mergeCell ref="R2:V2"/>
    <mergeCell ref="A3:P3"/>
    <mergeCell ref="R3:V3"/>
    <mergeCell ref="A4:A5"/>
    <mergeCell ref="B4:F4"/>
    <mergeCell ref="G4:L4"/>
    <mergeCell ref="M4:P4"/>
    <mergeCell ref="M29:P29"/>
    <mergeCell ref="A30:F30"/>
    <mergeCell ref="R21:S21"/>
    <mergeCell ref="A22:B22"/>
    <mergeCell ref="G22:I22"/>
    <mergeCell ref="A24:F24"/>
    <mergeCell ref="M24:P24"/>
    <mergeCell ref="A25:F25"/>
    <mergeCell ref="M25:P25"/>
    <mergeCell ref="A31:F31"/>
    <mergeCell ref="A32:F32"/>
    <mergeCell ref="A34:E34"/>
    <mergeCell ref="A26:F26"/>
    <mergeCell ref="A27:F27"/>
    <mergeCell ref="A28:F28"/>
    <mergeCell ref="A29:F2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B10" workbookViewId="0">
      <selection activeCell="H26" sqref="H26"/>
    </sheetView>
  </sheetViews>
  <sheetFormatPr defaultRowHeight="15" x14ac:dyDescent="0.25"/>
  <cols>
    <col min="2" max="2" width="19.42578125" customWidth="1"/>
    <col min="5" max="5" width="13.140625" customWidth="1"/>
    <col min="6" max="6" width="16.42578125" customWidth="1"/>
    <col min="7" max="7" width="21" customWidth="1"/>
    <col min="10" max="10" width="14.42578125" customWidth="1"/>
    <col min="11" max="11" width="20" customWidth="1"/>
    <col min="12" max="12" width="18.140625" customWidth="1"/>
    <col min="15" max="15" width="12.5703125" bestFit="1" customWidth="1"/>
    <col min="18" max="18" width="15.140625" customWidth="1"/>
    <col min="21" max="21" width="18.140625" customWidth="1"/>
  </cols>
  <sheetData>
    <row r="1" spans="1:21" ht="20.25" x14ac:dyDescent="0.25">
      <c r="A1" s="188" t="s">
        <v>99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56"/>
      <c r="O1" s="56"/>
    </row>
    <row r="2" spans="1:21" ht="20.25" x14ac:dyDescent="0.25">
      <c r="A2" s="188" t="s">
        <v>100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56"/>
      <c r="O2" s="56"/>
    </row>
    <row r="3" spans="1:21" ht="20.25" x14ac:dyDescent="0.25">
      <c r="A3" s="188" t="s">
        <v>155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56"/>
      <c r="O3" s="56"/>
    </row>
    <row r="4" spans="1:21" ht="27" thickBot="1" x14ac:dyDescent="0.3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6"/>
      <c r="O4" s="56"/>
      <c r="Q4" s="166" t="s">
        <v>1</v>
      </c>
      <c r="R4" s="166"/>
      <c r="S4" s="166"/>
      <c r="T4" s="166"/>
      <c r="U4" s="166"/>
    </row>
    <row r="5" spans="1:21" ht="19.5" thickBot="1" x14ac:dyDescent="0.3">
      <c r="A5" s="58"/>
      <c r="B5" s="195" t="s">
        <v>102</v>
      </c>
      <c r="C5" s="189"/>
      <c r="D5" s="189"/>
      <c r="E5" s="189"/>
      <c r="F5" s="190"/>
      <c r="G5" s="189" t="s">
        <v>103</v>
      </c>
      <c r="H5" s="189"/>
      <c r="I5" s="189"/>
      <c r="J5" s="189"/>
      <c r="K5" s="190"/>
      <c r="L5" s="189" t="s">
        <v>104</v>
      </c>
      <c r="M5" s="189"/>
      <c r="N5" s="190"/>
      <c r="O5" s="56"/>
      <c r="Q5" s="187" t="s">
        <v>101</v>
      </c>
      <c r="R5" s="164"/>
      <c r="S5" s="164"/>
      <c r="T5" s="164"/>
      <c r="U5" s="164"/>
    </row>
    <row r="6" spans="1:21" ht="15.75" thickBot="1" x14ac:dyDescent="0.3">
      <c r="A6" s="59"/>
      <c r="B6" s="60" t="s">
        <v>105</v>
      </c>
      <c r="C6" s="61" t="s">
        <v>106</v>
      </c>
      <c r="D6" s="61" t="s">
        <v>107</v>
      </c>
      <c r="E6" s="62" t="s">
        <v>108</v>
      </c>
      <c r="F6" s="151" t="s">
        <v>109</v>
      </c>
      <c r="G6" s="66" t="s">
        <v>110</v>
      </c>
      <c r="H6" s="64" t="s">
        <v>8</v>
      </c>
      <c r="I6" s="64" t="s">
        <v>111</v>
      </c>
      <c r="J6" s="64" t="s">
        <v>107</v>
      </c>
      <c r="K6" s="65" t="s">
        <v>112</v>
      </c>
      <c r="L6" s="66" t="s">
        <v>110</v>
      </c>
      <c r="M6" s="64" t="s">
        <v>111</v>
      </c>
      <c r="N6" s="65" t="s">
        <v>107</v>
      </c>
      <c r="O6" s="59"/>
      <c r="Q6" s="52" t="s">
        <v>2</v>
      </c>
      <c r="R6" s="4" t="s">
        <v>6</v>
      </c>
      <c r="S6" s="53" t="s">
        <v>7</v>
      </c>
      <c r="T6" s="4" t="s">
        <v>8</v>
      </c>
      <c r="U6" s="4" t="s">
        <v>9</v>
      </c>
    </row>
    <row r="7" spans="1:21" ht="15.75" thickTop="1" x14ac:dyDescent="0.25">
      <c r="A7" s="67"/>
      <c r="B7" s="68" t="s">
        <v>113</v>
      </c>
      <c r="C7" s="69">
        <v>39675</v>
      </c>
      <c r="D7" s="70">
        <v>38708</v>
      </c>
      <c r="E7" s="71">
        <v>9000</v>
      </c>
      <c r="F7" s="152">
        <f>C7*E7</f>
        <v>357075000</v>
      </c>
      <c r="G7" s="73" t="s">
        <v>131</v>
      </c>
      <c r="H7" s="74">
        <v>11000</v>
      </c>
      <c r="I7" s="136"/>
      <c r="J7" s="136">
        <v>9245</v>
      </c>
      <c r="K7" s="75">
        <f>J7*H7</f>
        <v>101695000</v>
      </c>
      <c r="L7" s="76" t="s">
        <v>114</v>
      </c>
      <c r="M7" s="70"/>
      <c r="N7" s="75"/>
      <c r="O7" s="77"/>
      <c r="Q7" s="6">
        <v>1</v>
      </c>
      <c r="R7" s="7" t="s">
        <v>58</v>
      </c>
      <c r="S7" s="8"/>
      <c r="T7" s="9"/>
      <c r="U7" s="10">
        <v>50000</v>
      </c>
    </row>
    <row r="8" spans="1:21" x14ac:dyDescent="0.25">
      <c r="A8" s="56"/>
      <c r="B8" s="78"/>
      <c r="C8" s="69"/>
      <c r="D8" s="70"/>
      <c r="E8" s="71"/>
      <c r="F8" s="152"/>
      <c r="G8" s="73" t="s">
        <v>132</v>
      </c>
      <c r="H8" s="74">
        <v>11000</v>
      </c>
      <c r="I8" s="137"/>
      <c r="J8" s="137">
        <v>4290</v>
      </c>
      <c r="K8" s="75">
        <f t="shared" ref="K8:K24" si="0">J8*H8</f>
        <v>47190000</v>
      </c>
      <c r="L8" s="80"/>
      <c r="M8" s="80"/>
      <c r="N8" s="81">
        <f>M8/4</f>
        <v>0</v>
      </c>
      <c r="O8" s="56"/>
      <c r="Q8" s="6">
        <v>2</v>
      </c>
      <c r="R8" s="7" t="s">
        <v>64</v>
      </c>
      <c r="S8" s="21"/>
      <c r="T8" s="9"/>
      <c r="U8" s="10">
        <v>150000</v>
      </c>
    </row>
    <row r="9" spans="1:21" x14ac:dyDescent="0.25">
      <c r="A9" s="56"/>
      <c r="B9" s="78"/>
      <c r="C9" s="69"/>
      <c r="D9" s="70"/>
      <c r="E9" s="71"/>
      <c r="F9" s="152"/>
      <c r="G9" s="73" t="s">
        <v>133</v>
      </c>
      <c r="H9" s="74">
        <v>10000</v>
      </c>
      <c r="I9" s="137"/>
      <c r="J9" s="137">
        <v>4455</v>
      </c>
      <c r="K9" s="75">
        <f t="shared" si="0"/>
        <v>44550000</v>
      </c>
      <c r="L9" s="80"/>
      <c r="M9" s="80"/>
      <c r="N9" s="81">
        <f>M9/4</f>
        <v>0</v>
      </c>
      <c r="O9" s="56"/>
      <c r="Q9" s="6">
        <v>3</v>
      </c>
      <c r="R9" s="7" t="s">
        <v>63</v>
      </c>
      <c r="S9" s="21"/>
      <c r="T9" s="9"/>
      <c r="U9" s="10">
        <v>240000</v>
      </c>
    </row>
    <row r="10" spans="1:21" x14ac:dyDescent="0.25">
      <c r="A10" s="56"/>
      <c r="B10" s="78"/>
      <c r="C10" s="69"/>
      <c r="D10" s="70"/>
      <c r="E10" s="71"/>
      <c r="F10" s="152"/>
      <c r="G10" s="73" t="s">
        <v>134</v>
      </c>
      <c r="H10" s="74">
        <v>10000</v>
      </c>
      <c r="I10" s="137"/>
      <c r="J10" s="137">
        <v>2232</v>
      </c>
      <c r="K10" s="75">
        <f t="shared" si="0"/>
        <v>22320000</v>
      </c>
      <c r="L10" s="80"/>
      <c r="M10" s="80"/>
      <c r="N10" s="81"/>
      <c r="O10" s="56"/>
      <c r="Q10" s="6">
        <v>4</v>
      </c>
      <c r="R10" s="7" t="s">
        <v>57</v>
      </c>
      <c r="S10" s="21"/>
      <c r="T10" s="9"/>
      <c r="U10" s="10">
        <v>1465000</v>
      </c>
    </row>
    <row r="11" spans="1:21" x14ac:dyDescent="0.25">
      <c r="A11" s="56"/>
      <c r="B11" s="78"/>
      <c r="C11" s="69"/>
      <c r="D11" s="70"/>
      <c r="E11" s="71"/>
      <c r="F11" s="152"/>
      <c r="G11" s="73" t="s">
        <v>135</v>
      </c>
      <c r="H11" s="74">
        <v>10000</v>
      </c>
      <c r="I11" s="137"/>
      <c r="J11" s="137">
        <v>720</v>
      </c>
      <c r="K11" s="75">
        <f t="shared" si="0"/>
        <v>7200000</v>
      </c>
      <c r="L11" s="80"/>
      <c r="M11" s="80"/>
      <c r="N11" s="81"/>
      <c r="O11" s="56"/>
      <c r="Q11" s="6">
        <v>5</v>
      </c>
      <c r="R11" s="7" t="s">
        <v>73</v>
      </c>
      <c r="S11" s="21"/>
      <c r="T11" s="9"/>
      <c r="U11" s="10">
        <v>1926000</v>
      </c>
    </row>
    <row r="12" spans="1:21" x14ac:dyDescent="0.25">
      <c r="A12" s="56"/>
      <c r="B12" s="78"/>
      <c r="C12" s="69"/>
      <c r="D12" s="70"/>
      <c r="E12" s="71"/>
      <c r="F12" s="152"/>
      <c r="G12" s="73" t="s">
        <v>136</v>
      </c>
      <c r="H12" s="74">
        <v>11000</v>
      </c>
      <c r="I12" s="137"/>
      <c r="J12" s="137">
        <v>790</v>
      </c>
      <c r="K12" s="75">
        <f t="shared" si="0"/>
        <v>8690000</v>
      </c>
      <c r="L12" s="80"/>
      <c r="M12" s="80"/>
      <c r="N12" s="81"/>
      <c r="O12" s="56"/>
      <c r="Q12" s="6">
        <v>6</v>
      </c>
      <c r="R12" s="7" t="s">
        <v>59</v>
      </c>
      <c r="S12" s="21"/>
      <c r="T12" s="9"/>
      <c r="U12" s="10">
        <v>2235000</v>
      </c>
    </row>
    <row r="13" spans="1:21" x14ac:dyDescent="0.25">
      <c r="A13" s="56"/>
      <c r="B13" s="78"/>
      <c r="C13" s="69"/>
      <c r="D13" s="70"/>
      <c r="E13" s="71"/>
      <c r="F13" s="152"/>
      <c r="G13" s="73" t="s">
        <v>137</v>
      </c>
      <c r="H13" s="74">
        <v>10000</v>
      </c>
      <c r="I13" s="137"/>
      <c r="J13" s="137">
        <v>2256</v>
      </c>
      <c r="K13" s="75">
        <f t="shared" si="0"/>
        <v>22560000</v>
      </c>
      <c r="L13" s="80"/>
      <c r="M13" s="80"/>
      <c r="N13" s="81"/>
      <c r="O13" s="56"/>
      <c r="Q13" s="6">
        <v>7</v>
      </c>
      <c r="R13" s="7" t="s">
        <v>88</v>
      </c>
      <c r="S13" s="21"/>
      <c r="T13" s="9"/>
      <c r="U13" s="10">
        <v>500000</v>
      </c>
    </row>
    <row r="14" spans="1:21" x14ac:dyDescent="0.25">
      <c r="A14" s="56"/>
      <c r="B14" s="78"/>
      <c r="C14" s="69"/>
      <c r="D14" s="70"/>
      <c r="E14" s="71"/>
      <c r="F14" s="152"/>
      <c r="G14" s="73" t="s">
        <v>138</v>
      </c>
      <c r="H14" s="74">
        <v>10000</v>
      </c>
      <c r="I14" s="137"/>
      <c r="J14" s="137">
        <v>1650</v>
      </c>
      <c r="K14" s="75">
        <f t="shared" si="0"/>
        <v>16500000</v>
      </c>
      <c r="L14" s="80"/>
      <c r="M14" s="80"/>
      <c r="N14" s="81"/>
      <c r="O14" s="56"/>
      <c r="Q14" s="6">
        <v>8</v>
      </c>
      <c r="R14" s="7" t="s">
        <v>82</v>
      </c>
      <c r="S14" s="21"/>
      <c r="T14" s="9"/>
      <c r="U14" s="10">
        <v>66000</v>
      </c>
    </row>
    <row r="15" spans="1:21" x14ac:dyDescent="0.25">
      <c r="A15" s="56"/>
      <c r="B15" s="78"/>
      <c r="C15" s="69"/>
      <c r="D15" s="70"/>
      <c r="E15" s="71"/>
      <c r="F15" s="152"/>
      <c r="G15" s="73" t="s">
        <v>139</v>
      </c>
      <c r="H15" s="74">
        <v>11000</v>
      </c>
      <c r="I15" s="137"/>
      <c r="J15" s="137">
        <v>174</v>
      </c>
      <c r="K15" s="75">
        <f t="shared" si="0"/>
        <v>1914000</v>
      </c>
      <c r="L15" s="80"/>
      <c r="M15" s="80"/>
      <c r="N15" s="81"/>
      <c r="O15" s="56"/>
      <c r="Q15" s="6">
        <v>9</v>
      </c>
      <c r="R15" s="7" t="s">
        <v>147</v>
      </c>
      <c r="S15" s="21"/>
      <c r="T15" s="9"/>
      <c r="U15" s="10">
        <v>66000</v>
      </c>
    </row>
    <row r="16" spans="1:21" x14ac:dyDescent="0.25">
      <c r="A16" s="56"/>
      <c r="B16" s="78"/>
      <c r="C16" s="69"/>
      <c r="D16" s="70"/>
      <c r="E16" s="71"/>
      <c r="F16" s="152"/>
      <c r="G16" s="73" t="s">
        <v>140</v>
      </c>
      <c r="H16" s="74">
        <v>10000</v>
      </c>
      <c r="I16" s="137"/>
      <c r="J16" s="137"/>
      <c r="K16" s="75">
        <f t="shared" si="0"/>
        <v>0</v>
      </c>
      <c r="L16" s="82" t="s">
        <v>7</v>
      </c>
      <c r="M16" s="83">
        <f>SUM(M8:M15)</f>
        <v>0</v>
      </c>
      <c r="N16" s="84">
        <f>SUM(N8:N15)</f>
        <v>0</v>
      </c>
      <c r="O16" s="56"/>
      <c r="Q16" s="6">
        <v>10</v>
      </c>
      <c r="R16" s="7" t="s">
        <v>62</v>
      </c>
      <c r="S16" s="21"/>
      <c r="T16" s="9"/>
      <c r="U16" s="10">
        <v>8170000</v>
      </c>
    </row>
    <row r="17" spans="1:21" x14ac:dyDescent="0.25">
      <c r="A17" s="56"/>
      <c r="B17" s="78"/>
      <c r="C17" s="69"/>
      <c r="D17" s="70"/>
      <c r="E17" s="71"/>
      <c r="F17" s="152"/>
      <c r="G17" s="73" t="s">
        <v>141</v>
      </c>
      <c r="H17" s="74">
        <v>12000</v>
      </c>
      <c r="I17" s="137"/>
      <c r="J17" s="137">
        <v>100</v>
      </c>
      <c r="K17" s="75">
        <f t="shared" si="0"/>
        <v>1200000</v>
      </c>
      <c r="L17" s="76" t="s">
        <v>115</v>
      </c>
      <c r="M17" s="80"/>
      <c r="N17" s="81"/>
      <c r="O17" s="56"/>
      <c r="Q17" s="6">
        <v>11</v>
      </c>
      <c r="R17" s="7" t="s">
        <v>148</v>
      </c>
      <c r="S17" s="21"/>
      <c r="T17" s="9"/>
      <c r="U17" s="10">
        <v>60000</v>
      </c>
    </row>
    <row r="18" spans="1:21" x14ac:dyDescent="0.25">
      <c r="A18" s="56"/>
      <c r="B18" s="78"/>
      <c r="C18" s="69"/>
      <c r="D18" s="70"/>
      <c r="E18" s="71"/>
      <c r="F18" s="152"/>
      <c r="G18" s="73" t="s">
        <v>142</v>
      </c>
      <c r="H18" s="74">
        <v>10000</v>
      </c>
      <c r="I18" s="137"/>
      <c r="J18" s="137">
        <v>403.1</v>
      </c>
      <c r="K18" s="75">
        <f t="shared" si="0"/>
        <v>4031000</v>
      </c>
      <c r="L18" s="155" t="s">
        <v>151</v>
      </c>
      <c r="M18" s="80"/>
      <c r="N18" s="81">
        <v>250</v>
      </c>
      <c r="O18" s="56"/>
      <c r="Q18" s="6">
        <v>12</v>
      </c>
      <c r="R18" s="24" t="s">
        <v>149</v>
      </c>
      <c r="S18" s="21"/>
      <c r="T18" s="25"/>
      <c r="U18" s="10">
        <v>30000</v>
      </c>
    </row>
    <row r="19" spans="1:21" x14ac:dyDescent="0.25">
      <c r="A19" s="56"/>
      <c r="B19" s="78"/>
      <c r="C19" s="69"/>
      <c r="D19" s="70"/>
      <c r="E19" s="71"/>
      <c r="F19" s="152"/>
      <c r="G19" s="73" t="s">
        <v>143</v>
      </c>
      <c r="H19" s="74">
        <v>12000</v>
      </c>
      <c r="I19" s="137"/>
      <c r="J19" s="137">
        <f>K19/H19</f>
        <v>7510.5</v>
      </c>
      <c r="K19" s="75">
        <f>121900000-K26-K27</f>
        <v>90126000</v>
      </c>
      <c r="L19" s="155" t="s">
        <v>144</v>
      </c>
      <c r="M19" s="80"/>
      <c r="N19" s="81">
        <v>2768</v>
      </c>
      <c r="O19" s="56"/>
      <c r="Q19" s="6">
        <v>13</v>
      </c>
      <c r="R19" s="7" t="s">
        <v>150</v>
      </c>
      <c r="S19" s="21"/>
      <c r="T19" s="25"/>
      <c r="U19" s="10">
        <v>195000</v>
      </c>
    </row>
    <row r="20" spans="1:21" x14ac:dyDescent="0.25">
      <c r="A20" s="56"/>
      <c r="B20" s="78"/>
      <c r="C20" s="69"/>
      <c r="D20" s="70"/>
      <c r="E20" s="71"/>
      <c r="F20" s="152"/>
      <c r="G20" s="73"/>
      <c r="H20" s="74"/>
      <c r="I20" s="137"/>
      <c r="J20" s="137"/>
      <c r="K20" s="75"/>
      <c r="L20" s="155" t="s">
        <v>145</v>
      </c>
      <c r="M20" s="80"/>
      <c r="N20" s="81">
        <v>20</v>
      </c>
      <c r="O20" s="56"/>
      <c r="Q20" s="6">
        <v>14</v>
      </c>
      <c r="R20" s="7"/>
      <c r="S20" s="21"/>
      <c r="T20" s="25"/>
      <c r="U20" s="10"/>
    </row>
    <row r="21" spans="1:21" x14ac:dyDescent="0.25">
      <c r="A21" s="56"/>
      <c r="B21" s="78"/>
      <c r="C21" s="69"/>
      <c r="D21" s="70"/>
      <c r="E21" s="71"/>
      <c r="F21" s="152"/>
      <c r="G21" s="73"/>
      <c r="H21" s="74"/>
      <c r="I21" s="137"/>
      <c r="J21" s="137"/>
      <c r="K21" s="75">
        <f t="shared" si="0"/>
        <v>0</v>
      </c>
      <c r="L21" s="155" t="s">
        <v>146</v>
      </c>
      <c r="M21" s="80"/>
      <c r="N21" s="81">
        <v>1120</v>
      </c>
      <c r="O21" s="56"/>
      <c r="Q21" s="6">
        <v>15</v>
      </c>
      <c r="R21" s="7"/>
      <c r="S21" s="21"/>
      <c r="T21" s="25"/>
      <c r="U21" s="10"/>
    </row>
    <row r="22" spans="1:21" ht="15.75" thickBot="1" x14ac:dyDescent="0.3">
      <c r="A22" s="56"/>
      <c r="B22" s="78"/>
      <c r="C22" s="69"/>
      <c r="D22" s="70"/>
      <c r="E22" s="71"/>
      <c r="F22" s="152"/>
      <c r="G22" s="73"/>
      <c r="H22" s="74"/>
      <c r="I22" s="137"/>
      <c r="J22" s="137"/>
      <c r="K22" s="75">
        <f t="shared" si="0"/>
        <v>0</v>
      </c>
      <c r="L22" s="76"/>
      <c r="M22" s="80"/>
      <c r="N22" s="81"/>
      <c r="O22" s="56"/>
      <c r="Q22" s="6"/>
      <c r="R22" s="27"/>
      <c r="S22" s="28"/>
      <c r="T22" s="25"/>
      <c r="U22" s="10"/>
    </row>
    <row r="23" spans="1:21" ht="15.75" thickBot="1" x14ac:dyDescent="0.3">
      <c r="A23" s="56"/>
      <c r="B23" s="78"/>
      <c r="C23" s="69"/>
      <c r="D23" s="70"/>
      <c r="E23" s="71"/>
      <c r="F23" s="152"/>
      <c r="G23" s="73"/>
      <c r="H23" s="74"/>
      <c r="I23" s="137"/>
      <c r="J23" s="137"/>
      <c r="K23" s="75">
        <f t="shared" si="0"/>
        <v>0</v>
      </c>
      <c r="L23" s="76"/>
      <c r="M23" s="80"/>
      <c r="N23" s="81"/>
      <c r="O23" s="56"/>
      <c r="Q23" s="169" t="s">
        <v>9</v>
      </c>
      <c r="R23" s="170"/>
      <c r="S23" s="54"/>
      <c r="T23" s="31"/>
      <c r="U23" s="32">
        <f>SUM(U7:U22)</f>
        <v>15153000</v>
      </c>
    </row>
    <row r="24" spans="1:21" x14ac:dyDescent="0.25">
      <c r="A24" s="56"/>
      <c r="B24" s="78"/>
      <c r="C24" s="69"/>
      <c r="D24" s="70"/>
      <c r="E24" s="71"/>
      <c r="F24" s="152"/>
      <c r="G24" s="85"/>
      <c r="H24" s="86"/>
      <c r="I24" s="138"/>
      <c r="J24" s="138"/>
      <c r="K24" s="147">
        <f t="shared" si="0"/>
        <v>0</v>
      </c>
      <c r="L24" s="80"/>
      <c r="M24" s="80"/>
      <c r="N24" s="81"/>
      <c r="O24" s="56"/>
      <c r="Q24" s="55"/>
      <c r="R24" s="2"/>
      <c r="S24" s="55"/>
      <c r="T24" s="2"/>
      <c r="U24" s="2"/>
    </row>
    <row r="25" spans="1:21" x14ac:dyDescent="0.25">
      <c r="A25" s="56"/>
      <c r="B25" s="78"/>
      <c r="C25" s="69"/>
      <c r="D25" s="70"/>
      <c r="E25" s="71"/>
      <c r="F25" s="152"/>
      <c r="G25" s="73" t="s">
        <v>116</v>
      </c>
      <c r="H25" s="87"/>
      <c r="I25" s="139"/>
      <c r="J25" s="137">
        <f>SUM(J7:J24)</f>
        <v>33825.599999999999</v>
      </c>
      <c r="K25" s="88">
        <f>SUM(K7:K24)</f>
        <v>367976000</v>
      </c>
      <c r="L25" s="80"/>
      <c r="M25" s="80"/>
      <c r="N25" s="81"/>
      <c r="O25" s="56"/>
    </row>
    <row r="26" spans="1:21" x14ac:dyDescent="0.25">
      <c r="A26" s="56"/>
      <c r="B26" s="78"/>
      <c r="C26" s="69"/>
      <c r="D26" s="70"/>
      <c r="E26" s="71"/>
      <c r="F26" s="152"/>
      <c r="G26" s="73" t="s">
        <v>117</v>
      </c>
      <c r="H26" s="74">
        <v>6000</v>
      </c>
      <c r="I26" s="137">
        <v>953</v>
      </c>
      <c r="J26" s="137">
        <f>I26/3</f>
        <v>317.66666666666669</v>
      </c>
      <c r="K26" s="79">
        <f>H26*I26</f>
        <v>5718000</v>
      </c>
      <c r="L26" s="82" t="s">
        <v>7</v>
      </c>
      <c r="M26" s="89"/>
      <c r="N26" s="84">
        <f>SUM(N18:N25)</f>
        <v>4158</v>
      </c>
      <c r="O26" s="56"/>
    </row>
    <row r="27" spans="1:21" ht="15.75" thickBot="1" x14ac:dyDescent="0.3">
      <c r="A27" s="56"/>
      <c r="B27" s="90"/>
      <c r="C27" s="91"/>
      <c r="D27" s="92"/>
      <c r="E27" s="93"/>
      <c r="F27" s="153"/>
      <c r="G27" s="95" t="s">
        <v>114</v>
      </c>
      <c r="H27" s="96">
        <v>8000</v>
      </c>
      <c r="I27" s="140">
        <v>3257</v>
      </c>
      <c r="J27" s="140">
        <f>I27/4</f>
        <v>814.25</v>
      </c>
      <c r="K27" s="97">
        <f>H27*I27</f>
        <v>26056000</v>
      </c>
      <c r="L27" s="98"/>
      <c r="M27" s="98"/>
      <c r="N27" s="99"/>
      <c r="O27" s="56"/>
    </row>
    <row r="28" spans="1:21" ht="16.5" thickTop="1" thickBot="1" x14ac:dyDescent="0.3">
      <c r="A28" s="100"/>
      <c r="B28" s="101" t="s">
        <v>118</v>
      </c>
      <c r="C28" s="102">
        <f>SUM(C7:C27)</f>
        <v>39675</v>
      </c>
      <c r="D28" s="102">
        <f>SUM(D7:D27)</f>
        <v>38708</v>
      </c>
      <c r="E28" s="103">
        <f>SUM(E7:E27)</f>
        <v>9000</v>
      </c>
      <c r="F28" s="154">
        <f>SUM(F7:F27)</f>
        <v>357075000</v>
      </c>
      <c r="G28" s="150" t="s">
        <v>119</v>
      </c>
      <c r="H28" s="104"/>
      <c r="I28" s="141"/>
      <c r="J28" s="142">
        <f>SUM(J25:J27)</f>
        <v>34957.516666666663</v>
      </c>
      <c r="K28" s="105">
        <f>SUM(K25:K27)</f>
        <v>399750000</v>
      </c>
      <c r="L28" s="106" t="s">
        <v>120</v>
      </c>
      <c r="M28" s="107">
        <f>M16+M26</f>
        <v>0</v>
      </c>
      <c r="N28" s="108">
        <f>N16+N26</f>
        <v>4158</v>
      </c>
      <c r="O28" s="100"/>
      <c r="R28" s="148"/>
    </row>
    <row r="29" spans="1:21" x14ac:dyDescent="0.25">
      <c r="A29" s="56"/>
      <c r="B29" s="109"/>
      <c r="C29" s="109"/>
      <c r="D29" s="109"/>
      <c r="E29" s="109"/>
      <c r="F29" s="56"/>
      <c r="G29" s="56"/>
      <c r="H29" s="56"/>
      <c r="I29" s="56"/>
      <c r="J29" s="56"/>
      <c r="K29" s="77"/>
      <c r="L29" s="56"/>
      <c r="M29" s="56"/>
      <c r="N29" s="56"/>
      <c r="O29" s="56"/>
      <c r="R29" s="148"/>
    </row>
    <row r="30" spans="1:21" ht="15.75" thickBot="1" x14ac:dyDescent="0.3">
      <c r="A30" s="56"/>
      <c r="B30" s="109"/>
      <c r="C30" s="109"/>
      <c r="D30" s="109"/>
      <c r="E30" s="109"/>
      <c r="F30" s="56"/>
      <c r="G30" s="56"/>
      <c r="H30" s="56"/>
      <c r="I30" s="56"/>
      <c r="J30" s="56"/>
      <c r="K30" s="56"/>
      <c r="L30" s="56"/>
      <c r="M30" s="56"/>
      <c r="N30" s="56"/>
      <c r="O30" s="56"/>
      <c r="R30" s="149"/>
    </row>
    <row r="31" spans="1:21" x14ac:dyDescent="0.25">
      <c r="A31" s="56"/>
      <c r="B31" s="191" t="s">
        <v>110</v>
      </c>
      <c r="C31" s="110"/>
      <c r="D31" s="193" t="s">
        <v>114</v>
      </c>
      <c r="E31" s="194"/>
      <c r="F31" s="111" t="s">
        <v>115</v>
      </c>
      <c r="G31" s="185" t="s">
        <v>121</v>
      </c>
      <c r="H31" s="56"/>
      <c r="I31" s="56"/>
      <c r="J31" s="56"/>
      <c r="K31" s="56"/>
      <c r="L31" s="56"/>
      <c r="M31" s="56"/>
      <c r="N31" s="56"/>
      <c r="O31" s="56"/>
      <c r="R31" s="148"/>
    </row>
    <row r="32" spans="1:21" ht="15.75" thickBot="1" x14ac:dyDescent="0.3">
      <c r="A32" s="56"/>
      <c r="B32" s="192"/>
      <c r="C32" s="112"/>
      <c r="D32" s="63" t="s">
        <v>111</v>
      </c>
      <c r="E32" s="62" t="s">
        <v>107</v>
      </c>
      <c r="F32" s="113" t="s">
        <v>107</v>
      </c>
      <c r="G32" s="186"/>
      <c r="H32" s="56"/>
      <c r="I32" s="56"/>
      <c r="J32" s="56"/>
      <c r="K32" s="56" t="s">
        <v>122</v>
      </c>
      <c r="L32" s="56"/>
      <c r="M32" s="56"/>
      <c r="N32" s="56"/>
      <c r="O32" s="56"/>
    </row>
    <row r="33" spans="1:15" ht="15.75" thickTop="1" x14ac:dyDescent="0.25">
      <c r="A33" s="56"/>
      <c r="B33" s="114" t="s">
        <v>123</v>
      </c>
      <c r="C33" s="71"/>
      <c r="D33" s="72">
        <v>120</v>
      </c>
      <c r="E33" s="71">
        <f>D33/4</f>
        <v>30</v>
      </c>
      <c r="F33" s="115">
        <v>420</v>
      </c>
      <c r="G33" s="116">
        <f>E33+F33</f>
        <v>450</v>
      </c>
      <c r="H33" s="56"/>
      <c r="I33" s="56"/>
      <c r="J33" s="56"/>
      <c r="K33" s="56"/>
      <c r="L33" s="56"/>
      <c r="M33" s="56"/>
      <c r="N33" s="56"/>
      <c r="O33" s="56"/>
    </row>
    <row r="34" spans="1:15" x14ac:dyDescent="0.25">
      <c r="A34" s="56"/>
      <c r="B34" s="114" t="s">
        <v>124</v>
      </c>
      <c r="C34" s="71"/>
      <c r="D34" s="72"/>
      <c r="E34" s="71"/>
      <c r="F34" s="115">
        <v>38708</v>
      </c>
      <c r="G34" s="116">
        <f t="shared" ref="G34:G35" si="1">E34+F34</f>
        <v>38708</v>
      </c>
      <c r="H34" s="56"/>
      <c r="I34" s="56"/>
      <c r="J34" s="56"/>
      <c r="K34" s="56"/>
      <c r="L34" s="56"/>
      <c r="M34" s="56"/>
      <c r="N34" s="56"/>
      <c r="O34" s="56"/>
    </row>
    <row r="35" spans="1:15" x14ac:dyDescent="0.25">
      <c r="A35" s="56"/>
      <c r="B35" s="117" t="s">
        <v>125</v>
      </c>
      <c r="C35" s="118"/>
      <c r="D35" s="119">
        <v>3265</v>
      </c>
      <c r="E35" s="118">
        <f>D35/4</f>
        <v>816.25</v>
      </c>
      <c r="F35" s="120">
        <f>-E35</f>
        <v>-816.25</v>
      </c>
      <c r="G35" s="121">
        <f t="shared" si="1"/>
        <v>0</v>
      </c>
      <c r="H35" s="56"/>
      <c r="I35" s="56"/>
      <c r="J35" s="56"/>
      <c r="K35" s="56"/>
      <c r="L35" s="56"/>
      <c r="M35" s="56"/>
      <c r="N35" s="56"/>
      <c r="O35" s="56"/>
    </row>
    <row r="36" spans="1:15" x14ac:dyDescent="0.25">
      <c r="A36" s="56"/>
      <c r="B36" s="114" t="s">
        <v>126</v>
      </c>
      <c r="C36" s="71"/>
      <c r="D36" s="72">
        <f>SUM(D33:D35)</f>
        <v>3385</v>
      </c>
      <c r="E36" s="71">
        <f>SUM(E33:E35)</f>
        <v>846.25</v>
      </c>
      <c r="F36" s="115">
        <f>SUM(F33:F35)</f>
        <v>38311.75</v>
      </c>
      <c r="G36" s="75">
        <f>SUM(G33:G35)</f>
        <v>39158</v>
      </c>
      <c r="H36" s="56"/>
      <c r="I36" s="56"/>
      <c r="J36" s="56"/>
      <c r="K36" s="56"/>
      <c r="L36" s="56"/>
      <c r="M36" s="56"/>
      <c r="N36" s="56"/>
      <c r="O36" s="56"/>
    </row>
    <row r="37" spans="1:15" x14ac:dyDescent="0.25">
      <c r="A37" s="56"/>
      <c r="B37" s="114" t="s">
        <v>127</v>
      </c>
      <c r="C37" s="71"/>
      <c r="D37" s="72"/>
      <c r="E37" s="71"/>
      <c r="F37" s="115"/>
      <c r="G37" s="116"/>
      <c r="H37" s="56"/>
      <c r="I37" s="56"/>
      <c r="J37" s="56"/>
      <c r="K37" s="56"/>
      <c r="L37" s="56"/>
      <c r="M37" s="56"/>
      <c r="N37" s="56"/>
      <c r="O37" s="56"/>
    </row>
    <row r="38" spans="1:15" ht="15.75" x14ac:dyDescent="0.25">
      <c r="A38" s="56"/>
      <c r="B38" s="122" t="s">
        <v>128</v>
      </c>
      <c r="C38" s="71"/>
      <c r="D38" s="72">
        <f>I27</f>
        <v>3257</v>
      </c>
      <c r="E38" s="71">
        <f>J27</f>
        <v>814.25</v>
      </c>
      <c r="F38" s="115">
        <f>J25+J26</f>
        <v>34143.266666666663</v>
      </c>
      <c r="G38" s="116">
        <f>E38+F38</f>
        <v>34957.516666666663</v>
      </c>
      <c r="H38" s="56"/>
      <c r="I38" s="56"/>
      <c r="J38" s="56"/>
      <c r="K38" s="123" t="s">
        <v>40</v>
      </c>
      <c r="L38" s="56"/>
      <c r="M38" s="56"/>
      <c r="N38" s="56"/>
      <c r="O38" s="56"/>
    </row>
    <row r="39" spans="1:15" ht="15.75" thickBot="1" x14ac:dyDescent="0.3">
      <c r="A39" s="56"/>
      <c r="B39" s="124" t="s">
        <v>129</v>
      </c>
      <c r="C39" s="93"/>
      <c r="D39" s="94">
        <f>M16</f>
        <v>0</v>
      </c>
      <c r="E39" s="93">
        <f>N16</f>
        <v>0</v>
      </c>
      <c r="F39" s="125">
        <f>N26</f>
        <v>4158</v>
      </c>
      <c r="G39" s="126">
        <f>E39+F39</f>
        <v>4158</v>
      </c>
      <c r="H39" s="127"/>
      <c r="I39" s="127"/>
      <c r="J39" s="56"/>
      <c r="K39" s="56"/>
      <c r="L39" s="56"/>
      <c r="M39" s="127"/>
      <c r="N39" s="56"/>
      <c r="O39" s="56"/>
    </row>
    <row r="40" spans="1:15" ht="17.25" thickTop="1" thickBot="1" x14ac:dyDescent="0.3">
      <c r="A40" s="128"/>
      <c r="B40" s="129" t="s">
        <v>130</v>
      </c>
      <c r="C40" s="130"/>
      <c r="D40" s="131">
        <f>D36-D38-D39</f>
        <v>128</v>
      </c>
      <c r="E40" s="130">
        <f>E36-E38-E39</f>
        <v>32</v>
      </c>
      <c r="F40" s="132">
        <f>F36-F38-F39</f>
        <v>10.483333333337214</v>
      </c>
      <c r="G40" s="133">
        <f>G36-G38-G39</f>
        <v>42.483333333337214</v>
      </c>
      <c r="H40" s="134"/>
      <c r="I40" s="128"/>
      <c r="J40" s="128"/>
      <c r="K40" s="128"/>
      <c r="L40" s="128"/>
      <c r="M40" s="128"/>
      <c r="N40" s="128"/>
      <c r="O40" s="128"/>
    </row>
    <row r="41" spans="1:15" x14ac:dyDescent="0.25">
      <c r="A41" s="56"/>
      <c r="B41" s="109"/>
      <c r="C41" s="109"/>
      <c r="D41" s="109"/>
      <c r="E41" s="135"/>
      <c r="F41" s="56"/>
      <c r="G41" s="135">
        <f>E40+F40</f>
        <v>42.483333333337214</v>
      </c>
      <c r="H41" s="56"/>
      <c r="I41" s="56"/>
      <c r="J41" s="56"/>
      <c r="K41" s="56"/>
      <c r="L41" s="56"/>
      <c r="M41" s="56"/>
      <c r="N41" s="56"/>
      <c r="O41" s="56"/>
    </row>
    <row r="42" spans="1:15" x14ac:dyDescent="0.25">
      <c r="A42" s="56"/>
      <c r="B42" s="109"/>
      <c r="C42" s="109"/>
      <c r="D42" s="109"/>
      <c r="E42" s="135"/>
      <c r="F42" s="56"/>
      <c r="G42" s="56"/>
      <c r="H42" s="56"/>
      <c r="I42" s="56"/>
      <c r="J42" s="56"/>
      <c r="K42" s="56"/>
      <c r="L42" s="56"/>
      <c r="M42" s="56"/>
      <c r="N42" s="56"/>
      <c r="O42" s="56"/>
    </row>
    <row r="43" spans="1:15" x14ac:dyDescent="0.25">
      <c r="A43" s="56"/>
      <c r="B43" s="109"/>
      <c r="C43" s="109"/>
      <c r="D43" s="109"/>
      <c r="E43" s="135"/>
      <c r="F43" s="56"/>
      <c r="G43" s="56"/>
      <c r="H43" s="56"/>
      <c r="I43" s="56"/>
      <c r="J43" s="56"/>
      <c r="K43" s="56"/>
      <c r="L43" s="56"/>
      <c r="M43" s="56"/>
      <c r="N43" s="56"/>
      <c r="O43" s="56"/>
    </row>
    <row r="44" spans="1:15" x14ac:dyDescent="0.25">
      <c r="A44" s="56"/>
      <c r="B44" s="109"/>
      <c r="C44" s="109"/>
      <c r="D44" s="109"/>
      <c r="E44" s="109"/>
      <c r="F44" s="135"/>
      <c r="G44" s="56"/>
      <c r="H44" s="56"/>
      <c r="I44" s="56"/>
      <c r="J44" s="56"/>
      <c r="K44" s="56"/>
      <c r="L44" s="56"/>
      <c r="M44" s="56"/>
      <c r="N44" s="56"/>
      <c r="O44" s="56"/>
    </row>
  </sheetData>
  <mergeCells count="12">
    <mergeCell ref="G31:G32"/>
    <mergeCell ref="Q4:U4"/>
    <mergeCell ref="Q5:U5"/>
    <mergeCell ref="Q23:R23"/>
    <mergeCell ref="A1:M1"/>
    <mergeCell ref="A2:M2"/>
    <mergeCell ref="A3:M3"/>
    <mergeCell ref="L5:N5"/>
    <mergeCell ref="B31:B32"/>
    <mergeCell ref="D31:E31"/>
    <mergeCell ref="G5:K5"/>
    <mergeCell ref="B5:F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topLeftCell="F21" workbookViewId="0">
      <selection activeCell="N20" sqref="N20"/>
    </sheetView>
  </sheetViews>
  <sheetFormatPr defaultRowHeight="15" x14ac:dyDescent="0.25"/>
  <cols>
    <col min="2" max="2" width="16.28515625" customWidth="1"/>
    <col min="6" max="6" width="16.5703125" customWidth="1"/>
    <col min="7" max="7" width="20.28515625" customWidth="1"/>
    <col min="8" max="8" width="13.7109375" customWidth="1"/>
    <col min="10" max="10" width="13.85546875" customWidth="1"/>
    <col min="11" max="11" width="25.140625" customWidth="1"/>
    <col min="12" max="12" width="23.28515625" customWidth="1"/>
    <col min="14" max="14" width="13.7109375" customWidth="1"/>
    <col min="18" max="18" width="21.140625" customWidth="1"/>
    <col min="21" max="21" width="16.7109375" customWidth="1"/>
  </cols>
  <sheetData>
    <row r="1" spans="1:21" ht="20.25" x14ac:dyDescent="0.25">
      <c r="A1" s="188" t="s">
        <v>99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56"/>
      <c r="O1" s="56"/>
    </row>
    <row r="2" spans="1:21" ht="20.25" x14ac:dyDescent="0.25">
      <c r="A2" s="188" t="s">
        <v>100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56"/>
      <c r="O2" s="56"/>
    </row>
    <row r="3" spans="1:21" ht="20.25" x14ac:dyDescent="0.25">
      <c r="A3" s="188" t="s">
        <v>155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56"/>
      <c r="O3" s="56"/>
    </row>
    <row r="4" spans="1:21" ht="27" thickBot="1" x14ac:dyDescent="0.3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6"/>
      <c r="O4" s="56"/>
      <c r="Q4" s="166" t="s">
        <v>1</v>
      </c>
      <c r="R4" s="166"/>
      <c r="S4" s="166"/>
      <c r="T4" s="166"/>
      <c r="U4" s="166"/>
    </row>
    <row r="5" spans="1:21" ht="19.5" thickBot="1" x14ac:dyDescent="0.3">
      <c r="A5" s="58"/>
      <c r="B5" s="195" t="s">
        <v>102</v>
      </c>
      <c r="C5" s="189"/>
      <c r="D5" s="189"/>
      <c r="E5" s="189"/>
      <c r="F5" s="190"/>
      <c r="G5" s="189" t="s">
        <v>103</v>
      </c>
      <c r="H5" s="189"/>
      <c r="I5" s="189"/>
      <c r="J5" s="189"/>
      <c r="K5" s="190"/>
      <c r="L5" s="189" t="s">
        <v>104</v>
      </c>
      <c r="M5" s="189"/>
      <c r="N5" s="190"/>
      <c r="O5" s="56"/>
      <c r="Q5" s="187" t="s">
        <v>155</v>
      </c>
      <c r="R5" s="164"/>
      <c r="S5" s="164"/>
      <c r="T5" s="164"/>
      <c r="U5" s="164"/>
    </row>
    <row r="6" spans="1:21" ht="15.75" thickBot="1" x14ac:dyDescent="0.3">
      <c r="A6" s="59"/>
      <c r="B6" s="60" t="s">
        <v>105</v>
      </c>
      <c r="C6" s="61" t="s">
        <v>106</v>
      </c>
      <c r="D6" s="61" t="s">
        <v>107</v>
      </c>
      <c r="E6" s="62" t="s">
        <v>108</v>
      </c>
      <c r="F6" s="151" t="s">
        <v>109</v>
      </c>
      <c r="G6" s="66" t="s">
        <v>110</v>
      </c>
      <c r="H6" s="64" t="s">
        <v>8</v>
      </c>
      <c r="I6" s="64" t="s">
        <v>111</v>
      </c>
      <c r="J6" s="64" t="s">
        <v>107</v>
      </c>
      <c r="K6" s="65" t="s">
        <v>112</v>
      </c>
      <c r="L6" s="66" t="s">
        <v>110</v>
      </c>
      <c r="M6" s="64" t="s">
        <v>111</v>
      </c>
      <c r="N6" s="65" t="s">
        <v>107</v>
      </c>
      <c r="O6" s="59"/>
      <c r="Q6" s="143" t="s">
        <v>2</v>
      </c>
      <c r="R6" s="4" t="s">
        <v>6</v>
      </c>
      <c r="S6" s="144" t="s">
        <v>7</v>
      </c>
      <c r="T6" s="4" t="s">
        <v>8</v>
      </c>
      <c r="U6" s="4" t="s">
        <v>9</v>
      </c>
    </row>
    <row r="7" spans="1:21" ht="15.75" thickTop="1" x14ac:dyDescent="0.25">
      <c r="A7" s="67"/>
      <c r="B7" s="68" t="s">
        <v>113</v>
      </c>
      <c r="C7" s="69">
        <v>38030</v>
      </c>
      <c r="D7" s="70">
        <v>37103</v>
      </c>
      <c r="E7" s="71">
        <v>9000</v>
      </c>
      <c r="F7" s="152">
        <f>C7*E7</f>
        <v>342270000</v>
      </c>
      <c r="G7" s="73" t="s">
        <v>131</v>
      </c>
      <c r="H7" s="74">
        <v>11000</v>
      </c>
      <c r="I7" s="136"/>
      <c r="J7" s="137">
        <v>9080</v>
      </c>
      <c r="K7" s="75">
        <f>J7*H7</f>
        <v>99880000</v>
      </c>
      <c r="L7" s="76" t="s">
        <v>114</v>
      </c>
      <c r="M7" s="70"/>
      <c r="N7" s="75"/>
      <c r="O7" s="77"/>
      <c r="Q7" s="6">
        <v>1</v>
      </c>
      <c r="R7" s="7" t="s">
        <v>58</v>
      </c>
      <c r="S7" s="8"/>
      <c r="T7" s="9"/>
      <c r="U7" s="10">
        <v>50000</v>
      </c>
    </row>
    <row r="8" spans="1:21" x14ac:dyDescent="0.25">
      <c r="A8" s="56"/>
      <c r="B8" s="78"/>
      <c r="C8" s="69"/>
      <c r="D8" s="70"/>
      <c r="E8" s="71"/>
      <c r="F8" s="152"/>
      <c r="G8" s="73" t="s">
        <v>132</v>
      </c>
      <c r="H8" s="74">
        <v>11000</v>
      </c>
      <c r="I8" s="137"/>
      <c r="J8" s="137">
        <v>3690</v>
      </c>
      <c r="K8" s="75">
        <f t="shared" ref="K8:K24" si="0">J8*H8</f>
        <v>40590000</v>
      </c>
      <c r="L8" s="80" t="s">
        <v>152</v>
      </c>
      <c r="M8" s="80">
        <v>80</v>
      </c>
      <c r="N8" s="81">
        <f>M8/4</f>
        <v>20</v>
      </c>
      <c r="O8" s="56"/>
      <c r="Q8" s="6">
        <v>2</v>
      </c>
      <c r="R8" s="7" t="s">
        <v>156</v>
      </c>
      <c r="S8" s="21"/>
      <c r="T8" s="9"/>
      <c r="U8" s="10">
        <v>200000</v>
      </c>
    </row>
    <row r="9" spans="1:21" x14ac:dyDescent="0.25">
      <c r="A9" s="56"/>
      <c r="B9" s="78"/>
      <c r="C9" s="69"/>
      <c r="D9" s="70"/>
      <c r="E9" s="71"/>
      <c r="F9" s="152"/>
      <c r="G9" s="73" t="s">
        <v>133</v>
      </c>
      <c r="H9" s="74">
        <v>10000</v>
      </c>
      <c r="I9" s="137"/>
      <c r="J9" s="137">
        <v>4414</v>
      </c>
      <c r="K9" s="75">
        <f t="shared" si="0"/>
        <v>44140000</v>
      </c>
      <c r="L9" s="80" t="s">
        <v>153</v>
      </c>
      <c r="M9" s="80">
        <v>25</v>
      </c>
      <c r="N9" s="81">
        <f>M9/4</f>
        <v>6.25</v>
      </c>
      <c r="O9" s="56"/>
      <c r="Q9" s="6">
        <v>3</v>
      </c>
      <c r="R9" s="7" t="s">
        <v>157</v>
      </c>
      <c r="S9" s="21"/>
      <c r="T9" s="9"/>
      <c r="U9" s="10">
        <v>1517000</v>
      </c>
    </row>
    <row r="10" spans="1:21" x14ac:dyDescent="0.25">
      <c r="A10" s="56"/>
      <c r="B10" s="78"/>
      <c r="C10" s="69"/>
      <c r="D10" s="70"/>
      <c r="E10" s="71"/>
      <c r="F10" s="152"/>
      <c r="G10" s="73" t="s">
        <v>134</v>
      </c>
      <c r="H10" s="74">
        <v>10000</v>
      </c>
      <c r="I10" s="137"/>
      <c r="J10" s="137">
        <v>2790</v>
      </c>
      <c r="K10" s="75">
        <f t="shared" si="0"/>
        <v>27900000</v>
      </c>
      <c r="L10" s="80"/>
      <c r="M10" s="80"/>
      <c r="N10" s="81"/>
      <c r="O10" s="56"/>
      <c r="Q10" s="6">
        <v>4</v>
      </c>
      <c r="R10" s="7" t="s">
        <v>82</v>
      </c>
      <c r="S10" s="21"/>
      <c r="T10" s="9"/>
      <c r="U10" s="10">
        <v>44000</v>
      </c>
    </row>
    <row r="11" spans="1:21" x14ac:dyDescent="0.25">
      <c r="A11" s="56"/>
      <c r="B11" s="78"/>
      <c r="C11" s="69"/>
      <c r="D11" s="70"/>
      <c r="E11" s="71"/>
      <c r="F11" s="152"/>
      <c r="G11" s="73" t="s">
        <v>135</v>
      </c>
      <c r="H11" s="74">
        <v>10000</v>
      </c>
      <c r="I11" s="137"/>
      <c r="J11" s="137">
        <v>575</v>
      </c>
      <c r="K11" s="75">
        <f t="shared" si="0"/>
        <v>5750000</v>
      </c>
      <c r="L11" s="80"/>
      <c r="M11" s="80"/>
      <c r="N11" s="81"/>
      <c r="O11" s="56"/>
      <c r="Q11" s="6">
        <v>5</v>
      </c>
      <c r="R11" s="7" t="s">
        <v>57</v>
      </c>
      <c r="S11" s="21"/>
      <c r="T11" s="9"/>
      <c r="U11" s="10">
        <v>1700000</v>
      </c>
    </row>
    <row r="12" spans="1:21" x14ac:dyDescent="0.25">
      <c r="A12" s="56"/>
      <c r="B12" s="78"/>
      <c r="C12" s="69"/>
      <c r="D12" s="70"/>
      <c r="E12" s="71"/>
      <c r="F12" s="152"/>
      <c r="G12" s="73" t="s">
        <v>136</v>
      </c>
      <c r="H12" s="74">
        <v>11000</v>
      </c>
      <c r="I12" s="137"/>
      <c r="J12" s="137">
        <v>700</v>
      </c>
      <c r="K12" s="75">
        <f t="shared" si="0"/>
        <v>7700000</v>
      </c>
      <c r="L12" s="80"/>
      <c r="M12" s="80"/>
      <c r="N12" s="81"/>
      <c r="O12" s="56"/>
      <c r="Q12" s="6">
        <v>6</v>
      </c>
      <c r="R12" s="7" t="s">
        <v>158</v>
      </c>
      <c r="S12" s="21"/>
      <c r="T12" s="9"/>
      <c r="U12" s="10">
        <v>38000</v>
      </c>
    </row>
    <row r="13" spans="1:21" x14ac:dyDescent="0.25">
      <c r="A13" s="56"/>
      <c r="B13" s="78"/>
      <c r="C13" s="69"/>
      <c r="D13" s="70"/>
      <c r="E13" s="71"/>
      <c r="F13" s="152"/>
      <c r="G13" s="73" t="s">
        <v>137</v>
      </c>
      <c r="H13" s="74">
        <v>10000</v>
      </c>
      <c r="I13" s="137"/>
      <c r="J13" s="137">
        <v>1320</v>
      </c>
      <c r="K13" s="75">
        <f t="shared" si="0"/>
        <v>13200000</v>
      </c>
      <c r="L13" s="80"/>
      <c r="M13" s="80"/>
      <c r="N13" s="81"/>
      <c r="O13" s="56"/>
      <c r="Q13" s="6">
        <v>7</v>
      </c>
      <c r="R13" s="7" t="s">
        <v>63</v>
      </c>
      <c r="S13" s="21"/>
      <c r="T13" s="9"/>
      <c r="U13" s="10">
        <v>240000</v>
      </c>
    </row>
    <row r="14" spans="1:21" x14ac:dyDescent="0.25">
      <c r="A14" s="56"/>
      <c r="B14" s="78"/>
      <c r="C14" s="69"/>
      <c r="D14" s="70"/>
      <c r="E14" s="71"/>
      <c r="F14" s="152"/>
      <c r="G14" s="73" t="s">
        <v>138</v>
      </c>
      <c r="H14" s="74">
        <v>10000</v>
      </c>
      <c r="I14" s="137"/>
      <c r="J14" s="137">
        <v>300</v>
      </c>
      <c r="K14" s="75">
        <f t="shared" si="0"/>
        <v>3000000</v>
      </c>
      <c r="L14" s="80"/>
      <c r="M14" s="80"/>
      <c r="N14" s="81"/>
      <c r="O14" s="56"/>
      <c r="Q14" s="6">
        <v>8</v>
      </c>
      <c r="R14" s="7" t="s">
        <v>159</v>
      </c>
      <c r="S14" s="21"/>
      <c r="T14" s="9"/>
      <c r="U14" s="10">
        <v>78000</v>
      </c>
    </row>
    <row r="15" spans="1:21" x14ac:dyDescent="0.25">
      <c r="A15" s="56"/>
      <c r="B15" s="78"/>
      <c r="C15" s="69"/>
      <c r="D15" s="70"/>
      <c r="E15" s="71"/>
      <c r="F15" s="152"/>
      <c r="G15" s="73" t="s">
        <v>139</v>
      </c>
      <c r="H15" s="74">
        <v>11000</v>
      </c>
      <c r="I15" s="137"/>
      <c r="J15" s="137">
        <v>181</v>
      </c>
      <c r="K15" s="75">
        <f t="shared" si="0"/>
        <v>1991000</v>
      </c>
      <c r="L15" s="80"/>
      <c r="M15" s="80"/>
      <c r="N15" s="81"/>
      <c r="O15" s="56"/>
      <c r="Q15" s="6">
        <v>9</v>
      </c>
      <c r="R15" s="7" t="s">
        <v>160</v>
      </c>
      <c r="S15" s="21"/>
      <c r="T15" s="9"/>
      <c r="U15" s="10">
        <v>30000</v>
      </c>
    </row>
    <row r="16" spans="1:21" x14ac:dyDescent="0.25">
      <c r="A16" s="56"/>
      <c r="B16" s="78"/>
      <c r="C16" s="69"/>
      <c r="D16" s="70"/>
      <c r="E16" s="71"/>
      <c r="F16" s="152"/>
      <c r="G16" s="73" t="s">
        <v>140</v>
      </c>
      <c r="H16" s="74">
        <v>10000</v>
      </c>
      <c r="I16" s="137"/>
      <c r="J16" s="137"/>
      <c r="K16" s="75">
        <f t="shared" si="0"/>
        <v>0</v>
      </c>
      <c r="L16" s="82" t="s">
        <v>7</v>
      </c>
      <c r="M16" s="83">
        <f>SUM(M8:M15)</f>
        <v>105</v>
      </c>
      <c r="N16" s="84">
        <f>SUM(N8:N15)</f>
        <v>26.25</v>
      </c>
      <c r="O16" s="56"/>
      <c r="Q16" s="6">
        <v>10</v>
      </c>
      <c r="R16" s="7" t="s">
        <v>161</v>
      </c>
      <c r="S16" s="21"/>
      <c r="T16" s="9"/>
      <c r="U16" s="10">
        <v>375000</v>
      </c>
    </row>
    <row r="17" spans="1:21" x14ac:dyDescent="0.25">
      <c r="A17" s="56"/>
      <c r="B17" s="78"/>
      <c r="C17" s="69"/>
      <c r="D17" s="70"/>
      <c r="E17" s="71"/>
      <c r="F17" s="152"/>
      <c r="G17" s="73" t="s">
        <v>141</v>
      </c>
      <c r="H17" s="74">
        <v>12000</v>
      </c>
      <c r="I17" s="137"/>
      <c r="J17" s="137">
        <v>128</v>
      </c>
      <c r="K17" s="75">
        <f t="shared" si="0"/>
        <v>1536000</v>
      </c>
      <c r="L17" s="76" t="s">
        <v>115</v>
      </c>
      <c r="M17" s="80"/>
      <c r="N17" s="81"/>
      <c r="O17" s="56"/>
      <c r="Q17" s="6">
        <v>11</v>
      </c>
      <c r="R17" s="7" t="s">
        <v>84</v>
      </c>
      <c r="S17" s="21"/>
      <c r="T17" s="9"/>
      <c r="U17" s="10">
        <v>99000</v>
      </c>
    </row>
    <row r="18" spans="1:21" x14ac:dyDescent="0.25">
      <c r="A18" s="56"/>
      <c r="B18" s="78"/>
      <c r="C18" s="69"/>
      <c r="D18" s="70"/>
      <c r="E18" s="71"/>
      <c r="F18" s="152"/>
      <c r="G18" s="73" t="s">
        <v>142</v>
      </c>
      <c r="H18" s="74">
        <v>10000</v>
      </c>
      <c r="I18" s="137"/>
      <c r="J18" s="137">
        <v>357.8</v>
      </c>
      <c r="K18" s="75">
        <f>J18*H18</f>
        <v>3578000</v>
      </c>
      <c r="L18" s="155" t="s">
        <v>151</v>
      </c>
      <c r="M18" s="80"/>
      <c r="N18" s="81">
        <v>250</v>
      </c>
      <c r="O18" s="56"/>
      <c r="Q18" s="6">
        <v>12</v>
      </c>
      <c r="R18" s="24" t="s">
        <v>162</v>
      </c>
      <c r="S18" s="21"/>
      <c r="T18" s="25"/>
      <c r="U18" s="10">
        <v>40000</v>
      </c>
    </row>
    <row r="19" spans="1:21" x14ac:dyDescent="0.25">
      <c r="A19" s="56"/>
      <c r="B19" s="78"/>
      <c r="C19" s="69"/>
      <c r="D19" s="70"/>
      <c r="E19" s="71"/>
      <c r="F19" s="152"/>
      <c r="G19" s="73" t="s">
        <v>143</v>
      </c>
      <c r="H19" s="74">
        <v>12000</v>
      </c>
      <c r="I19" s="137"/>
      <c r="J19" s="137">
        <v>7164.81</v>
      </c>
      <c r="K19" s="75">
        <f>J19*H19</f>
        <v>85977720</v>
      </c>
      <c r="L19" s="155" t="s">
        <v>144</v>
      </c>
      <c r="M19" s="80"/>
      <c r="N19" s="81">
        <v>1629.64</v>
      </c>
      <c r="O19" s="56"/>
      <c r="Q19" s="6">
        <v>13</v>
      </c>
      <c r="R19" s="7" t="s">
        <v>163</v>
      </c>
      <c r="S19" s="21"/>
      <c r="T19" s="25"/>
      <c r="U19" s="10">
        <v>523000</v>
      </c>
    </row>
    <row r="20" spans="1:21" x14ac:dyDescent="0.25">
      <c r="A20" s="56"/>
      <c r="B20" s="78"/>
      <c r="C20" s="69"/>
      <c r="D20" s="70"/>
      <c r="E20" s="71"/>
      <c r="F20" s="152"/>
      <c r="G20" s="73"/>
      <c r="H20" s="74"/>
      <c r="I20" s="137"/>
      <c r="J20" s="137"/>
      <c r="K20" s="75">
        <f t="shared" si="0"/>
        <v>0</v>
      </c>
      <c r="L20" s="155" t="s">
        <v>145</v>
      </c>
      <c r="M20" s="80"/>
      <c r="N20" s="81">
        <v>80</v>
      </c>
      <c r="O20" s="56"/>
      <c r="Q20" s="6">
        <v>14</v>
      </c>
      <c r="R20" s="7" t="s">
        <v>59</v>
      </c>
      <c r="S20" s="21"/>
      <c r="T20" s="25"/>
      <c r="U20" s="10">
        <v>1500000</v>
      </c>
    </row>
    <row r="21" spans="1:21" x14ac:dyDescent="0.25">
      <c r="A21" s="56"/>
      <c r="B21" s="78"/>
      <c r="C21" s="69"/>
      <c r="D21" s="70"/>
      <c r="E21" s="71"/>
      <c r="F21" s="152"/>
      <c r="G21" s="73"/>
      <c r="H21" s="74"/>
      <c r="I21" s="137"/>
      <c r="J21" s="137"/>
      <c r="K21" s="75">
        <f t="shared" si="0"/>
        <v>0</v>
      </c>
      <c r="L21" s="155" t="s">
        <v>146</v>
      </c>
      <c r="M21" s="80"/>
      <c r="N21" s="81">
        <v>1978.46</v>
      </c>
      <c r="O21" s="56"/>
      <c r="Q21" s="6">
        <v>15</v>
      </c>
      <c r="R21" s="7" t="s">
        <v>164</v>
      </c>
      <c r="S21" s="21"/>
      <c r="T21" s="25"/>
      <c r="U21" s="10">
        <v>23000</v>
      </c>
    </row>
    <row r="22" spans="1:21" ht="15.75" thickBot="1" x14ac:dyDescent="0.3">
      <c r="A22" s="56"/>
      <c r="B22" s="78"/>
      <c r="C22" s="69"/>
      <c r="D22" s="70"/>
      <c r="E22" s="71"/>
      <c r="F22" s="152"/>
      <c r="G22" s="73"/>
      <c r="H22" s="74"/>
      <c r="I22" s="137"/>
      <c r="J22" s="137"/>
      <c r="K22" s="75">
        <f t="shared" si="0"/>
        <v>0</v>
      </c>
      <c r="L22" s="76"/>
      <c r="M22" s="80"/>
      <c r="N22" s="81"/>
      <c r="O22" s="56"/>
      <c r="Q22" s="6">
        <v>16</v>
      </c>
      <c r="R22" s="27" t="s">
        <v>64</v>
      </c>
      <c r="S22" s="28"/>
      <c r="T22" s="25"/>
      <c r="U22" s="10">
        <v>150000</v>
      </c>
    </row>
    <row r="23" spans="1:21" ht="15.75" thickBot="1" x14ac:dyDescent="0.3">
      <c r="A23" s="56"/>
      <c r="B23" s="78"/>
      <c r="C23" s="69"/>
      <c r="D23" s="70"/>
      <c r="E23" s="71"/>
      <c r="F23" s="152"/>
      <c r="G23" s="73"/>
      <c r="H23" s="74"/>
      <c r="I23" s="137"/>
      <c r="J23" s="137"/>
      <c r="K23" s="75">
        <f t="shared" si="0"/>
        <v>0</v>
      </c>
      <c r="L23" s="76"/>
      <c r="M23" s="80"/>
      <c r="N23" s="81"/>
      <c r="O23" s="56"/>
      <c r="Q23" s="169" t="s">
        <v>9</v>
      </c>
      <c r="R23" s="170"/>
      <c r="S23" s="145"/>
      <c r="T23" s="31"/>
      <c r="U23" s="32">
        <f>SUM(U7:U22)</f>
        <v>6607000</v>
      </c>
    </row>
    <row r="24" spans="1:21" x14ac:dyDescent="0.25">
      <c r="A24" s="56"/>
      <c r="B24" s="78"/>
      <c r="C24" s="69"/>
      <c r="D24" s="70"/>
      <c r="E24" s="71"/>
      <c r="F24" s="152"/>
      <c r="G24" s="85"/>
      <c r="H24" s="86"/>
      <c r="I24" s="138"/>
      <c r="J24" s="138"/>
      <c r="K24" s="147">
        <f t="shared" si="0"/>
        <v>0</v>
      </c>
      <c r="L24" s="80"/>
      <c r="M24" s="80"/>
      <c r="N24" s="81"/>
      <c r="O24" s="56"/>
      <c r="Q24" s="146"/>
      <c r="R24" s="2"/>
      <c r="S24" s="146"/>
      <c r="T24" s="2"/>
      <c r="U24" s="2"/>
    </row>
    <row r="25" spans="1:21" x14ac:dyDescent="0.25">
      <c r="A25" s="56"/>
      <c r="B25" s="78"/>
      <c r="C25" s="69"/>
      <c r="D25" s="70"/>
      <c r="E25" s="71"/>
      <c r="F25" s="152"/>
      <c r="G25" s="73" t="s">
        <v>116</v>
      </c>
      <c r="H25" s="87"/>
      <c r="I25" s="139"/>
      <c r="J25" s="137">
        <f>SUM(J7:J24)</f>
        <v>30700.61</v>
      </c>
      <c r="K25" s="88">
        <f>SUM(K7:K24)</f>
        <v>335242720</v>
      </c>
      <c r="L25" s="80"/>
      <c r="M25" s="80"/>
      <c r="N25" s="81"/>
      <c r="O25" s="56"/>
    </row>
    <row r="26" spans="1:21" x14ac:dyDescent="0.25">
      <c r="A26" s="56"/>
      <c r="B26" s="78"/>
      <c r="C26" s="69"/>
      <c r="D26" s="70"/>
      <c r="E26" s="71"/>
      <c r="F26" s="152"/>
      <c r="G26" s="73" t="s">
        <v>117</v>
      </c>
      <c r="H26" s="74">
        <v>7565</v>
      </c>
      <c r="I26" s="137">
        <v>728</v>
      </c>
      <c r="J26" s="137">
        <f>I26/3</f>
        <v>242.66666666666666</v>
      </c>
      <c r="K26" s="79">
        <f>H26*I26</f>
        <v>5507320</v>
      </c>
      <c r="L26" s="82" t="s">
        <v>7</v>
      </c>
      <c r="M26" s="89"/>
      <c r="N26" s="84">
        <f>SUM(N18:N25)</f>
        <v>3938.1000000000004</v>
      </c>
      <c r="O26" s="56"/>
    </row>
    <row r="27" spans="1:21" ht="15.75" thickBot="1" x14ac:dyDescent="0.3">
      <c r="A27" s="56"/>
      <c r="B27" s="90"/>
      <c r="C27" s="91"/>
      <c r="D27" s="92"/>
      <c r="E27" s="93"/>
      <c r="F27" s="153"/>
      <c r="G27" s="95" t="s">
        <v>114</v>
      </c>
      <c r="H27" s="96">
        <v>8000</v>
      </c>
      <c r="I27" s="140">
        <v>2814</v>
      </c>
      <c r="J27" s="140">
        <f>I27/4</f>
        <v>703.5</v>
      </c>
      <c r="K27" s="97">
        <f>H27*I27</f>
        <v>22512000</v>
      </c>
      <c r="L27" s="98"/>
      <c r="M27" s="98"/>
      <c r="N27" s="99"/>
      <c r="O27" s="56"/>
    </row>
    <row r="28" spans="1:21" ht="16.5" thickTop="1" thickBot="1" x14ac:dyDescent="0.3">
      <c r="A28" s="100"/>
      <c r="B28" s="101" t="s">
        <v>118</v>
      </c>
      <c r="C28" s="102">
        <f>SUM(C7:C27)</f>
        <v>38030</v>
      </c>
      <c r="D28" s="102">
        <f>SUM(D7:D27)</f>
        <v>37103</v>
      </c>
      <c r="E28" s="103">
        <f>SUM(E7:E27)</f>
        <v>9000</v>
      </c>
      <c r="F28" s="154">
        <f>SUM(F7:F27)</f>
        <v>342270000</v>
      </c>
      <c r="G28" s="150" t="s">
        <v>119</v>
      </c>
      <c r="H28" s="104"/>
      <c r="I28" s="141"/>
      <c r="J28" s="142">
        <f>SUM(J25:J27)</f>
        <v>31646.776666666668</v>
      </c>
      <c r="K28" s="105">
        <f>SUM(K25:K27)</f>
        <v>363262040</v>
      </c>
      <c r="L28" s="106" t="s">
        <v>120</v>
      </c>
      <c r="M28" s="107">
        <f>M16+M26</f>
        <v>105</v>
      </c>
      <c r="N28" s="108">
        <f>N16+N26</f>
        <v>3964.3500000000004</v>
      </c>
      <c r="O28" s="100"/>
      <c r="R28" s="148">
        <v>0</v>
      </c>
    </row>
    <row r="29" spans="1:21" x14ac:dyDescent="0.25">
      <c r="A29" s="56"/>
      <c r="B29" s="109"/>
      <c r="C29" s="109"/>
      <c r="D29" s="109"/>
      <c r="E29" s="109"/>
      <c r="F29" s="56"/>
      <c r="G29" s="56"/>
      <c r="H29" s="56"/>
      <c r="I29" s="56"/>
      <c r="J29" s="56"/>
      <c r="K29" s="77"/>
      <c r="L29" s="56"/>
      <c r="M29" s="56"/>
      <c r="N29" s="56"/>
      <c r="O29" s="56"/>
      <c r="R29" s="148">
        <v>0</v>
      </c>
    </row>
    <row r="30" spans="1:21" ht="15.75" thickBot="1" x14ac:dyDescent="0.3">
      <c r="A30" s="56"/>
      <c r="B30" s="109"/>
      <c r="C30" s="109"/>
      <c r="D30" s="109"/>
      <c r="E30" s="109"/>
      <c r="F30" s="56"/>
      <c r="G30" s="56"/>
      <c r="H30" s="56"/>
      <c r="I30" s="56"/>
      <c r="J30" s="56"/>
      <c r="K30" s="56"/>
      <c r="L30" s="56"/>
      <c r="M30" s="56"/>
      <c r="N30" s="56"/>
      <c r="O30" s="56"/>
      <c r="R30" s="149"/>
    </row>
    <row r="31" spans="1:21" x14ac:dyDescent="0.25">
      <c r="A31" s="56"/>
      <c r="B31" s="191" t="s">
        <v>110</v>
      </c>
      <c r="C31" s="110"/>
      <c r="D31" s="193" t="s">
        <v>114</v>
      </c>
      <c r="E31" s="194"/>
      <c r="F31" s="111" t="s">
        <v>115</v>
      </c>
      <c r="G31" s="185" t="s">
        <v>121</v>
      </c>
      <c r="H31" s="56"/>
      <c r="I31" s="56"/>
      <c r="J31" s="56"/>
      <c r="K31" s="56"/>
      <c r="L31" s="56"/>
      <c r="M31" s="56"/>
      <c r="N31" s="56"/>
      <c r="O31" s="56"/>
      <c r="R31" s="148"/>
    </row>
    <row r="32" spans="1:21" ht="15.75" thickBot="1" x14ac:dyDescent="0.3">
      <c r="A32" s="56"/>
      <c r="B32" s="192"/>
      <c r="C32" s="112"/>
      <c r="D32" s="63" t="s">
        <v>111</v>
      </c>
      <c r="E32" s="62" t="s">
        <v>107</v>
      </c>
      <c r="F32" s="113" t="s">
        <v>107</v>
      </c>
      <c r="G32" s="186"/>
      <c r="H32" s="56"/>
      <c r="I32" s="56"/>
      <c r="J32" s="56"/>
      <c r="K32" s="56" t="s">
        <v>154</v>
      </c>
      <c r="L32" s="56"/>
      <c r="M32" s="56"/>
      <c r="N32" s="56"/>
      <c r="O32" s="56"/>
    </row>
    <row r="33" spans="1:15" ht="15.75" thickTop="1" x14ac:dyDescent="0.25">
      <c r="A33" s="56"/>
      <c r="B33" s="114" t="s">
        <v>123</v>
      </c>
      <c r="C33" s="71"/>
      <c r="D33" s="72">
        <v>128</v>
      </c>
      <c r="E33" s="71">
        <f>D33/4</f>
        <v>32</v>
      </c>
      <c r="F33" s="115">
        <v>10</v>
      </c>
      <c r="G33" s="116">
        <f>E33+F33</f>
        <v>42</v>
      </c>
      <c r="H33" s="56"/>
      <c r="I33" s="56"/>
      <c r="J33" s="56"/>
      <c r="K33" s="56"/>
      <c r="L33" s="56"/>
      <c r="M33" s="56"/>
      <c r="N33" s="56"/>
      <c r="O33" s="56"/>
    </row>
    <row r="34" spans="1:15" x14ac:dyDescent="0.25">
      <c r="A34" s="56"/>
      <c r="B34" s="114" t="s">
        <v>124</v>
      </c>
      <c r="C34" s="71"/>
      <c r="D34" s="72"/>
      <c r="E34" s="71"/>
      <c r="F34" s="115">
        <v>37103</v>
      </c>
      <c r="G34" s="116">
        <f t="shared" ref="G34:G35" si="1">E34+F34</f>
        <v>37103</v>
      </c>
      <c r="H34" s="56"/>
      <c r="I34" s="56"/>
      <c r="J34" s="56"/>
      <c r="K34" s="56"/>
      <c r="L34" s="56"/>
      <c r="M34" s="56"/>
      <c r="N34" s="56"/>
      <c r="O34" s="56"/>
    </row>
    <row r="35" spans="1:15" x14ac:dyDescent="0.25">
      <c r="A35" s="56"/>
      <c r="B35" s="117" t="s">
        <v>125</v>
      </c>
      <c r="C35" s="118"/>
      <c r="D35" s="119">
        <v>2968</v>
      </c>
      <c r="E35" s="118">
        <f>D35/4</f>
        <v>742</v>
      </c>
      <c r="F35" s="120">
        <f>-E35</f>
        <v>-742</v>
      </c>
      <c r="G35" s="121">
        <f t="shared" si="1"/>
        <v>0</v>
      </c>
      <c r="H35" s="56"/>
      <c r="I35" s="56"/>
      <c r="J35" s="56"/>
      <c r="K35" s="56"/>
      <c r="L35" s="56"/>
      <c r="M35" s="56"/>
      <c r="N35" s="56"/>
      <c r="O35" s="56"/>
    </row>
    <row r="36" spans="1:15" x14ac:dyDescent="0.25">
      <c r="A36" s="56"/>
      <c r="B36" s="114" t="s">
        <v>126</v>
      </c>
      <c r="C36" s="71"/>
      <c r="D36" s="72">
        <f>SUM(D33:D35)</f>
        <v>3096</v>
      </c>
      <c r="E36" s="71">
        <f>SUM(E33:E35)</f>
        <v>774</v>
      </c>
      <c r="F36" s="115">
        <f>SUM(F33:F35)</f>
        <v>36371</v>
      </c>
      <c r="G36" s="75">
        <f>SUM(G33:G35)</f>
        <v>37145</v>
      </c>
      <c r="H36" s="56"/>
      <c r="I36" s="56"/>
      <c r="J36" s="56"/>
      <c r="K36" s="56"/>
      <c r="L36" s="56"/>
      <c r="M36" s="56"/>
      <c r="N36" s="56"/>
      <c r="O36" s="56"/>
    </row>
    <row r="37" spans="1:15" x14ac:dyDescent="0.25">
      <c r="A37" s="56"/>
      <c r="B37" s="114" t="s">
        <v>127</v>
      </c>
      <c r="C37" s="71"/>
      <c r="D37" s="72"/>
      <c r="E37" s="71"/>
      <c r="F37" s="115"/>
      <c r="G37" s="116"/>
      <c r="H37" s="56"/>
      <c r="I37" s="56"/>
      <c r="J37" s="56"/>
      <c r="K37" s="56"/>
      <c r="L37" s="56"/>
      <c r="M37" s="56"/>
      <c r="N37" s="56"/>
      <c r="O37" s="56"/>
    </row>
    <row r="38" spans="1:15" ht="15.75" x14ac:dyDescent="0.25">
      <c r="A38" s="56"/>
      <c r="B38" s="122" t="s">
        <v>128</v>
      </c>
      <c r="C38" s="71"/>
      <c r="D38" s="72">
        <f>I27</f>
        <v>2814</v>
      </c>
      <c r="E38" s="71">
        <f>J27</f>
        <v>703.5</v>
      </c>
      <c r="F38" s="115">
        <f>J25+J26</f>
        <v>30943.276666666668</v>
      </c>
      <c r="G38" s="116">
        <f>E38+F38</f>
        <v>31646.776666666668</v>
      </c>
      <c r="H38" s="56"/>
      <c r="I38" s="56"/>
      <c r="J38" s="56"/>
      <c r="K38" s="123" t="s">
        <v>40</v>
      </c>
      <c r="L38" s="56"/>
      <c r="M38" s="56"/>
      <c r="N38" s="56"/>
      <c r="O38" s="56"/>
    </row>
    <row r="39" spans="1:15" ht="15.75" thickBot="1" x14ac:dyDescent="0.3">
      <c r="A39" s="56"/>
      <c r="B39" s="124" t="s">
        <v>129</v>
      </c>
      <c r="C39" s="93"/>
      <c r="D39" s="94">
        <f>M16</f>
        <v>105</v>
      </c>
      <c r="E39" s="93">
        <f>N16</f>
        <v>26.25</v>
      </c>
      <c r="F39" s="125">
        <f>N26</f>
        <v>3938.1000000000004</v>
      </c>
      <c r="G39" s="126">
        <f>E39+F39</f>
        <v>3964.3500000000004</v>
      </c>
      <c r="H39" s="127"/>
      <c r="I39" s="127"/>
      <c r="J39" s="56"/>
      <c r="K39" s="56"/>
      <c r="L39" s="56"/>
      <c r="M39" s="127"/>
      <c r="N39" s="56"/>
      <c r="O39" s="56"/>
    </row>
    <row r="40" spans="1:15" ht="17.25" thickTop="1" thickBot="1" x14ac:dyDescent="0.3">
      <c r="A40" s="128"/>
      <c r="B40" s="129" t="s">
        <v>130</v>
      </c>
      <c r="C40" s="130"/>
      <c r="D40" s="131">
        <f>D36-D38-D39</f>
        <v>177</v>
      </c>
      <c r="E40" s="130">
        <f>E36-E38-E39</f>
        <v>44.25</v>
      </c>
      <c r="F40" s="132">
        <f>F36-F38-F39</f>
        <v>1489.6233333333312</v>
      </c>
      <c r="G40" s="133">
        <f>G36-G38-G39</f>
        <v>1533.8733333333312</v>
      </c>
      <c r="H40" s="134"/>
      <c r="I40" s="128"/>
      <c r="J40" s="128"/>
      <c r="K40" s="128"/>
      <c r="L40" s="128"/>
      <c r="M40" s="128"/>
      <c r="N40" s="128"/>
      <c r="O40" s="128"/>
    </row>
    <row r="41" spans="1:15" x14ac:dyDescent="0.25">
      <c r="A41" s="56"/>
      <c r="B41" s="109"/>
      <c r="C41" s="109"/>
      <c r="D41" s="109"/>
      <c r="E41" s="135"/>
      <c r="F41" s="56"/>
      <c r="G41" s="135">
        <f>E40+F40</f>
        <v>1533.8733333333312</v>
      </c>
      <c r="H41" s="56"/>
      <c r="I41" s="56"/>
      <c r="J41" s="56"/>
      <c r="K41" s="56"/>
      <c r="L41" s="56"/>
      <c r="M41" s="56"/>
      <c r="N41" s="56"/>
      <c r="O41" s="56"/>
    </row>
    <row r="42" spans="1:15" x14ac:dyDescent="0.25">
      <c r="A42" s="56"/>
      <c r="B42" s="109"/>
      <c r="C42" s="109"/>
      <c r="D42" s="109"/>
      <c r="E42" s="135"/>
      <c r="F42" s="56"/>
      <c r="G42" s="56"/>
      <c r="H42" s="56"/>
      <c r="I42" s="56"/>
      <c r="J42" s="56"/>
      <c r="K42" s="56"/>
      <c r="L42" s="56"/>
      <c r="M42" s="56"/>
      <c r="N42" s="56"/>
      <c r="O42" s="56"/>
    </row>
    <row r="43" spans="1:15" x14ac:dyDescent="0.25">
      <c r="A43" s="56"/>
      <c r="B43" s="109"/>
      <c r="C43" s="109"/>
      <c r="D43" s="109"/>
      <c r="E43" s="135"/>
      <c r="F43" s="56"/>
      <c r="G43" s="56"/>
      <c r="H43" s="56"/>
      <c r="I43" s="56"/>
      <c r="J43" s="56"/>
      <c r="K43" s="56"/>
      <c r="L43" s="56"/>
      <c r="M43" s="56"/>
      <c r="N43" s="56"/>
      <c r="O43" s="56"/>
    </row>
    <row r="44" spans="1:15" x14ac:dyDescent="0.25">
      <c r="A44" s="56"/>
      <c r="B44" s="109"/>
      <c r="C44" s="109"/>
      <c r="D44" s="109"/>
      <c r="E44" s="109"/>
      <c r="F44" s="135"/>
      <c r="G44" s="56"/>
      <c r="H44" s="56"/>
      <c r="I44" s="56"/>
      <c r="J44" s="56"/>
      <c r="K44" s="56"/>
      <c r="L44" s="56"/>
      <c r="M44" s="56"/>
      <c r="N44" s="56"/>
      <c r="O44" s="56"/>
    </row>
  </sheetData>
  <mergeCells count="12">
    <mergeCell ref="Q23:R23"/>
    <mergeCell ref="B31:B32"/>
    <mergeCell ref="D31:E31"/>
    <mergeCell ref="G31:G32"/>
    <mergeCell ref="A1:M1"/>
    <mergeCell ref="A2:M2"/>
    <mergeCell ref="A3:M3"/>
    <mergeCell ref="Q4:U4"/>
    <mergeCell ref="B5:F5"/>
    <mergeCell ref="G5:K5"/>
    <mergeCell ref="L5:N5"/>
    <mergeCell ref="Q5:U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opLeftCell="D6" workbookViewId="0">
      <selection activeCell="U23" sqref="U23"/>
    </sheetView>
  </sheetViews>
  <sheetFormatPr defaultRowHeight="15" x14ac:dyDescent="0.25"/>
  <cols>
    <col min="6" max="6" width="14.140625" customWidth="1"/>
    <col min="7" max="7" width="23.5703125" customWidth="1"/>
    <col min="11" max="11" width="23.7109375" customWidth="1"/>
    <col min="12" max="12" width="20.7109375" customWidth="1"/>
  </cols>
  <sheetData>
    <row r="1" spans="1:21" ht="20.25" x14ac:dyDescent="0.25">
      <c r="A1" s="188" t="s">
        <v>99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56"/>
      <c r="O1" s="56"/>
    </row>
    <row r="2" spans="1:21" ht="20.25" x14ac:dyDescent="0.25">
      <c r="A2" s="188" t="s">
        <v>100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56"/>
      <c r="O2" s="56"/>
    </row>
    <row r="3" spans="1:21" ht="20.25" x14ac:dyDescent="0.25">
      <c r="A3" s="188" t="s">
        <v>165</v>
      </c>
      <c r="B3" s="188"/>
      <c r="C3" s="188"/>
      <c r="D3" s="188"/>
      <c r="E3" s="188"/>
      <c r="F3" s="188"/>
      <c r="G3" s="188"/>
      <c r="H3" s="188"/>
      <c r="I3" s="188"/>
      <c r="J3" s="188"/>
      <c r="K3" s="188"/>
      <c r="L3" s="188"/>
      <c r="M3" s="188"/>
      <c r="N3" s="56"/>
      <c r="O3" s="56"/>
    </row>
    <row r="4" spans="1:21" ht="27" thickBot="1" x14ac:dyDescent="0.3">
      <c r="A4" s="57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6"/>
      <c r="O4" s="56"/>
      <c r="Q4" s="166" t="s">
        <v>1</v>
      </c>
      <c r="R4" s="166"/>
      <c r="S4" s="166"/>
      <c r="T4" s="166"/>
      <c r="U4" s="166"/>
    </row>
    <row r="5" spans="1:21" ht="19.5" thickBot="1" x14ac:dyDescent="0.3">
      <c r="A5" s="58"/>
      <c r="B5" s="195" t="s">
        <v>102</v>
      </c>
      <c r="C5" s="189"/>
      <c r="D5" s="189"/>
      <c r="E5" s="189"/>
      <c r="F5" s="190"/>
      <c r="G5" s="189" t="s">
        <v>103</v>
      </c>
      <c r="H5" s="189"/>
      <c r="I5" s="189"/>
      <c r="J5" s="189"/>
      <c r="K5" s="190"/>
      <c r="L5" s="189" t="s">
        <v>104</v>
      </c>
      <c r="M5" s="189"/>
      <c r="N5" s="190"/>
      <c r="O5" s="56"/>
      <c r="Q5" s="187" t="s">
        <v>165</v>
      </c>
      <c r="R5" s="164"/>
      <c r="S5" s="164"/>
      <c r="T5" s="164"/>
      <c r="U5" s="164"/>
    </row>
    <row r="6" spans="1:21" ht="15.75" thickBot="1" x14ac:dyDescent="0.3">
      <c r="A6" s="59"/>
      <c r="B6" s="60" t="s">
        <v>105</v>
      </c>
      <c r="C6" s="61" t="s">
        <v>106</v>
      </c>
      <c r="D6" s="61" t="s">
        <v>107</v>
      </c>
      <c r="E6" s="62" t="s">
        <v>108</v>
      </c>
      <c r="F6" s="151" t="s">
        <v>109</v>
      </c>
      <c r="G6" s="66" t="s">
        <v>110</v>
      </c>
      <c r="H6" s="64" t="s">
        <v>8</v>
      </c>
      <c r="I6" s="64" t="s">
        <v>111</v>
      </c>
      <c r="J6" s="64" t="s">
        <v>107</v>
      </c>
      <c r="K6" s="65" t="s">
        <v>112</v>
      </c>
      <c r="L6" s="66" t="s">
        <v>110</v>
      </c>
      <c r="M6" s="64" t="s">
        <v>111</v>
      </c>
      <c r="N6" s="65" t="s">
        <v>107</v>
      </c>
      <c r="O6" s="59"/>
      <c r="Q6" s="156" t="s">
        <v>2</v>
      </c>
      <c r="R6" s="4" t="s">
        <v>6</v>
      </c>
      <c r="S6" s="157" t="s">
        <v>7</v>
      </c>
      <c r="T6" s="4" t="s">
        <v>8</v>
      </c>
      <c r="U6" s="4" t="s">
        <v>9</v>
      </c>
    </row>
    <row r="7" spans="1:21" ht="15.75" thickTop="1" x14ac:dyDescent="0.25">
      <c r="A7" s="67"/>
      <c r="B7" s="68" t="s">
        <v>113</v>
      </c>
      <c r="C7" s="69"/>
      <c r="D7" s="70"/>
      <c r="E7" s="71">
        <v>9000</v>
      </c>
      <c r="F7" s="152">
        <f>C7*E7</f>
        <v>0</v>
      </c>
      <c r="G7" s="73" t="s">
        <v>131</v>
      </c>
      <c r="H7" s="74">
        <v>11000</v>
      </c>
      <c r="I7" s="136"/>
      <c r="J7" s="137"/>
      <c r="K7" s="75">
        <f>J7*H7</f>
        <v>0</v>
      </c>
      <c r="L7" s="76" t="s">
        <v>114</v>
      </c>
      <c r="M7" s="70"/>
      <c r="N7" s="75"/>
      <c r="O7" s="77"/>
      <c r="Q7" s="6">
        <v>1</v>
      </c>
      <c r="R7" s="7"/>
      <c r="S7" s="8"/>
      <c r="T7" s="9"/>
      <c r="U7" s="10"/>
    </row>
    <row r="8" spans="1:21" x14ac:dyDescent="0.25">
      <c r="A8" s="56"/>
      <c r="B8" s="78"/>
      <c r="C8" s="69"/>
      <c r="D8" s="70"/>
      <c r="E8" s="71"/>
      <c r="F8" s="152"/>
      <c r="G8" s="73" t="s">
        <v>132</v>
      </c>
      <c r="H8" s="74">
        <v>11000</v>
      </c>
      <c r="I8" s="137"/>
      <c r="J8" s="137"/>
      <c r="K8" s="75">
        <f t="shared" ref="K8:K24" si="0">J8*H8</f>
        <v>0</v>
      </c>
      <c r="L8" s="80" t="s">
        <v>152</v>
      </c>
      <c r="M8" s="80"/>
      <c r="N8" s="81">
        <f>M8/4</f>
        <v>0</v>
      </c>
      <c r="O8" s="56"/>
      <c r="Q8" s="6">
        <v>2</v>
      </c>
      <c r="R8" s="7"/>
      <c r="S8" s="21"/>
      <c r="T8" s="9"/>
      <c r="U8" s="10"/>
    </row>
    <row r="9" spans="1:21" x14ac:dyDescent="0.25">
      <c r="A9" s="56"/>
      <c r="B9" s="78"/>
      <c r="C9" s="69"/>
      <c r="D9" s="70"/>
      <c r="E9" s="71"/>
      <c r="F9" s="152"/>
      <c r="G9" s="73" t="s">
        <v>133</v>
      </c>
      <c r="H9" s="74">
        <v>10000</v>
      </c>
      <c r="I9" s="137"/>
      <c r="J9" s="137"/>
      <c r="K9" s="75">
        <f t="shared" si="0"/>
        <v>0</v>
      </c>
      <c r="L9" s="80" t="s">
        <v>153</v>
      </c>
      <c r="M9" s="80"/>
      <c r="N9" s="81">
        <f>M9/4</f>
        <v>0</v>
      </c>
      <c r="O9" s="56"/>
      <c r="Q9" s="6">
        <v>3</v>
      </c>
      <c r="R9" s="7"/>
      <c r="S9" s="21"/>
      <c r="T9" s="9"/>
      <c r="U9" s="10"/>
    </row>
    <row r="10" spans="1:21" x14ac:dyDescent="0.25">
      <c r="A10" s="56"/>
      <c r="B10" s="78"/>
      <c r="C10" s="69"/>
      <c r="D10" s="70"/>
      <c r="E10" s="71"/>
      <c r="F10" s="152"/>
      <c r="G10" s="73" t="s">
        <v>134</v>
      </c>
      <c r="H10" s="74">
        <v>10000</v>
      </c>
      <c r="I10" s="137"/>
      <c r="J10" s="137"/>
      <c r="K10" s="75">
        <f t="shared" si="0"/>
        <v>0</v>
      </c>
      <c r="L10" s="80"/>
      <c r="M10" s="80"/>
      <c r="N10" s="81"/>
      <c r="O10" s="56"/>
      <c r="Q10" s="6">
        <v>4</v>
      </c>
      <c r="R10" s="7"/>
      <c r="S10" s="21"/>
      <c r="T10" s="9"/>
      <c r="U10" s="10"/>
    </row>
    <row r="11" spans="1:21" x14ac:dyDescent="0.25">
      <c r="A11" s="56"/>
      <c r="B11" s="78"/>
      <c r="C11" s="69"/>
      <c r="D11" s="70"/>
      <c r="E11" s="71"/>
      <c r="F11" s="152"/>
      <c r="G11" s="73" t="s">
        <v>135</v>
      </c>
      <c r="H11" s="74">
        <v>10000</v>
      </c>
      <c r="I11" s="137"/>
      <c r="J11" s="137"/>
      <c r="K11" s="75">
        <f t="shared" si="0"/>
        <v>0</v>
      </c>
      <c r="L11" s="80"/>
      <c r="M11" s="80"/>
      <c r="N11" s="81"/>
      <c r="O11" s="56"/>
      <c r="Q11" s="6">
        <v>5</v>
      </c>
      <c r="R11" s="7"/>
      <c r="S11" s="21"/>
      <c r="T11" s="9"/>
      <c r="U11" s="10"/>
    </row>
    <row r="12" spans="1:21" x14ac:dyDescent="0.25">
      <c r="A12" s="56"/>
      <c r="B12" s="78"/>
      <c r="C12" s="69"/>
      <c r="D12" s="70"/>
      <c r="E12" s="71"/>
      <c r="F12" s="152"/>
      <c r="G12" s="73" t="s">
        <v>136</v>
      </c>
      <c r="H12" s="74">
        <v>11000</v>
      </c>
      <c r="I12" s="137"/>
      <c r="J12" s="137"/>
      <c r="K12" s="75">
        <f t="shared" si="0"/>
        <v>0</v>
      </c>
      <c r="L12" s="80"/>
      <c r="M12" s="80"/>
      <c r="N12" s="81"/>
      <c r="O12" s="56"/>
      <c r="Q12" s="6">
        <v>6</v>
      </c>
      <c r="R12" s="7"/>
      <c r="S12" s="21"/>
      <c r="T12" s="9"/>
      <c r="U12" s="10"/>
    </row>
    <row r="13" spans="1:21" x14ac:dyDescent="0.25">
      <c r="A13" s="56"/>
      <c r="B13" s="78"/>
      <c r="C13" s="69"/>
      <c r="D13" s="70"/>
      <c r="E13" s="71"/>
      <c r="F13" s="152"/>
      <c r="G13" s="73" t="s">
        <v>137</v>
      </c>
      <c r="H13" s="74">
        <v>10000</v>
      </c>
      <c r="I13" s="137"/>
      <c r="J13" s="137"/>
      <c r="K13" s="75">
        <f t="shared" si="0"/>
        <v>0</v>
      </c>
      <c r="L13" s="80"/>
      <c r="M13" s="80"/>
      <c r="N13" s="81"/>
      <c r="O13" s="56"/>
      <c r="Q13" s="6">
        <v>7</v>
      </c>
      <c r="R13" s="7"/>
      <c r="S13" s="21"/>
      <c r="T13" s="9"/>
      <c r="U13" s="10"/>
    </row>
    <row r="14" spans="1:21" x14ac:dyDescent="0.25">
      <c r="A14" s="56"/>
      <c r="B14" s="78"/>
      <c r="C14" s="69"/>
      <c r="D14" s="70"/>
      <c r="E14" s="71"/>
      <c r="F14" s="152"/>
      <c r="G14" s="73" t="s">
        <v>138</v>
      </c>
      <c r="H14" s="74">
        <v>10000</v>
      </c>
      <c r="I14" s="137"/>
      <c r="J14" s="137"/>
      <c r="K14" s="75">
        <f t="shared" si="0"/>
        <v>0</v>
      </c>
      <c r="L14" s="80"/>
      <c r="M14" s="80"/>
      <c r="N14" s="81"/>
      <c r="O14" s="56"/>
      <c r="Q14" s="6">
        <v>8</v>
      </c>
      <c r="R14" s="7"/>
      <c r="S14" s="21"/>
      <c r="T14" s="9"/>
      <c r="U14" s="10"/>
    </row>
    <row r="15" spans="1:21" x14ac:dyDescent="0.25">
      <c r="A15" s="56"/>
      <c r="B15" s="78"/>
      <c r="C15" s="69"/>
      <c r="D15" s="70"/>
      <c r="E15" s="71"/>
      <c r="F15" s="152"/>
      <c r="G15" s="73" t="s">
        <v>139</v>
      </c>
      <c r="H15" s="74">
        <v>11000</v>
      </c>
      <c r="I15" s="137"/>
      <c r="J15" s="137"/>
      <c r="K15" s="75">
        <f t="shared" si="0"/>
        <v>0</v>
      </c>
      <c r="L15" s="80"/>
      <c r="M15" s="80"/>
      <c r="N15" s="81"/>
      <c r="O15" s="56"/>
      <c r="Q15" s="6">
        <v>9</v>
      </c>
      <c r="R15" s="7"/>
      <c r="S15" s="21"/>
      <c r="T15" s="9"/>
      <c r="U15" s="10"/>
    </row>
    <row r="16" spans="1:21" x14ac:dyDescent="0.25">
      <c r="A16" s="56"/>
      <c r="B16" s="78"/>
      <c r="C16" s="69"/>
      <c r="D16" s="70"/>
      <c r="E16" s="71"/>
      <c r="F16" s="152"/>
      <c r="G16" s="73" t="s">
        <v>140</v>
      </c>
      <c r="H16" s="74">
        <v>10000</v>
      </c>
      <c r="I16" s="137"/>
      <c r="J16" s="137"/>
      <c r="K16" s="75">
        <f t="shared" si="0"/>
        <v>0</v>
      </c>
      <c r="L16" s="82" t="s">
        <v>7</v>
      </c>
      <c r="M16" s="83">
        <f>SUM(M8:M15)</f>
        <v>0</v>
      </c>
      <c r="N16" s="84">
        <f>SUM(N8:N15)</f>
        <v>0</v>
      </c>
      <c r="O16" s="56"/>
      <c r="Q16" s="6">
        <v>10</v>
      </c>
      <c r="R16" s="7"/>
      <c r="S16" s="21"/>
      <c r="T16" s="9"/>
      <c r="U16" s="10"/>
    </row>
    <row r="17" spans="1:21" x14ac:dyDescent="0.25">
      <c r="A17" s="56"/>
      <c r="B17" s="78"/>
      <c r="C17" s="69"/>
      <c r="D17" s="70"/>
      <c r="E17" s="71"/>
      <c r="F17" s="152"/>
      <c r="G17" s="73" t="s">
        <v>141</v>
      </c>
      <c r="H17" s="74">
        <v>12000</v>
      </c>
      <c r="I17" s="137"/>
      <c r="J17" s="137"/>
      <c r="K17" s="75">
        <f t="shared" si="0"/>
        <v>0</v>
      </c>
      <c r="L17" s="76" t="s">
        <v>115</v>
      </c>
      <c r="M17" s="80"/>
      <c r="N17" s="81"/>
      <c r="O17" s="56"/>
      <c r="Q17" s="6">
        <v>11</v>
      </c>
      <c r="R17" s="7"/>
      <c r="S17" s="21"/>
      <c r="T17" s="9"/>
      <c r="U17" s="10"/>
    </row>
    <row r="18" spans="1:21" x14ac:dyDescent="0.25">
      <c r="A18" s="56"/>
      <c r="B18" s="78"/>
      <c r="C18" s="69"/>
      <c r="D18" s="70"/>
      <c r="E18" s="71"/>
      <c r="F18" s="152"/>
      <c r="G18" s="73" t="s">
        <v>142</v>
      </c>
      <c r="H18" s="74">
        <v>10000</v>
      </c>
      <c r="I18" s="137"/>
      <c r="J18" s="137"/>
      <c r="K18" s="75">
        <f>J18*H18</f>
        <v>0</v>
      </c>
      <c r="L18" s="155" t="s">
        <v>151</v>
      </c>
      <c r="M18" s="80"/>
      <c r="N18" s="81"/>
      <c r="O18" s="56"/>
      <c r="Q18" s="6">
        <v>12</v>
      </c>
      <c r="R18" s="24"/>
      <c r="S18" s="21"/>
      <c r="T18" s="25"/>
      <c r="U18" s="10"/>
    </row>
    <row r="19" spans="1:21" x14ac:dyDescent="0.25">
      <c r="A19" s="56"/>
      <c r="B19" s="78"/>
      <c r="C19" s="69"/>
      <c r="D19" s="70"/>
      <c r="E19" s="71"/>
      <c r="F19" s="152"/>
      <c r="G19" s="73" t="s">
        <v>143</v>
      </c>
      <c r="H19" s="74">
        <v>12000</v>
      </c>
      <c r="I19" s="137"/>
      <c r="J19" s="137"/>
      <c r="K19" s="75">
        <f>J19*H19</f>
        <v>0</v>
      </c>
      <c r="L19" s="155" t="s">
        <v>144</v>
      </c>
      <c r="M19" s="80"/>
      <c r="N19" s="81"/>
      <c r="O19" s="56"/>
      <c r="Q19" s="6">
        <v>13</v>
      </c>
      <c r="R19" s="7"/>
      <c r="S19" s="21"/>
      <c r="T19" s="25"/>
      <c r="U19" s="10"/>
    </row>
    <row r="20" spans="1:21" x14ac:dyDescent="0.25">
      <c r="A20" s="56"/>
      <c r="B20" s="78"/>
      <c r="C20" s="69"/>
      <c r="D20" s="70"/>
      <c r="E20" s="71"/>
      <c r="F20" s="152"/>
      <c r="G20" s="73"/>
      <c r="H20" s="74"/>
      <c r="I20" s="137"/>
      <c r="J20" s="137"/>
      <c r="K20" s="75">
        <f t="shared" si="0"/>
        <v>0</v>
      </c>
      <c r="L20" s="155" t="s">
        <v>145</v>
      </c>
      <c r="M20" s="80"/>
      <c r="N20" s="81"/>
      <c r="O20" s="56"/>
      <c r="Q20" s="6">
        <v>14</v>
      </c>
      <c r="R20" s="7"/>
      <c r="S20" s="21"/>
      <c r="T20" s="25"/>
      <c r="U20" s="10"/>
    </row>
    <row r="21" spans="1:21" x14ac:dyDescent="0.25">
      <c r="A21" s="56"/>
      <c r="B21" s="78"/>
      <c r="C21" s="69"/>
      <c r="D21" s="70"/>
      <c r="E21" s="71"/>
      <c r="F21" s="152"/>
      <c r="G21" s="73"/>
      <c r="H21" s="74"/>
      <c r="I21" s="137"/>
      <c r="J21" s="137"/>
      <c r="K21" s="75">
        <f t="shared" si="0"/>
        <v>0</v>
      </c>
      <c r="L21" s="155" t="s">
        <v>146</v>
      </c>
      <c r="M21" s="80"/>
      <c r="N21" s="81"/>
      <c r="O21" s="56"/>
      <c r="Q21" s="6">
        <v>15</v>
      </c>
      <c r="R21" s="7"/>
      <c r="S21" s="21"/>
      <c r="T21" s="25"/>
      <c r="U21" s="10"/>
    </row>
    <row r="22" spans="1:21" ht="15.75" thickBot="1" x14ac:dyDescent="0.3">
      <c r="A22" s="56"/>
      <c r="B22" s="78"/>
      <c r="C22" s="69"/>
      <c r="D22" s="70"/>
      <c r="E22" s="71"/>
      <c r="F22" s="152"/>
      <c r="G22" s="73"/>
      <c r="H22" s="74"/>
      <c r="I22" s="137"/>
      <c r="J22" s="137"/>
      <c r="K22" s="75">
        <f t="shared" si="0"/>
        <v>0</v>
      </c>
      <c r="L22" s="76"/>
      <c r="M22" s="80"/>
      <c r="N22" s="81"/>
      <c r="O22" s="56"/>
      <c r="Q22" s="6">
        <v>16</v>
      </c>
      <c r="R22" s="27"/>
      <c r="S22" s="28"/>
      <c r="T22" s="25"/>
      <c r="U22" s="10"/>
    </row>
    <row r="23" spans="1:21" ht="15.75" thickBot="1" x14ac:dyDescent="0.3">
      <c r="A23" s="56"/>
      <c r="B23" s="78"/>
      <c r="C23" s="69"/>
      <c r="D23" s="70"/>
      <c r="E23" s="71"/>
      <c r="F23" s="152"/>
      <c r="G23" s="73"/>
      <c r="H23" s="74"/>
      <c r="I23" s="137"/>
      <c r="J23" s="137"/>
      <c r="K23" s="75">
        <f t="shared" si="0"/>
        <v>0</v>
      </c>
      <c r="L23" s="76"/>
      <c r="M23" s="80"/>
      <c r="N23" s="81"/>
      <c r="O23" s="56"/>
      <c r="Q23" s="169" t="s">
        <v>9</v>
      </c>
      <c r="R23" s="170"/>
      <c r="S23" s="158"/>
      <c r="T23" s="31"/>
      <c r="U23" s="32">
        <f>SUM(U7:U22)</f>
        <v>0</v>
      </c>
    </row>
    <row r="24" spans="1:21" x14ac:dyDescent="0.25">
      <c r="A24" s="56"/>
      <c r="B24" s="78"/>
      <c r="C24" s="69"/>
      <c r="D24" s="70"/>
      <c r="E24" s="71"/>
      <c r="F24" s="152"/>
      <c r="G24" s="85"/>
      <c r="H24" s="86"/>
      <c r="I24" s="138"/>
      <c r="J24" s="138"/>
      <c r="K24" s="147">
        <f t="shared" si="0"/>
        <v>0</v>
      </c>
      <c r="L24" s="80"/>
      <c r="M24" s="80"/>
      <c r="N24" s="81"/>
      <c r="O24" s="56"/>
      <c r="Q24" s="159"/>
      <c r="R24" s="2"/>
      <c r="S24" s="159"/>
      <c r="T24" s="2"/>
      <c r="U24" s="2"/>
    </row>
    <row r="25" spans="1:21" x14ac:dyDescent="0.25">
      <c r="A25" s="56"/>
      <c r="B25" s="78"/>
      <c r="C25" s="69"/>
      <c r="D25" s="70"/>
      <c r="E25" s="71"/>
      <c r="F25" s="152"/>
      <c r="G25" s="73" t="s">
        <v>116</v>
      </c>
      <c r="H25" s="87"/>
      <c r="I25" s="139"/>
      <c r="J25" s="137">
        <f>SUM(J7:J24)</f>
        <v>0</v>
      </c>
      <c r="K25" s="88">
        <f>SUM(K7:K24)</f>
        <v>0</v>
      </c>
      <c r="L25" s="80"/>
      <c r="M25" s="80"/>
      <c r="N25" s="81"/>
      <c r="O25" s="56"/>
    </row>
    <row r="26" spans="1:21" x14ac:dyDescent="0.25">
      <c r="A26" s="56"/>
      <c r="B26" s="78"/>
      <c r="C26" s="69"/>
      <c r="D26" s="70"/>
      <c r="E26" s="71"/>
      <c r="F26" s="152"/>
      <c r="G26" s="73" t="s">
        <v>117</v>
      </c>
      <c r="H26" s="74">
        <v>7565</v>
      </c>
      <c r="I26" s="137"/>
      <c r="J26" s="137">
        <f>I26/3</f>
        <v>0</v>
      </c>
      <c r="K26" s="79">
        <f>H26*I26</f>
        <v>0</v>
      </c>
      <c r="L26" s="82" t="s">
        <v>7</v>
      </c>
      <c r="M26" s="89"/>
      <c r="N26" s="84">
        <f>SUM(N18:N25)</f>
        <v>0</v>
      </c>
      <c r="O26" s="56"/>
    </row>
    <row r="27" spans="1:21" ht="15.75" thickBot="1" x14ac:dyDescent="0.3">
      <c r="A27" s="56"/>
      <c r="B27" s="90"/>
      <c r="C27" s="91"/>
      <c r="D27" s="92"/>
      <c r="E27" s="93"/>
      <c r="F27" s="153"/>
      <c r="G27" s="95" t="s">
        <v>114</v>
      </c>
      <c r="H27" s="96">
        <v>8000</v>
      </c>
      <c r="I27" s="140"/>
      <c r="J27" s="140">
        <f>I27/4</f>
        <v>0</v>
      </c>
      <c r="K27" s="97">
        <f>H27*I27</f>
        <v>0</v>
      </c>
      <c r="L27" s="98"/>
      <c r="M27" s="98"/>
      <c r="N27" s="99"/>
      <c r="O27" s="56"/>
    </row>
    <row r="28" spans="1:21" ht="16.5" thickTop="1" thickBot="1" x14ac:dyDescent="0.3">
      <c r="A28" s="100"/>
      <c r="B28" s="101" t="s">
        <v>118</v>
      </c>
      <c r="C28" s="102">
        <f>SUM(C7:C27)</f>
        <v>0</v>
      </c>
      <c r="D28" s="102">
        <f>SUM(D7:D27)</f>
        <v>0</v>
      </c>
      <c r="E28" s="103">
        <f>SUM(E7:E27)</f>
        <v>9000</v>
      </c>
      <c r="F28" s="154">
        <f>SUM(F7:F27)</f>
        <v>0</v>
      </c>
      <c r="G28" s="150" t="s">
        <v>119</v>
      </c>
      <c r="H28" s="104"/>
      <c r="I28" s="141"/>
      <c r="J28" s="142">
        <f>SUM(J25:J27)</f>
        <v>0</v>
      </c>
      <c r="K28" s="105">
        <f>SUM(K25:K27)</f>
        <v>0</v>
      </c>
      <c r="L28" s="106" t="s">
        <v>120</v>
      </c>
      <c r="M28" s="107">
        <f>M16+M26</f>
        <v>0</v>
      </c>
      <c r="N28" s="108">
        <f>N16+N26</f>
        <v>0</v>
      </c>
      <c r="O28" s="100"/>
      <c r="R28" s="148">
        <v>0</v>
      </c>
    </row>
    <row r="29" spans="1:21" x14ac:dyDescent="0.25">
      <c r="A29" s="56"/>
      <c r="B29" s="109"/>
      <c r="C29" s="109"/>
      <c r="D29" s="109"/>
      <c r="E29" s="109"/>
      <c r="F29" s="56"/>
      <c r="G29" s="56"/>
      <c r="H29" s="56"/>
      <c r="I29" s="56"/>
      <c r="J29" s="56"/>
      <c r="K29" s="77"/>
      <c r="L29" s="56"/>
      <c r="M29" s="56"/>
      <c r="N29" s="56"/>
      <c r="O29" s="56"/>
      <c r="R29" s="148">
        <v>0</v>
      </c>
    </row>
    <row r="30" spans="1:21" ht="15.75" thickBot="1" x14ac:dyDescent="0.3">
      <c r="A30" s="56"/>
      <c r="B30" s="109"/>
      <c r="C30" s="109"/>
      <c r="D30" s="109"/>
      <c r="E30" s="109"/>
      <c r="F30" s="56"/>
      <c r="G30" s="56"/>
      <c r="H30" s="56"/>
      <c r="I30" s="56"/>
      <c r="J30" s="56"/>
      <c r="K30" s="56"/>
      <c r="L30" s="56"/>
      <c r="M30" s="56"/>
      <c r="N30" s="56"/>
      <c r="O30" s="56"/>
      <c r="R30" s="149"/>
    </row>
    <row r="31" spans="1:21" x14ac:dyDescent="0.25">
      <c r="A31" s="56"/>
      <c r="B31" s="191" t="s">
        <v>110</v>
      </c>
      <c r="C31" s="110"/>
      <c r="D31" s="193" t="s">
        <v>114</v>
      </c>
      <c r="E31" s="194"/>
      <c r="F31" s="111" t="s">
        <v>115</v>
      </c>
      <c r="G31" s="185" t="s">
        <v>121</v>
      </c>
      <c r="H31" s="56"/>
      <c r="I31" s="56"/>
      <c r="J31" s="56"/>
      <c r="K31" s="56"/>
      <c r="L31" s="56"/>
      <c r="M31" s="56"/>
      <c r="N31" s="56"/>
      <c r="O31" s="56"/>
      <c r="R31" s="148"/>
    </row>
    <row r="32" spans="1:21" ht="15.75" thickBot="1" x14ac:dyDescent="0.3">
      <c r="A32" s="56"/>
      <c r="B32" s="192"/>
      <c r="C32" s="112"/>
      <c r="D32" s="63" t="s">
        <v>111</v>
      </c>
      <c r="E32" s="62" t="s">
        <v>107</v>
      </c>
      <c r="F32" s="113" t="s">
        <v>107</v>
      </c>
      <c r="G32" s="186"/>
      <c r="H32" s="56"/>
      <c r="I32" s="56"/>
      <c r="J32" s="56"/>
      <c r="K32" s="56" t="s">
        <v>166</v>
      </c>
      <c r="L32" s="56"/>
      <c r="M32" s="56"/>
      <c r="N32" s="56"/>
      <c r="O32" s="56"/>
    </row>
    <row r="33" spans="1:15" ht="15.75" thickTop="1" x14ac:dyDescent="0.25">
      <c r="A33" s="56"/>
      <c r="B33" s="114" t="s">
        <v>123</v>
      </c>
      <c r="C33" s="71"/>
      <c r="D33" s="72">
        <v>177</v>
      </c>
      <c r="E33" s="71">
        <f>D33/4</f>
        <v>44.25</v>
      </c>
      <c r="F33" s="115">
        <v>1490</v>
      </c>
      <c r="G33" s="116">
        <f>E33+F33</f>
        <v>1534.25</v>
      </c>
      <c r="H33" s="56"/>
      <c r="I33" s="56"/>
      <c r="J33" s="56"/>
      <c r="K33" s="56"/>
      <c r="L33" s="56"/>
      <c r="M33" s="56"/>
      <c r="N33" s="56"/>
      <c r="O33" s="56"/>
    </row>
    <row r="34" spans="1:15" x14ac:dyDescent="0.25">
      <c r="A34" s="56"/>
      <c r="B34" s="114" t="s">
        <v>124</v>
      </c>
      <c r="C34" s="71"/>
      <c r="D34" s="72"/>
      <c r="E34" s="71"/>
      <c r="F34" s="115"/>
      <c r="G34" s="116">
        <f t="shared" ref="G34:G35" si="1">E34+F34</f>
        <v>0</v>
      </c>
      <c r="H34" s="56"/>
      <c r="I34" s="56"/>
      <c r="J34" s="56"/>
      <c r="K34" s="56"/>
      <c r="L34" s="56"/>
      <c r="M34" s="56"/>
      <c r="N34" s="56"/>
      <c r="O34" s="56"/>
    </row>
    <row r="35" spans="1:15" x14ac:dyDescent="0.25">
      <c r="A35" s="56"/>
      <c r="B35" s="117" t="s">
        <v>125</v>
      </c>
      <c r="C35" s="118"/>
      <c r="D35" s="119"/>
      <c r="E35" s="118">
        <f>D35/4</f>
        <v>0</v>
      </c>
      <c r="F35" s="120">
        <f>-E35</f>
        <v>0</v>
      </c>
      <c r="G35" s="121">
        <f t="shared" si="1"/>
        <v>0</v>
      </c>
      <c r="H35" s="56"/>
      <c r="I35" s="56"/>
      <c r="J35" s="56"/>
      <c r="K35" s="56"/>
      <c r="L35" s="56"/>
      <c r="M35" s="56"/>
      <c r="N35" s="56"/>
      <c r="O35" s="56"/>
    </row>
    <row r="36" spans="1:15" x14ac:dyDescent="0.25">
      <c r="A36" s="56"/>
      <c r="B36" s="114" t="s">
        <v>126</v>
      </c>
      <c r="C36" s="71"/>
      <c r="D36" s="72">
        <f>SUM(D33:D35)</f>
        <v>177</v>
      </c>
      <c r="E36" s="71">
        <f>SUM(E33:E35)</f>
        <v>44.25</v>
      </c>
      <c r="F36" s="115">
        <f>SUM(F33:F35)</f>
        <v>1490</v>
      </c>
      <c r="G36" s="75">
        <f>SUM(G33:G35)</f>
        <v>1534.25</v>
      </c>
      <c r="H36" s="56"/>
      <c r="I36" s="56"/>
      <c r="J36" s="56"/>
      <c r="K36" s="56"/>
      <c r="L36" s="56"/>
      <c r="M36" s="56"/>
      <c r="N36" s="56"/>
      <c r="O36" s="56"/>
    </row>
    <row r="37" spans="1:15" x14ac:dyDescent="0.25">
      <c r="A37" s="56"/>
      <c r="B37" s="114" t="s">
        <v>127</v>
      </c>
      <c r="C37" s="71"/>
      <c r="D37" s="72"/>
      <c r="E37" s="71"/>
      <c r="F37" s="115"/>
      <c r="G37" s="116"/>
      <c r="H37" s="56"/>
      <c r="I37" s="56"/>
      <c r="J37" s="56"/>
      <c r="K37" s="56"/>
      <c r="L37" s="56"/>
      <c r="M37" s="56"/>
      <c r="N37" s="56"/>
      <c r="O37" s="56"/>
    </row>
    <row r="38" spans="1:15" ht="15.75" x14ac:dyDescent="0.25">
      <c r="A38" s="56"/>
      <c r="B38" s="122" t="s">
        <v>128</v>
      </c>
      <c r="C38" s="71"/>
      <c r="D38" s="72">
        <f>I27</f>
        <v>0</v>
      </c>
      <c r="E38" s="71">
        <f>J27</f>
        <v>0</v>
      </c>
      <c r="F38" s="115">
        <f>J25+J26</f>
        <v>0</v>
      </c>
      <c r="G38" s="116">
        <f>E38+F38</f>
        <v>0</v>
      </c>
      <c r="H38" s="56"/>
      <c r="I38" s="56"/>
      <c r="J38" s="56"/>
      <c r="K38" s="123" t="s">
        <v>40</v>
      </c>
      <c r="L38" s="56"/>
      <c r="M38" s="56"/>
      <c r="N38" s="56"/>
      <c r="O38" s="56"/>
    </row>
    <row r="39" spans="1:15" ht="15.75" thickBot="1" x14ac:dyDescent="0.3">
      <c r="A39" s="56"/>
      <c r="B39" s="124" t="s">
        <v>129</v>
      </c>
      <c r="C39" s="93"/>
      <c r="D39" s="94">
        <f>M16</f>
        <v>0</v>
      </c>
      <c r="E39" s="93">
        <f>N16</f>
        <v>0</v>
      </c>
      <c r="F39" s="125">
        <f>N26</f>
        <v>0</v>
      </c>
      <c r="G39" s="126">
        <f>E39+F39</f>
        <v>0</v>
      </c>
      <c r="H39" s="127"/>
      <c r="I39" s="127"/>
      <c r="J39" s="56"/>
      <c r="K39" s="56"/>
      <c r="L39" s="56"/>
      <c r="M39" s="127"/>
      <c r="N39" s="56"/>
      <c r="O39" s="56"/>
    </row>
    <row r="40" spans="1:15" ht="17.25" thickTop="1" thickBot="1" x14ac:dyDescent="0.3">
      <c r="A40" s="128"/>
      <c r="B40" s="129" t="s">
        <v>130</v>
      </c>
      <c r="C40" s="130"/>
      <c r="D40" s="131">
        <f>D36-D38-D39</f>
        <v>177</v>
      </c>
      <c r="E40" s="130">
        <f>E36-E38-E39</f>
        <v>44.25</v>
      </c>
      <c r="F40" s="132">
        <f>F36-F38-F39</f>
        <v>1490</v>
      </c>
      <c r="G40" s="133">
        <f>G36-G38-G39</f>
        <v>1534.25</v>
      </c>
      <c r="H40" s="134"/>
      <c r="I40" s="128"/>
      <c r="J40" s="128"/>
      <c r="K40" s="128"/>
      <c r="L40" s="128"/>
      <c r="M40" s="128"/>
      <c r="N40" s="128"/>
      <c r="O40" s="128"/>
    </row>
    <row r="41" spans="1:15" x14ac:dyDescent="0.25">
      <c r="A41" s="56"/>
      <c r="B41" s="109"/>
      <c r="C41" s="109"/>
      <c r="D41" s="109"/>
      <c r="E41" s="135"/>
      <c r="F41" s="56"/>
      <c r="G41" s="135">
        <f>E40+F40</f>
        <v>1534.25</v>
      </c>
      <c r="H41" s="56"/>
      <c r="I41" s="56"/>
      <c r="J41" s="56"/>
      <c r="K41" s="56"/>
      <c r="L41" s="56"/>
      <c r="M41" s="56"/>
      <c r="N41" s="56"/>
      <c r="O41" s="56"/>
    </row>
    <row r="42" spans="1:15" x14ac:dyDescent="0.25">
      <c r="A42" s="56"/>
      <c r="B42" s="109"/>
      <c r="C42" s="109"/>
      <c r="D42" s="109"/>
      <c r="E42" s="135"/>
      <c r="F42" s="56"/>
      <c r="G42" s="56"/>
      <c r="H42" s="56"/>
      <c r="I42" s="56"/>
      <c r="J42" s="56"/>
      <c r="K42" s="56"/>
      <c r="L42" s="56"/>
      <c r="M42" s="56"/>
      <c r="N42" s="56"/>
      <c r="O42" s="56"/>
    </row>
    <row r="43" spans="1:15" x14ac:dyDescent="0.25">
      <c r="A43" s="56"/>
      <c r="B43" s="109"/>
      <c r="C43" s="109"/>
      <c r="D43" s="109"/>
      <c r="E43" s="135"/>
      <c r="F43" s="56"/>
      <c r="G43" s="56"/>
      <c r="H43" s="56"/>
      <c r="I43" s="56"/>
      <c r="J43" s="56"/>
      <c r="K43" s="56"/>
      <c r="L43" s="56"/>
      <c r="M43" s="56"/>
      <c r="N43" s="56"/>
      <c r="O43" s="56"/>
    </row>
    <row r="44" spans="1:15" x14ac:dyDescent="0.25">
      <c r="A44" s="56"/>
      <c r="B44" s="109"/>
      <c r="C44" s="109"/>
      <c r="D44" s="109"/>
      <c r="E44" s="109"/>
      <c r="F44" s="135"/>
      <c r="G44" s="56"/>
      <c r="H44" s="56"/>
      <c r="I44" s="56"/>
      <c r="J44" s="56"/>
      <c r="K44" s="56"/>
      <c r="L44" s="56"/>
      <c r="M44" s="56"/>
      <c r="N44" s="56"/>
      <c r="O44" s="56"/>
    </row>
  </sheetData>
  <mergeCells count="12">
    <mergeCell ref="Q23:R23"/>
    <mergeCell ref="B31:B32"/>
    <mergeCell ref="D31:E31"/>
    <mergeCell ref="G31:G32"/>
    <mergeCell ref="A1:M1"/>
    <mergeCell ref="A2:M2"/>
    <mergeCell ref="A3:M3"/>
    <mergeCell ref="Q4:U4"/>
    <mergeCell ref="B5:F5"/>
    <mergeCell ref="G5:K5"/>
    <mergeCell ref="L5:N5"/>
    <mergeCell ref="Q5:U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W35"/>
    </sheetView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4:V35"/>
  <sheetViews>
    <sheetView workbookViewId="0">
      <selection sqref="A1:X33"/>
    </sheetView>
  </sheetViews>
  <sheetFormatPr defaultRowHeight="15" x14ac:dyDescent="0.25"/>
  <sheetData>
    <row r="34" spans="1:22" x14ac:dyDescent="0.25">
      <c r="A34" s="177"/>
      <c r="B34" s="177"/>
      <c r="C34" s="177"/>
      <c r="D34" s="177"/>
      <c r="E34" s="17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M35" s="1"/>
    </row>
  </sheetData>
  <mergeCells count="1">
    <mergeCell ref="A34:E3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4:V35"/>
  <sheetViews>
    <sheetView workbookViewId="0">
      <selection sqref="A1:W33"/>
    </sheetView>
  </sheetViews>
  <sheetFormatPr defaultRowHeight="15" x14ac:dyDescent="0.25"/>
  <sheetData>
    <row r="34" spans="1:22" x14ac:dyDescent="0.25">
      <c r="A34" s="177"/>
      <c r="B34" s="177"/>
      <c r="C34" s="177"/>
      <c r="D34" s="177"/>
      <c r="E34" s="177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M35" s="1"/>
    </row>
  </sheetData>
  <mergeCells count="1">
    <mergeCell ref="A34:E3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35"/>
  <sheetViews>
    <sheetView workbookViewId="0">
      <selection sqref="A1:X34"/>
    </sheetView>
  </sheetViews>
  <sheetFormatPr defaultRowHeight="15" x14ac:dyDescent="0.25"/>
  <sheetData>
    <row r="35" spans="13:13" x14ac:dyDescent="0.25">
      <c r="M35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JANUARI</vt:lpstr>
      <vt:lpstr>februari</vt:lpstr>
      <vt:lpstr>maret</vt:lpstr>
      <vt:lpstr>april</vt:lpstr>
      <vt:lpstr>mei</vt:lpstr>
      <vt:lpstr>JUNI</vt:lpstr>
      <vt:lpstr>juli</vt:lpstr>
      <vt:lpstr>Sheet7</vt:lpstr>
      <vt:lpstr>Sheet8</vt:lpstr>
      <vt:lpstr>Sheet9</vt:lpstr>
      <vt:lpstr>Sheet10</vt:lpstr>
      <vt:lpstr>Sheet11</vt:lpstr>
      <vt:lpstr>Sheet1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2026-02-04T10:44:44Z</dcterms:created>
  <dcterms:modified xsi:type="dcterms:W3CDTF">2026-08-18T02:54:22Z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ff289ddcf824421c9f24d4e3a802ec07</vt:lpwstr>
  </property>
</Properties>
</file>