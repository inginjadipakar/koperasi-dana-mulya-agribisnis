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160" activeTab="2"/>
  </bookViews>
  <sheets>
    <sheet name="1" sheetId="1" r:id="rId1"/>
    <sheet name="2" sheetId="2" r:id="rId2"/>
    <sheet name="3" sheetId="3" r:id="rId3"/>
  </sheets>
  <calcPr calcId="144525"/>
</workbook>
</file>

<file path=xl/calcChain.xml><?xml version="1.0" encoding="utf-8"?>
<calcChain xmlns="http://schemas.openxmlformats.org/spreadsheetml/2006/main">
  <c r="G525" i="3" l="1"/>
  <c r="G504" i="3"/>
  <c r="G526" i="3" s="1"/>
  <c r="G479" i="3"/>
  <c r="G525" i="2"/>
  <c r="G504" i="2"/>
  <c r="G526" i="2" s="1"/>
  <c r="G479" i="2"/>
  <c r="F525" i="3"/>
  <c r="F526" i="3" s="1"/>
  <c r="F504" i="3"/>
  <c r="F479" i="3"/>
  <c r="F526" i="2"/>
  <c r="F525" i="2"/>
  <c r="F504" i="2"/>
  <c r="F479" i="2"/>
  <c r="E479" i="1" l="1"/>
  <c r="L456" i="2" l="1"/>
  <c r="O525" i="1" l="1"/>
  <c r="N525" i="1"/>
  <c r="M525" i="1"/>
  <c r="L525" i="1"/>
  <c r="K525" i="1"/>
  <c r="J525" i="1"/>
  <c r="G525" i="1"/>
  <c r="F525" i="1"/>
  <c r="E525" i="1"/>
  <c r="D525" i="1"/>
  <c r="P524" i="1"/>
  <c r="H524" i="1"/>
  <c r="I524" i="1" s="1"/>
  <c r="P523" i="1"/>
  <c r="H523" i="1"/>
  <c r="I523" i="1" s="1"/>
  <c r="Q523" i="1" s="1"/>
  <c r="P522" i="1"/>
  <c r="I522" i="1"/>
  <c r="Q522" i="1" s="1"/>
  <c r="H522" i="1"/>
  <c r="P521" i="1"/>
  <c r="H521" i="1"/>
  <c r="I521" i="1" s="1"/>
  <c r="P520" i="1"/>
  <c r="H520" i="1"/>
  <c r="I520" i="1" s="1"/>
  <c r="P519" i="1"/>
  <c r="H519" i="1"/>
  <c r="I519" i="1" s="1"/>
  <c r="Q519" i="1" s="1"/>
  <c r="P518" i="1"/>
  <c r="I518" i="1"/>
  <c r="Q518" i="1" s="1"/>
  <c r="H518" i="1"/>
  <c r="P517" i="1"/>
  <c r="H517" i="1"/>
  <c r="I517" i="1" s="1"/>
  <c r="P516" i="1"/>
  <c r="P525" i="1" s="1"/>
  <c r="I516" i="1"/>
  <c r="O504" i="1"/>
  <c r="N504" i="1"/>
  <c r="M504" i="1"/>
  <c r="L504" i="1"/>
  <c r="K504" i="1"/>
  <c r="J504" i="1"/>
  <c r="G504" i="1"/>
  <c r="F504" i="1"/>
  <c r="E504" i="1"/>
  <c r="D504" i="1"/>
  <c r="Q503" i="1"/>
  <c r="P502" i="1"/>
  <c r="H502" i="1"/>
  <c r="I502" i="1" s="1"/>
  <c r="Q502" i="1" s="1"/>
  <c r="P501" i="1"/>
  <c r="H501" i="1"/>
  <c r="I501" i="1" s="1"/>
  <c r="Q501" i="1" s="1"/>
  <c r="P500" i="1"/>
  <c r="H500" i="1"/>
  <c r="I500" i="1" s="1"/>
  <c r="Q500" i="1" s="1"/>
  <c r="P499" i="1"/>
  <c r="H499" i="1"/>
  <c r="I499" i="1" s="1"/>
  <c r="P498" i="1"/>
  <c r="H498" i="1"/>
  <c r="I498" i="1" s="1"/>
  <c r="Q498" i="1" s="1"/>
  <c r="P497" i="1"/>
  <c r="H497" i="1"/>
  <c r="I497" i="1" s="1"/>
  <c r="Q497" i="1" s="1"/>
  <c r="P496" i="1"/>
  <c r="H496" i="1"/>
  <c r="I496" i="1" s="1"/>
  <c r="Q496" i="1" s="1"/>
  <c r="P495" i="1"/>
  <c r="H495" i="1"/>
  <c r="I495" i="1" s="1"/>
  <c r="P494" i="1"/>
  <c r="P504" i="1" s="1"/>
  <c r="H494" i="1"/>
  <c r="A492" i="1"/>
  <c r="A514" i="1" s="1"/>
  <c r="N479" i="1"/>
  <c r="M479" i="1"/>
  <c r="K479" i="1"/>
  <c r="J479" i="1"/>
  <c r="G479" i="1"/>
  <c r="G526" i="1" s="1"/>
  <c r="F479" i="1"/>
  <c r="D479" i="1"/>
  <c r="O478" i="1"/>
  <c r="L478" i="1"/>
  <c r="H478" i="1"/>
  <c r="I478" i="1" s="1"/>
  <c r="O477" i="1"/>
  <c r="L477" i="1"/>
  <c r="H477" i="1"/>
  <c r="I477" i="1" s="1"/>
  <c r="O476" i="1"/>
  <c r="L476" i="1"/>
  <c r="H476" i="1"/>
  <c r="I476" i="1" s="1"/>
  <c r="O475" i="1"/>
  <c r="L475" i="1"/>
  <c r="H475" i="1"/>
  <c r="I475" i="1" s="1"/>
  <c r="O474" i="1"/>
  <c r="L474" i="1"/>
  <c r="H474" i="1"/>
  <c r="I474" i="1" s="1"/>
  <c r="O473" i="1"/>
  <c r="L473" i="1"/>
  <c r="H473" i="1"/>
  <c r="I473" i="1" s="1"/>
  <c r="O472" i="1"/>
  <c r="L472" i="1"/>
  <c r="H472" i="1"/>
  <c r="I472" i="1" s="1"/>
  <c r="O471" i="1"/>
  <c r="L471" i="1"/>
  <c r="H471" i="1"/>
  <c r="I471" i="1" s="1"/>
  <c r="O470" i="1"/>
  <c r="L470" i="1"/>
  <c r="H470" i="1"/>
  <c r="I470" i="1" s="1"/>
  <c r="O469" i="1"/>
  <c r="L469" i="1"/>
  <c r="H469" i="1"/>
  <c r="I469" i="1" s="1"/>
  <c r="O468" i="1"/>
  <c r="L468" i="1"/>
  <c r="H468" i="1"/>
  <c r="I468" i="1" s="1"/>
  <c r="O467" i="1"/>
  <c r="L467" i="1"/>
  <c r="H467" i="1"/>
  <c r="I467" i="1" s="1"/>
  <c r="O466" i="1"/>
  <c r="L466" i="1"/>
  <c r="H466" i="1"/>
  <c r="I466" i="1" s="1"/>
  <c r="O465" i="1"/>
  <c r="L465" i="1"/>
  <c r="H465" i="1"/>
  <c r="I465" i="1" s="1"/>
  <c r="O464" i="1"/>
  <c r="L464" i="1"/>
  <c r="H464" i="1"/>
  <c r="I464" i="1" s="1"/>
  <c r="O463" i="1"/>
  <c r="L463" i="1"/>
  <c r="H463" i="1"/>
  <c r="I463" i="1" s="1"/>
  <c r="O462" i="1"/>
  <c r="L462" i="1"/>
  <c r="H462" i="1"/>
  <c r="I462" i="1" s="1"/>
  <c r="O461" i="1"/>
  <c r="L461" i="1"/>
  <c r="H461" i="1"/>
  <c r="I461" i="1" s="1"/>
  <c r="O460" i="1"/>
  <c r="L460" i="1"/>
  <c r="H460" i="1"/>
  <c r="I460" i="1" s="1"/>
  <c r="O459" i="1"/>
  <c r="L459" i="1"/>
  <c r="H459" i="1"/>
  <c r="I459" i="1" s="1"/>
  <c r="O458" i="1"/>
  <c r="L458" i="1"/>
  <c r="H458" i="1"/>
  <c r="I458" i="1" s="1"/>
  <c r="O457" i="1"/>
  <c r="L457" i="1"/>
  <c r="H457" i="1"/>
  <c r="I457" i="1" s="1"/>
  <c r="O456" i="1"/>
  <c r="L456" i="1"/>
  <c r="H456" i="1"/>
  <c r="I456" i="1" s="1"/>
  <c r="O455" i="1"/>
  <c r="L455" i="1"/>
  <c r="H455" i="1"/>
  <c r="I455" i="1" s="1"/>
  <c r="O454" i="1"/>
  <c r="L454" i="1"/>
  <c r="H454" i="1"/>
  <c r="I454" i="1" s="1"/>
  <c r="O453" i="1"/>
  <c r="L453" i="1"/>
  <c r="H453" i="1"/>
  <c r="I453" i="1" s="1"/>
  <c r="O452" i="1"/>
  <c r="L452" i="1"/>
  <c r="H452" i="1"/>
  <c r="I452" i="1" s="1"/>
  <c r="O451" i="1"/>
  <c r="L451" i="1"/>
  <c r="H451" i="1"/>
  <c r="I451" i="1" s="1"/>
  <c r="O450" i="1"/>
  <c r="L450" i="1"/>
  <c r="H450" i="1"/>
  <c r="I450" i="1" s="1"/>
  <c r="O449" i="1"/>
  <c r="L449" i="1"/>
  <c r="H449" i="1"/>
  <c r="I449" i="1" s="1"/>
  <c r="O448" i="1"/>
  <c r="L448" i="1"/>
  <c r="H448" i="1"/>
  <c r="I448" i="1" s="1"/>
  <c r="O447" i="1"/>
  <c r="L447" i="1"/>
  <c r="H447" i="1"/>
  <c r="I447" i="1" s="1"/>
  <c r="O446" i="1"/>
  <c r="L446" i="1"/>
  <c r="H446" i="1"/>
  <c r="I446" i="1" s="1"/>
  <c r="O445" i="1"/>
  <c r="L445" i="1"/>
  <c r="H445" i="1"/>
  <c r="I445" i="1" s="1"/>
  <c r="O444" i="1"/>
  <c r="L444" i="1"/>
  <c r="H444" i="1"/>
  <c r="I444" i="1" s="1"/>
  <c r="O443" i="1"/>
  <c r="L443" i="1"/>
  <c r="H443" i="1"/>
  <c r="I443" i="1" s="1"/>
  <c r="O442" i="1"/>
  <c r="L442" i="1"/>
  <c r="H442" i="1"/>
  <c r="I442" i="1" s="1"/>
  <c r="O441" i="1"/>
  <c r="L441" i="1"/>
  <c r="H441" i="1"/>
  <c r="I441" i="1" s="1"/>
  <c r="O440" i="1"/>
  <c r="L440" i="1"/>
  <c r="H440" i="1"/>
  <c r="I440" i="1" s="1"/>
  <c r="O439" i="1"/>
  <c r="L439" i="1"/>
  <c r="H439" i="1"/>
  <c r="I439" i="1" s="1"/>
  <c r="O438" i="1"/>
  <c r="L438" i="1"/>
  <c r="H438" i="1"/>
  <c r="I438" i="1" s="1"/>
  <c r="O437" i="1"/>
  <c r="L437" i="1"/>
  <c r="H437" i="1"/>
  <c r="I437" i="1" s="1"/>
  <c r="O436" i="1"/>
  <c r="L436" i="1"/>
  <c r="H436" i="1"/>
  <c r="I436" i="1" s="1"/>
  <c r="O435" i="1"/>
  <c r="L435" i="1"/>
  <c r="H435" i="1"/>
  <c r="I435" i="1" s="1"/>
  <c r="O434" i="1"/>
  <c r="L434" i="1"/>
  <c r="H434" i="1"/>
  <c r="I434" i="1" s="1"/>
  <c r="O433" i="1"/>
  <c r="L433" i="1"/>
  <c r="H433" i="1"/>
  <c r="I433" i="1" s="1"/>
  <c r="O432" i="1"/>
  <c r="L432" i="1"/>
  <c r="H432" i="1"/>
  <c r="I432" i="1" s="1"/>
  <c r="O431" i="1"/>
  <c r="L431" i="1"/>
  <c r="H431" i="1"/>
  <c r="I431" i="1" s="1"/>
  <c r="O430" i="1"/>
  <c r="L430" i="1"/>
  <c r="H430" i="1"/>
  <c r="I430" i="1" s="1"/>
  <c r="O429" i="1"/>
  <c r="L429" i="1"/>
  <c r="H429" i="1"/>
  <c r="I429" i="1" s="1"/>
  <c r="O428" i="1"/>
  <c r="L428" i="1"/>
  <c r="H428" i="1"/>
  <c r="I428" i="1" s="1"/>
  <c r="O427" i="1"/>
  <c r="L427" i="1"/>
  <c r="H427" i="1"/>
  <c r="I427" i="1" s="1"/>
  <c r="O426" i="1"/>
  <c r="L426" i="1"/>
  <c r="H426" i="1"/>
  <c r="I426" i="1" s="1"/>
  <c r="O425" i="1"/>
  <c r="L425" i="1"/>
  <c r="H425" i="1"/>
  <c r="I425" i="1" s="1"/>
  <c r="O424" i="1"/>
  <c r="L424" i="1"/>
  <c r="H424" i="1"/>
  <c r="I424" i="1" s="1"/>
  <c r="O423" i="1"/>
  <c r="L423" i="1"/>
  <c r="H423" i="1"/>
  <c r="I423" i="1" s="1"/>
  <c r="O422" i="1"/>
  <c r="L422" i="1"/>
  <c r="H422" i="1"/>
  <c r="I422" i="1" s="1"/>
  <c r="O421" i="1"/>
  <c r="L421" i="1"/>
  <c r="H421" i="1"/>
  <c r="I421" i="1" s="1"/>
  <c r="O420" i="1"/>
  <c r="L420" i="1"/>
  <c r="H420" i="1"/>
  <c r="I420" i="1" s="1"/>
  <c r="O419" i="1"/>
  <c r="L419" i="1"/>
  <c r="H419" i="1"/>
  <c r="I419" i="1" s="1"/>
  <c r="O418" i="1"/>
  <c r="L418" i="1"/>
  <c r="H418" i="1"/>
  <c r="I418" i="1" s="1"/>
  <c r="O417" i="1"/>
  <c r="L417" i="1"/>
  <c r="H417" i="1"/>
  <c r="I417" i="1" s="1"/>
  <c r="O416" i="1"/>
  <c r="L416" i="1"/>
  <c r="H416" i="1"/>
  <c r="I416" i="1" s="1"/>
  <c r="O415" i="1"/>
  <c r="L415" i="1"/>
  <c r="H415" i="1"/>
  <c r="I415" i="1" s="1"/>
  <c r="O414" i="1"/>
  <c r="L414" i="1"/>
  <c r="H414" i="1"/>
  <c r="I414" i="1" s="1"/>
  <c r="O413" i="1"/>
  <c r="L413" i="1"/>
  <c r="H413" i="1"/>
  <c r="I413" i="1" s="1"/>
  <c r="O412" i="1"/>
  <c r="L412" i="1"/>
  <c r="H412" i="1"/>
  <c r="I412" i="1" s="1"/>
  <c r="O411" i="1"/>
  <c r="L411" i="1"/>
  <c r="H411" i="1"/>
  <c r="I411" i="1" s="1"/>
  <c r="O410" i="1"/>
  <c r="L410" i="1"/>
  <c r="H410" i="1"/>
  <c r="I410" i="1" s="1"/>
  <c r="O409" i="1"/>
  <c r="L409" i="1"/>
  <c r="H409" i="1"/>
  <c r="I409" i="1" s="1"/>
  <c r="O408" i="1"/>
  <c r="L408" i="1"/>
  <c r="H408" i="1"/>
  <c r="I408" i="1" s="1"/>
  <c r="O407" i="1"/>
  <c r="L407" i="1"/>
  <c r="H407" i="1"/>
  <c r="I407" i="1" s="1"/>
  <c r="O406" i="1"/>
  <c r="L406" i="1"/>
  <c r="H406" i="1"/>
  <c r="I406" i="1" s="1"/>
  <c r="O405" i="1"/>
  <c r="L405" i="1"/>
  <c r="H405" i="1"/>
  <c r="I405" i="1" s="1"/>
  <c r="O404" i="1"/>
  <c r="L404" i="1"/>
  <c r="H404" i="1"/>
  <c r="I404" i="1" s="1"/>
  <c r="O403" i="1"/>
  <c r="L403" i="1"/>
  <c r="H403" i="1"/>
  <c r="I403" i="1" s="1"/>
  <c r="O402" i="1"/>
  <c r="L402" i="1"/>
  <c r="H402" i="1"/>
  <c r="I402" i="1" s="1"/>
  <c r="O401" i="1"/>
  <c r="L401" i="1"/>
  <c r="H401" i="1"/>
  <c r="I401" i="1" s="1"/>
  <c r="O400" i="1"/>
  <c r="L400" i="1"/>
  <c r="H400" i="1"/>
  <c r="I400" i="1" s="1"/>
  <c r="O399" i="1"/>
  <c r="L399" i="1"/>
  <c r="H399" i="1"/>
  <c r="I399" i="1" s="1"/>
  <c r="O398" i="1"/>
  <c r="L398" i="1"/>
  <c r="H398" i="1"/>
  <c r="I398" i="1" s="1"/>
  <c r="O397" i="1"/>
  <c r="L397" i="1"/>
  <c r="H397" i="1"/>
  <c r="I397" i="1" s="1"/>
  <c r="O396" i="1"/>
  <c r="L396" i="1"/>
  <c r="H396" i="1"/>
  <c r="I396" i="1" s="1"/>
  <c r="O395" i="1"/>
  <c r="L395" i="1"/>
  <c r="H395" i="1"/>
  <c r="I395" i="1" s="1"/>
  <c r="O394" i="1"/>
  <c r="L394" i="1"/>
  <c r="H394" i="1"/>
  <c r="I394" i="1" s="1"/>
  <c r="O393" i="1"/>
  <c r="L393" i="1"/>
  <c r="H393" i="1"/>
  <c r="I393" i="1" s="1"/>
  <c r="O392" i="1"/>
  <c r="L392" i="1"/>
  <c r="H392" i="1"/>
  <c r="I392" i="1" s="1"/>
  <c r="O391" i="1"/>
  <c r="L391" i="1"/>
  <c r="H391" i="1"/>
  <c r="I391" i="1" s="1"/>
  <c r="O390" i="1"/>
  <c r="L390" i="1"/>
  <c r="I390" i="1"/>
  <c r="H390" i="1"/>
  <c r="O389" i="1"/>
  <c r="L389" i="1"/>
  <c r="I389" i="1"/>
  <c r="H389" i="1"/>
  <c r="O388" i="1"/>
  <c r="L388" i="1"/>
  <c r="H388" i="1"/>
  <c r="I388" i="1" s="1"/>
  <c r="O387" i="1"/>
  <c r="L387" i="1"/>
  <c r="H387" i="1"/>
  <c r="I387" i="1" s="1"/>
  <c r="O386" i="1"/>
  <c r="L386" i="1"/>
  <c r="H386" i="1"/>
  <c r="I386" i="1" s="1"/>
  <c r="O385" i="1"/>
  <c r="L385" i="1"/>
  <c r="H385" i="1"/>
  <c r="I385" i="1" s="1"/>
  <c r="O384" i="1"/>
  <c r="L384" i="1"/>
  <c r="H384" i="1"/>
  <c r="I384" i="1" s="1"/>
  <c r="O383" i="1"/>
  <c r="L383" i="1"/>
  <c r="H383" i="1"/>
  <c r="I383" i="1" s="1"/>
  <c r="O382" i="1"/>
  <c r="L382" i="1"/>
  <c r="H382" i="1"/>
  <c r="I382" i="1" s="1"/>
  <c r="O381" i="1"/>
  <c r="L381" i="1"/>
  <c r="H381" i="1"/>
  <c r="I381" i="1" s="1"/>
  <c r="O380" i="1"/>
  <c r="L380" i="1"/>
  <c r="H380" i="1"/>
  <c r="I380" i="1" s="1"/>
  <c r="O379" i="1"/>
  <c r="L379" i="1"/>
  <c r="H379" i="1"/>
  <c r="I379" i="1" s="1"/>
  <c r="O378" i="1"/>
  <c r="L378" i="1"/>
  <c r="H378" i="1"/>
  <c r="I378" i="1" s="1"/>
  <c r="O377" i="1"/>
  <c r="L377" i="1"/>
  <c r="H377" i="1"/>
  <c r="I377" i="1" s="1"/>
  <c r="O376" i="1"/>
  <c r="L376" i="1"/>
  <c r="H376" i="1"/>
  <c r="I376" i="1" s="1"/>
  <c r="O375" i="1"/>
  <c r="L375" i="1"/>
  <c r="H375" i="1"/>
  <c r="I375" i="1" s="1"/>
  <c r="O374" i="1"/>
  <c r="L374" i="1"/>
  <c r="H374" i="1"/>
  <c r="I374" i="1" s="1"/>
  <c r="O373" i="1"/>
  <c r="L373" i="1"/>
  <c r="H373" i="1"/>
  <c r="I373" i="1" s="1"/>
  <c r="O372" i="1"/>
  <c r="L372" i="1"/>
  <c r="H372" i="1"/>
  <c r="I372" i="1" s="1"/>
  <c r="O371" i="1"/>
  <c r="L371" i="1"/>
  <c r="H371" i="1"/>
  <c r="I371" i="1" s="1"/>
  <c r="O370" i="1"/>
  <c r="L370" i="1"/>
  <c r="H370" i="1"/>
  <c r="I370" i="1" s="1"/>
  <c r="O369" i="1"/>
  <c r="L369" i="1"/>
  <c r="H369" i="1"/>
  <c r="I369" i="1" s="1"/>
  <c r="O368" i="1"/>
  <c r="L368" i="1"/>
  <c r="H368" i="1"/>
  <c r="I368" i="1" s="1"/>
  <c r="O367" i="1"/>
  <c r="L367" i="1"/>
  <c r="H367" i="1"/>
  <c r="I367" i="1" s="1"/>
  <c r="O366" i="1"/>
  <c r="L366" i="1"/>
  <c r="H366" i="1"/>
  <c r="I366" i="1" s="1"/>
  <c r="O365" i="1"/>
  <c r="L365" i="1"/>
  <c r="H365" i="1"/>
  <c r="I365" i="1" s="1"/>
  <c r="O364" i="1"/>
  <c r="L364" i="1"/>
  <c r="H364" i="1"/>
  <c r="I364" i="1" s="1"/>
  <c r="O363" i="1"/>
  <c r="L363" i="1"/>
  <c r="H363" i="1"/>
  <c r="I363" i="1" s="1"/>
  <c r="O362" i="1"/>
  <c r="L362" i="1"/>
  <c r="H362" i="1"/>
  <c r="I362" i="1" s="1"/>
  <c r="O361" i="1"/>
  <c r="L361" i="1"/>
  <c r="H361" i="1"/>
  <c r="I361" i="1" s="1"/>
  <c r="O360" i="1"/>
  <c r="L360" i="1"/>
  <c r="H360" i="1"/>
  <c r="I360" i="1" s="1"/>
  <c r="O359" i="1"/>
  <c r="L359" i="1"/>
  <c r="H359" i="1"/>
  <c r="I359" i="1" s="1"/>
  <c r="O358" i="1"/>
  <c r="L358" i="1"/>
  <c r="H358" i="1"/>
  <c r="I358" i="1" s="1"/>
  <c r="O357" i="1"/>
  <c r="L357" i="1"/>
  <c r="H357" i="1"/>
  <c r="I357" i="1" s="1"/>
  <c r="O356" i="1"/>
  <c r="L356" i="1"/>
  <c r="H356" i="1"/>
  <c r="I356" i="1" s="1"/>
  <c r="O355" i="1"/>
  <c r="L355" i="1"/>
  <c r="H355" i="1"/>
  <c r="I355" i="1" s="1"/>
  <c r="O354" i="1"/>
  <c r="L354" i="1"/>
  <c r="H354" i="1"/>
  <c r="I354" i="1" s="1"/>
  <c r="O353" i="1"/>
  <c r="L353" i="1"/>
  <c r="H353" i="1"/>
  <c r="I353" i="1" s="1"/>
  <c r="O352" i="1"/>
  <c r="L352" i="1"/>
  <c r="H352" i="1"/>
  <c r="I352" i="1" s="1"/>
  <c r="O351" i="1"/>
  <c r="L351" i="1"/>
  <c r="H351" i="1"/>
  <c r="I351" i="1" s="1"/>
  <c r="O350" i="1"/>
  <c r="L350" i="1"/>
  <c r="H350" i="1"/>
  <c r="I350" i="1" s="1"/>
  <c r="O349" i="1"/>
  <c r="L349" i="1"/>
  <c r="H349" i="1"/>
  <c r="I349" i="1" s="1"/>
  <c r="O348" i="1"/>
  <c r="L348" i="1"/>
  <c r="H348" i="1"/>
  <c r="I348" i="1" s="1"/>
  <c r="O347" i="1"/>
  <c r="L347" i="1"/>
  <c r="H347" i="1"/>
  <c r="I347" i="1" s="1"/>
  <c r="O346" i="1"/>
  <c r="L346" i="1"/>
  <c r="H346" i="1"/>
  <c r="I346" i="1" s="1"/>
  <c r="O345" i="1"/>
  <c r="L345" i="1"/>
  <c r="H345" i="1"/>
  <c r="I345" i="1" s="1"/>
  <c r="O344" i="1"/>
  <c r="L344" i="1"/>
  <c r="H344" i="1"/>
  <c r="I344" i="1" s="1"/>
  <c r="O343" i="1"/>
  <c r="L343" i="1"/>
  <c r="H343" i="1"/>
  <c r="I343" i="1" s="1"/>
  <c r="O342" i="1"/>
  <c r="L342" i="1"/>
  <c r="H342" i="1"/>
  <c r="I342" i="1" s="1"/>
  <c r="O341" i="1"/>
  <c r="L341" i="1"/>
  <c r="H341" i="1"/>
  <c r="I341" i="1" s="1"/>
  <c r="O340" i="1"/>
  <c r="L340" i="1"/>
  <c r="H340" i="1"/>
  <c r="I340" i="1" s="1"/>
  <c r="O339" i="1"/>
  <c r="L339" i="1"/>
  <c r="H339" i="1"/>
  <c r="I339" i="1" s="1"/>
  <c r="O338" i="1"/>
  <c r="L338" i="1"/>
  <c r="H338" i="1"/>
  <c r="I338" i="1" s="1"/>
  <c r="O337" i="1"/>
  <c r="L337" i="1"/>
  <c r="H337" i="1"/>
  <c r="I337" i="1" s="1"/>
  <c r="O336" i="1"/>
  <c r="L336" i="1"/>
  <c r="H336" i="1"/>
  <c r="I336" i="1" s="1"/>
  <c r="O335" i="1"/>
  <c r="L335" i="1"/>
  <c r="H335" i="1"/>
  <c r="I335" i="1" s="1"/>
  <c r="O334" i="1"/>
  <c r="L334" i="1"/>
  <c r="H334" i="1"/>
  <c r="I334" i="1" s="1"/>
  <c r="O333" i="1"/>
  <c r="L333" i="1"/>
  <c r="H333" i="1"/>
  <c r="I333" i="1" s="1"/>
  <c r="O332" i="1"/>
  <c r="L332" i="1"/>
  <c r="H332" i="1"/>
  <c r="I332" i="1" s="1"/>
  <c r="O331" i="1"/>
  <c r="L331" i="1"/>
  <c r="H331" i="1"/>
  <c r="I331" i="1" s="1"/>
  <c r="O330" i="1"/>
  <c r="L330" i="1"/>
  <c r="H330" i="1"/>
  <c r="I330" i="1" s="1"/>
  <c r="O329" i="1"/>
  <c r="L329" i="1"/>
  <c r="H329" i="1"/>
  <c r="I329" i="1" s="1"/>
  <c r="O328" i="1"/>
  <c r="L328" i="1"/>
  <c r="H328" i="1"/>
  <c r="I328" i="1" s="1"/>
  <c r="O327" i="1"/>
  <c r="L327" i="1"/>
  <c r="H327" i="1"/>
  <c r="I327" i="1" s="1"/>
  <c r="O326" i="1"/>
  <c r="L326" i="1"/>
  <c r="H326" i="1"/>
  <c r="I326" i="1" s="1"/>
  <c r="O325" i="1"/>
  <c r="L325" i="1"/>
  <c r="H325" i="1"/>
  <c r="I325" i="1" s="1"/>
  <c r="O324" i="1"/>
  <c r="L324" i="1"/>
  <c r="H324" i="1"/>
  <c r="I324" i="1" s="1"/>
  <c r="O323" i="1"/>
  <c r="L323" i="1"/>
  <c r="H323" i="1"/>
  <c r="I323" i="1" s="1"/>
  <c r="O322" i="1"/>
  <c r="L322" i="1"/>
  <c r="H322" i="1"/>
  <c r="I322" i="1" s="1"/>
  <c r="O321" i="1"/>
  <c r="L321" i="1"/>
  <c r="H321" i="1"/>
  <c r="I321" i="1" s="1"/>
  <c r="O320" i="1"/>
  <c r="L320" i="1"/>
  <c r="H320" i="1"/>
  <c r="I320" i="1" s="1"/>
  <c r="O319" i="1"/>
  <c r="L319" i="1"/>
  <c r="H319" i="1"/>
  <c r="I319" i="1" s="1"/>
  <c r="O318" i="1"/>
  <c r="L318" i="1"/>
  <c r="H318" i="1"/>
  <c r="I318" i="1" s="1"/>
  <c r="O317" i="1"/>
  <c r="L317" i="1"/>
  <c r="H317" i="1"/>
  <c r="I317" i="1" s="1"/>
  <c r="O316" i="1"/>
  <c r="L316" i="1"/>
  <c r="H316" i="1"/>
  <c r="I316" i="1" s="1"/>
  <c r="O315" i="1"/>
  <c r="L315" i="1"/>
  <c r="H315" i="1"/>
  <c r="I315" i="1" s="1"/>
  <c r="O314" i="1"/>
  <c r="L314" i="1"/>
  <c r="H314" i="1"/>
  <c r="I314" i="1" s="1"/>
  <c r="O313" i="1"/>
  <c r="L313" i="1"/>
  <c r="H313" i="1"/>
  <c r="I313" i="1" s="1"/>
  <c r="O312" i="1"/>
  <c r="L312" i="1"/>
  <c r="H312" i="1"/>
  <c r="I312" i="1" s="1"/>
  <c r="O311" i="1"/>
  <c r="L311" i="1"/>
  <c r="H311" i="1"/>
  <c r="I311" i="1" s="1"/>
  <c r="O310" i="1"/>
  <c r="L310" i="1"/>
  <c r="H310" i="1"/>
  <c r="I310" i="1" s="1"/>
  <c r="O309" i="1"/>
  <c r="L309" i="1"/>
  <c r="H309" i="1"/>
  <c r="I309" i="1" s="1"/>
  <c r="O308" i="1"/>
  <c r="L308" i="1"/>
  <c r="H308" i="1"/>
  <c r="I308" i="1" s="1"/>
  <c r="O307" i="1"/>
  <c r="L307" i="1"/>
  <c r="H307" i="1"/>
  <c r="I307" i="1" s="1"/>
  <c r="O306" i="1"/>
  <c r="L306" i="1"/>
  <c r="H306" i="1"/>
  <c r="I306" i="1" s="1"/>
  <c r="O305" i="1"/>
  <c r="L305" i="1"/>
  <c r="H305" i="1"/>
  <c r="I305" i="1" s="1"/>
  <c r="O304" i="1"/>
  <c r="L304" i="1"/>
  <c r="H304" i="1"/>
  <c r="I304" i="1" s="1"/>
  <c r="O303" i="1"/>
  <c r="L303" i="1"/>
  <c r="H303" i="1"/>
  <c r="I303" i="1" s="1"/>
  <c r="O302" i="1"/>
  <c r="L302" i="1"/>
  <c r="H302" i="1"/>
  <c r="I302" i="1" s="1"/>
  <c r="O301" i="1"/>
  <c r="L301" i="1"/>
  <c r="H301" i="1"/>
  <c r="I301" i="1" s="1"/>
  <c r="O300" i="1"/>
  <c r="L300" i="1"/>
  <c r="H300" i="1"/>
  <c r="I300" i="1" s="1"/>
  <c r="O299" i="1"/>
  <c r="L299" i="1"/>
  <c r="H299" i="1"/>
  <c r="I299" i="1" s="1"/>
  <c r="O298" i="1"/>
  <c r="L298" i="1"/>
  <c r="H298" i="1"/>
  <c r="I298" i="1" s="1"/>
  <c r="O297" i="1"/>
  <c r="L297" i="1"/>
  <c r="H297" i="1"/>
  <c r="I297" i="1" s="1"/>
  <c r="O296" i="1"/>
  <c r="L296" i="1"/>
  <c r="H296" i="1"/>
  <c r="I296" i="1" s="1"/>
  <c r="O295" i="1"/>
  <c r="L295" i="1"/>
  <c r="H295" i="1"/>
  <c r="I295" i="1" s="1"/>
  <c r="O294" i="1"/>
  <c r="L294" i="1"/>
  <c r="H294" i="1"/>
  <c r="I294" i="1" s="1"/>
  <c r="O293" i="1"/>
  <c r="L293" i="1"/>
  <c r="H293" i="1"/>
  <c r="I293" i="1" s="1"/>
  <c r="O292" i="1"/>
  <c r="L292" i="1"/>
  <c r="H292" i="1"/>
  <c r="I292" i="1" s="1"/>
  <c r="O291" i="1"/>
  <c r="L291" i="1"/>
  <c r="H291" i="1"/>
  <c r="I291" i="1" s="1"/>
  <c r="O290" i="1"/>
  <c r="L290" i="1"/>
  <c r="H290" i="1"/>
  <c r="I290" i="1" s="1"/>
  <c r="O289" i="1"/>
  <c r="L289" i="1"/>
  <c r="H289" i="1"/>
  <c r="I289" i="1" s="1"/>
  <c r="O288" i="1"/>
  <c r="L288" i="1"/>
  <c r="H288" i="1"/>
  <c r="I288" i="1" s="1"/>
  <c r="O287" i="1"/>
  <c r="L287" i="1"/>
  <c r="H287" i="1"/>
  <c r="I287" i="1" s="1"/>
  <c r="O286" i="1"/>
  <c r="L286" i="1"/>
  <c r="H286" i="1"/>
  <c r="I286" i="1" s="1"/>
  <c r="O285" i="1"/>
  <c r="L285" i="1"/>
  <c r="H285" i="1"/>
  <c r="I285" i="1" s="1"/>
  <c r="O284" i="1"/>
  <c r="L284" i="1"/>
  <c r="H284" i="1"/>
  <c r="I284" i="1" s="1"/>
  <c r="O283" i="1"/>
  <c r="L283" i="1"/>
  <c r="H283" i="1"/>
  <c r="I283" i="1" s="1"/>
  <c r="O282" i="1"/>
  <c r="L282" i="1"/>
  <c r="H282" i="1"/>
  <c r="I282" i="1" s="1"/>
  <c r="O281" i="1"/>
  <c r="L281" i="1"/>
  <c r="H281" i="1"/>
  <c r="I281" i="1" s="1"/>
  <c r="O280" i="1"/>
  <c r="L280" i="1"/>
  <c r="H280" i="1"/>
  <c r="I280" i="1" s="1"/>
  <c r="O279" i="1"/>
  <c r="L279" i="1"/>
  <c r="H279" i="1"/>
  <c r="I279" i="1" s="1"/>
  <c r="O278" i="1"/>
  <c r="L278" i="1"/>
  <c r="H278" i="1"/>
  <c r="I278" i="1" s="1"/>
  <c r="O277" i="1"/>
  <c r="L277" i="1"/>
  <c r="H277" i="1"/>
  <c r="I277" i="1" s="1"/>
  <c r="O276" i="1"/>
  <c r="L276" i="1"/>
  <c r="H276" i="1"/>
  <c r="I276" i="1" s="1"/>
  <c r="O275" i="1"/>
  <c r="L275" i="1"/>
  <c r="H275" i="1"/>
  <c r="I275" i="1" s="1"/>
  <c r="O274" i="1"/>
  <c r="L274" i="1"/>
  <c r="H274" i="1"/>
  <c r="I274" i="1" s="1"/>
  <c r="O273" i="1"/>
  <c r="L273" i="1"/>
  <c r="H273" i="1"/>
  <c r="I273" i="1" s="1"/>
  <c r="O272" i="1"/>
  <c r="L272" i="1"/>
  <c r="H272" i="1"/>
  <c r="I272" i="1" s="1"/>
  <c r="O271" i="1"/>
  <c r="L271" i="1"/>
  <c r="H271" i="1"/>
  <c r="I271" i="1" s="1"/>
  <c r="O270" i="1"/>
  <c r="L270" i="1"/>
  <c r="H270" i="1"/>
  <c r="I270" i="1" s="1"/>
  <c r="O269" i="1"/>
  <c r="L269" i="1"/>
  <c r="H269" i="1"/>
  <c r="I269" i="1" s="1"/>
  <c r="O268" i="1"/>
  <c r="L268" i="1"/>
  <c r="H268" i="1"/>
  <c r="I268" i="1" s="1"/>
  <c r="O267" i="1"/>
  <c r="L267" i="1"/>
  <c r="H267" i="1"/>
  <c r="I267" i="1" s="1"/>
  <c r="O266" i="1"/>
  <c r="L266" i="1"/>
  <c r="H266" i="1"/>
  <c r="I266" i="1" s="1"/>
  <c r="O265" i="1"/>
  <c r="L265" i="1"/>
  <c r="H265" i="1"/>
  <c r="I265" i="1" s="1"/>
  <c r="O264" i="1"/>
  <c r="L264" i="1"/>
  <c r="H264" i="1"/>
  <c r="I264" i="1" s="1"/>
  <c r="O263" i="1"/>
  <c r="L263" i="1"/>
  <c r="H263" i="1"/>
  <c r="I263" i="1" s="1"/>
  <c r="O262" i="1"/>
  <c r="L262" i="1"/>
  <c r="H262" i="1"/>
  <c r="I262" i="1" s="1"/>
  <c r="O261" i="1"/>
  <c r="L261" i="1"/>
  <c r="H261" i="1"/>
  <c r="I261" i="1" s="1"/>
  <c r="O260" i="1"/>
  <c r="L260" i="1"/>
  <c r="H260" i="1"/>
  <c r="I260" i="1" s="1"/>
  <c r="O259" i="1"/>
  <c r="L259" i="1"/>
  <c r="H259" i="1"/>
  <c r="I259" i="1" s="1"/>
  <c r="O258" i="1"/>
  <c r="L258" i="1"/>
  <c r="H258" i="1"/>
  <c r="I258" i="1" s="1"/>
  <c r="O257" i="1"/>
  <c r="L257" i="1"/>
  <c r="H257" i="1"/>
  <c r="I257" i="1" s="1"/>
  <c r="O256" i="1"/>
  <c r="L256" i="1"/>
  <c r="H256" i="1"/>
  <c r="I256" i="1" s="1"/>
  <c r="O255" i="1"/>
  <c r="L255" i="1"/>
  <c r="H255" i="1"/>
  <c r="I255" i="1" s="1"/>
  <c r="O254" i="1"/>
  <c r="L254" i="1"/>
  <c r="H254" i="1"/>
  <c r="I254" i="1" s="1"/>
  <c r="O253" i="1"/>
  <c r="L253" i="1"/>
  <c r="H253" i="1"/>
  <c r="I253" i="1" s="1"/>
  <c r="O252" i="1"/>
  <c r="L252" i="1"/>
  <c r="H252" i="1"/>
  <c r="I252" i="1" s="1"/>
  <c r="O251" i="1"/>
  <c r="L251" i="1"/>
  <c r="H251" i="1"/>
  <c r="I251" i="1" s="1"/>
  <c r="O250" i="1"/>
  <c r="L250" i="1"/>
  <c r="H250" i="1"/>
  <c r="I250" i="1" s="1"/>
  <c r="O249" i="1"/>
  <c r="L249" i="1"/>
  <c r="H249" i="1"/>
  <c r="I249" i="1" s="1"/>
  <c r="O248" i="1"/>
  <c r="L248" i="1"/>
  <c r="H248" i="1"/>
  <c r="I248" i="1" s="1"/>
  <c r="O247" i="1"/>
  <c r="L247" i="1"/>
  <c r="H247" i="1"/>
  <c r="I247" i="1" s="1"/>
  <c r="O246" i="1"/>
  <c r="L246" i="1"/>
  <c r="H246" i="1"/>
  <c r="I246" i="1" s="1"/>
  <c r="O245" i="1"/>
  <c r="L245" i="1"/>
  <c r="H245" i="1"/>
  <c r="I245" i="1" s="1"/>
  <c r="O244" i="1"/>
  <c r="L244" i="1"/>
  <c r="H244" i="1"/>
  <c r="I244" i="1" s="1"/>
  <c r="O243" i="1"/>
  <c r="L243" i="1"/>
  <c r="H243" i="1"/>
  <c r="I243" i="1" s="1"/>
  <c r="O242" i="1"/>
  <c r="L242" i="1"/>
  <c r="H242" i="1"/>
  <c r="I242" i="1" s="1"/>
  <c r="O241" i="1"/>
  <c r="L241" i="1"/>
  <c r="H241" i="1"/>
  <c r="I241" i="1" s="1"/>
  <c r="O240" i="1"/>
  <c r="L240" i="1"/>
  <c r="H240" i="1"/>
  <c r="I240" i="1" s="1"/>
  <c r="O239" i="1"/>
  <c r="L239" i="1"/>
  <c r="H239" i="1"/>
  <c r="I239" i="1" s="1"/>
  <c r="O238" i="1"/>
  <c r="L238" i="1"/>
  <c r="H238" i="1"/>
  <c r="I238" i="1" s="1"/>
  <c r="O237" i="1"/>
  <c r="L237" i="1"/>
  <c r="H237" i="1"/>
  <c r="I237" i="1" s="1"/>
  <c r="O236" i="1"/>
  <c r="L236" i="1"/>
  <c r="H236" i="1"/>
  <c r="I236" i="1" s="1"/>
  <c r="O235" i="1"/>
  <c r="L235" i="1"/>
  <c r="H235" i="1"/>
  <c r="I235" i="1" s="1"/>
  <c r="O234" i="1"/>
  <c r="L234" i="1"/>
  <c r="H234" i="1"/>
  <c r="I234" i="1" s="1"/>
  <c r="O233" i="1"/>
  <c r="L233" i="1"/>
  <c r="H233" i="1"/>
  <c r="I233" i="1" s="1"/>
  <c r="O232" i="1"/>
  <c r="L232" i="1"/>
  <c r="H232" i="1"/>
  <c r="I232" i="1" s="1"/>
  <c r="O231" i="1"/>
  <c r="L231" i="1"/>
  <c r="H231" i="1"/>
  <c r="I231" i="1" s="1"/>
  <c r="O230" i="1"/>
  <c r="L230" i="1"/>
  <c r="H230" i="1"/>
  <c r="I230" i="1" s="1"/>
  <c r="O229" i="1"/>
  <c r="L229" i="1"/>
  <c r="H229" i="1"/>
  <c r="I229" i="1" s="1"/>
  <c r="O228" i="1"/>
  <c r="L228" i="1"/>
  <c r="H228" i="1"/>
  <c r="I228" i="1" s="1"/>
  <c r="O227" i="1"/>
  <c r="L227" i="1"/>
  <c r="H227" i="1"/>
  <c r="I227" i="1" s="1"/>
  <c r="O226" i="1"/>
  <c r="L226" i="1"/>
  <c r="H226" i="1"/>
  <c r="I226" i="1" s="1"/>
  <c r="O225" i="1"/>
  <c r="L225" i="1"/>
  <c r="H225" i="1"/>
  <c r="I225" i="1" s="1"/>
  <c r="O224" i="1"/>
  <c r="L224" i="1"/>
  <c r="H224" i="1"/>
  <c r="I224" i="1" s="1"/>
  <c r="O223" i="1"/>
  <c r="L223" i="1"/>
  <c r="H223" i="1"/>
  <c r="I223" i="1" s="1"/>
  <c r="O222" i="1"/>
  <c r="L222" i="1"/>
  <c r="H222" i="1"/>
  <c r="I222" i="1" s="1"/>
  <c r="O221" i="1"/>
  <c r="L221" i="1"/>
  <c r="H221" i="1"/>
  <c r="I221" i="1" s="1"/>
  <c r="O220" i="1"/>
  <c r="L220" i="1"/>
  <c r="H220" i="1"/>
  <c r="I220" i="1" s="1"/>
  <c r="O219" i="1"/>
  <c r="L219" i="1"/>
  <c r="H219" i="1"/>
  <c r="I219" i="1" s="1"/>
  <c r="O218" i="1"/>
  <c r="L218" i="1"/>
  <c r="H218" i="1"/>
  <c r="I218" i="1" s="1"/>
  <c r="O217" i="1"/>
  <c r="L217" i="1"/>
  <c r="H217" i="1"/>
  <c r="I217" i="1" s="1"/>
  <c r="O216" i="1"/>
  <c r="L216" i="1"/>
  <c r="H216" i="1"/>
  <c r="I216" i="1" s="1"/>
  <c r="O215" i="1"/>
  <c r="L215" i="1"/>
  <c r="H215" i="1"/>
  <c r="I215" i="1" s="1"/>
  <c r="O214" i="1"/>
  <c r="L214" i="1"/>
  <c r="H214" i="1"/>
  <c r="I214" i="1" s="1"/>
  <c r="O213" i="1"/>
  <c r="L213" i="1"/>
  <c r="H213" i="1"/>
  <c r="I213" i="1" s="1"/>
  <c r="O212" i="1"/>
  <c r="L212" i="1"/>
  <c r="H212" i="1"/>
  <c r="I212" i="1" s="1"/>
  <c r="O211" i="1"/>
  <c r="L211" i="1"/>
  <c r="H211" i="1"/>
  <c r="I211" i="1" s="1"/>
  <c r="O210" i="1"/>
  <c r="L210" i="1"/>
  <c r="H210" i="1"/>
  <c r="I210" i="1" s="1"/>
  <c r="O209" i="1"/>
  <c r="L209" i="1"/>
  <c r="H209" i="1"/>
  <c r="I209" i="1" s="1"/>
  <c r="O208" i="1"/>
  <c r="L208" i="1"/>
  <c r="H208" i="1"/>
  <c r="I208" i="1" s="1"/>
  <c r="O207" i="1"/>
  <c r="L207" i="1"/>
  <c r="H207" i="1"/>
  <c r="I207" i="1" s="1"/>
  <c r="O206" i="1"/>
  <c r="L206" i="1"/>
  <c r="H206" i="1"/>
  <c r="I206" i="1" s="1"/>
  <c r="O205" i="1"/>
  <c r="L205" i="1"/>
  <c r="H205" i="1"/>
  <c r="I205" i="1" s="1"/>
  <c r="O204" i="1"/>
  <c r="L204" i="1"/>
  <c r="H204" i="1"/>
  <c r="I204" i="1" s="1"/>
  <c r="O203" i="1"/>
  <c r="L203" i="1"/>
  <c r="H203" i="1"/>
  <c r="I203" i="1" s="1"/>
  <c r="O202" i="1"/>
  <c r="L202" i="1"/>
  <c r="H202" i="1"/>
  <c r="I202" i="1" s="1"/>
  <c r="O201" i="1"/>
  <c r="L201" i="1"/>
  <c r="H201" i="1"/>
  <c r="I201" i="1" s="1"/>
  <c r="O200" i="1"/>
  <c r="L200" i="1"/>
  <c r="H200" i="1"/>
  <c r="I200" i="1" s="1"/>
  <c r="O199" i="1"/>
  <c r="L199" i="1"/>
  <c r="H199" i="1"/>
  <c r="I199" i="1" s="1"/>
  <c r="O198" i="1"/>
  <c r="L198" i="1"/>
  <c r="H198" i="1"/>
  <c r="I198" i="1" s="1"/>
  <c r="O197" i="1"/>
  <c r="L197" i="1"/>
  <c r="H197" i="1"/>
  <c r="I197" i="1" s="1"/>
  <c r="O196" i="1"/>
  <c r="L196" i="1"/>
  <c r="H196" i="1"/>
  <c r="I196" i="1" s="1"/>
  <c r="O195" i="1"/>
  <c r="L195" i="1"/>
  <c r="H195" i="1"/>
  <c r="I195" i="1" s="1"/>
  <c r="O194" i="1"/>
  <c r="L194" i="1"/>
  <c r="H194" i="1"/>
  <c r="I194" i="1" s="1"/>
  <c r="O193" i="1"/>
  <c r="L193" i="1"/>
  <c r="H193" i="1"/>
  <c r="I193" i="1" s="1"/>
  <c r="O192" i="1"/>
  <c r="L192" i="1"/>
  <c r="H192" i="1"/>
  <c r="I192" i="1" s="1"/>
  <c r="O191" i="1"/>
  <c r="L191" i="1"/>
  <c r="H191" i="1"/>
  <c r="I191" i="1" s="1"/>
  <c r="O190" i="1"/>
  <c r="L190" i="1"/>
  <c r="H190" i="1"/>
  <c r="I190" i="1" s="1"/>
  <c r="O189" i="1"/>
  <c r="L189" i="1"/>
  <c r="H189" i="1"/>
  <c r="I189" i="1" s="1"/>
  <c r="O188" i="1"/>
  <c r="L188" i="1"/>
  <c r="H188" i="1"/>
  <c r="I188" i="1" s="1"/>
  <c r="O187" i="1"/>
  <c r="L187" i="1"/>
  <c r="H187" i="1"/>
  <c r="I187" i="1" s="1"/>
  <c r="O186" i="1"/>
  <c r="L186" i="1"/>
  <c r="H186" i="1"/>
  <c r="I186" i="1" s="1"/>
  <c r="O185" i="1"/>
  <c r="L185" i="1"/>
  <c r="H185" i="1"/>
  <c r="I185" i="1" s="1"/>
  <c r="O184" i="1"/>
  <c r="L184" i="1"/>
  <c r="H184" i="1"/>
  <c r="I184" i="1" s="1"/>
  <c r="O183" i="1"/>
  <c r="L183" i="1"/>
  <c r="H183" i="1"/>
  <c r="I183" i="1" s="1"/>
  <c r="O182" i="1"/>
  <c r="L182" i="1"/>
  <c r="H182" i="1"/>
  <c r="I182" i="1" s="1"/>
  <c r="O181" i="1"/>
  <c r="L181" i="1"/>
  <c r="H181" i="1"/>
  <c r="I181" i="1" s="1"/>
  <c r="O180" i="1"/>
  <c r="L180" i="1"/>
  <c r="H180" i="1"/>
  <c r="I180" i="1" s="1"/>
  <c r="O179" i="1"/>
  <c r="L179" i="1"/>
  <c r="H179" i="1"/>
  <c r="I179" i="1" s="1"/>
  <c r="O178" i="1"/>
  <c r="L178" i="1"/>
  <c r="H178" i="1"/>
  <c r="I178" i="1" s="1"/>
  <c r="O177" i="1"/>
  <c r="L177" i="1"/>
  <c r="H177" i="1"/>
  <c r="I177" i="1" s="1"/>
  <c r="O176" i="1"/>
  <c r="L176" i="1"/>
  <c r="H176" i="1"/>
  <c r="I176" i="1" s="1"/>
  <c r="O175" i="1"/>
  <c r="L175" i="1"/>
  <c r="H175" i="1"/>
  <c r="I175" i="1" s="1"/>
  <c r="O174" i="1"/>
  <c r="L174" i="1"/>
  <c r="H174" i="1"/>
  <c r="I174" i="1" s="1"/>
  <c r="O173" i="1"/>
  <c r="L173" i="1"/>
  <c r="H173" i="1"/>
  <c r="I173" i="1" s="1"/>
  <c r="O172" i="1"/>
  <c r="L172" i="1"/>
  <c r="H172" i="1"/>
  <c r="I172" i="1" s="1"/>
  <c r="O171" i="1"/>
  <c r="L171" i="1"/>
  <c r="H171" i="1"/>
  <c r="I171" i="1" s="1"/>
  <c r="O170" i="1"/>
  <c r="L170" i="1"/>
  <c r="H170" i="1"/>
  <c r="I170" i="1" s="1"/>
  <c r="O169" i="1"/>
  <c r="L169" i="1"/>
  <c r="H169" i="1"/>
  <c r="I169" i="1" s="1"/>
  <c r="O168" i="1"/>
  <c r="L168" i="1"/>
  <c r="H168" i="1"/>
  <c r="I168" i="1" s="1"/>
  <c r="O167" i="1"/>
  <c r="L167" i="1"/>
  <c r="H167" i="1"/>
  <c r="I167" i="1" s="1"/>
  <c r="O166" i="1"/>
  <c r="L166" i="1"/>
  <c r="H166" i="1"/>
  <c r="I166" i="1" s="1"/>
  <c r="O165" i="1"/>
  <c r="L165" i="1"/>
  <c r="H165" i="1"/>
  <c r="I165" i="1" s="1"/>
  <c r="O164" i="1"/>
  <c r="L164" i="1"/>
  <c r="H164" i="1"/>
  <c r="I164" i="1" s="1"/>
  <c r="O163" i="1"/>
  <c r="L163" i="1"/>
  <c r="H163" i="1"/>
  <c r="I163" i="1" s="1"/>
  <c r="O162" i="1"/>
  <c r="L162" i="1"/>
  <c r="H162" i="1"/>
  <c r="I162" i="1" s="1"/>
  <c r="O161" i="1"/>
  <c r="L161" i="1"/>
  <c r="H161" i="1"/>
  <c r="I161" i="1" s="1"/>
  <c r="O160" i="1"/>
  <c r="L160" i="1"/>
  <c r="H160" i="1"/>
  <c r="I160" i="1" s="1"/>
  <c r="O159" i="1"/>
  <c r="L159" i="1"/>
  <c r="H159" i="1"/>
  <c r="I159" i="1" s="1"/>
  <c r="O158" i="1"/>
  <c r="L158" i="1"/>
  <c r="H158" i="1"/>
  <c r="I158" i="1" s="1"/>
  <c r="O157" i="1"/>
  <c r="L157" i="1"/>
  <c r="H157" i="1"/>
  <c r="I157" i="1" s="1"/>
  <c r="O156" i="1"/>
  <c r="L156" i="1"/>
  <c r="H156" i="1"/>
  <c r="I156" i="1" s="1"/>
  <c r="O155" i="1"/>
  <c r="L155" i="1"/>
  <c r="H155" i="1"/>
  <c r="I155" i="1" s="1"/>
  <c r="O154" i="1"/>
  <c r="L154" i="1"/>
  <c r="H154" i="1"/>
  <c r="I154" i="1" s="1"/>
  <c r="O153" i="1"/>
  <c r="L153" i="1"/>
  <c r="H153" i="1"/>
  <c r="I153" i="1" s="1"/>
  <c r="O152" i="1"/>
  <c r="L152" i="1"/>
  <c r="H152" i="1"/>
  <c r="I152" i="1" s="1"/>
  <c r="O151" i="1"/>
  <c r="L151" i="1"/>
  <c r="H151" i="1"/>
  <c r="I151" i="1" s="1"/>
  <c r="O150" i="1"/>
  <c r="L150" i="1"/>
  <c r="H150" i="1"/>
  <c r="I150" i="1" s="1"/>
  <c r="O149" i="1"/>
  <c r="L149" i="1"/>
  <c r="H149" i="1"/>
  <c r="I149" i="1" s="1"/>
  <c r="O148" i="1"/>
  <c r="L148" i="1"/>
  <c r="H148" i="1"/>
  <c r="I148" i="1" s="1"/>
  <c r="O147" i="1"/>
  <c r="L147" i="1"/>
  <c r="H147" i="1"/>
  <c r="I147" i="1" s="1"/>
  <c r="O146" i="1"/>
  <c r="L146" i="1"/>
  <c r="H146" i="1"/>
  <c r="I146" i="1" s="1"/>
  <c r="O145" i="1"/>
  <c r="L145" i="1"/>
  <c r="H145" i="1"/>
  <c r="I145" i="1" s="1"/>
  <c r="O144" i="1"/>
  <c r="L144" i="1"/>
  <c r="H144" i="1"/>
  <c r="I144" i="1" s="1"/>
  <c r="O143" i="1"/>
  <c r="L143" i="1"/>
  <c r="H143" i="1"/>
  <c r="I143" i="1" s="1"/>
  <c r="O142" i="1"/>
  <c r="L142" i="1"/>
  <c r="H142" i="1"/>
  <c r="I142" i="1" s="1"/>
  <c r="O141" i="1"/>
  <c r="L141" i="1"/>
  <c r="H141" i="1"/>
  <c r="I141" i="1" s="1"/>
  <c r="O140" i="1"/>
  <c r="L140" i="1"/>
  <c r="H140" i="1"/>
  <c r="I140" i="1" s="1"/>
  <c r="O139" i="1"/>
  <c r="L139" i="1"/>
  <c r="H139" i="1"/>
  <c r="I139" i="1" s="1"/>
  <c r="O138" i="1"/>
  <c r="L138" i="1"/>
  <c r="H138" i="1"/>
  <c r="I138" i="1" s="1"/>
  <c r="O137" i="1"/>
  <c r="L137" i="1"/>
  <c r="H137" i="1"/>
  <c r="I137" i="1" s="1"/>
  <c r="O136" i="1"/>
  <c r="L136" i="1"/>
  <c r="H136" i="1"/>
  <c r="I136" i="1" s="1"/>
  <c r="O135" i="1"/>
  <c r="L135" i="1"/>
  <c r="H135" i="1"/>
  <c r="I135" i="1" s="1"/>
  <c r="O134" i="1"/>
  <c r="L134" i="1"/>
  <c r="H134" i="1"/>
  <c r="I134" i="1" s="1"/>
  <c r="O133" i="1"/>
  <c r="L133" i="1"/>
  <c r="H133" i="1"/>
  <c r="I133" i="1" s="1"/>
  <c r="O132" i="1"/>
  <c r="L132" i="1"/>
  <c r="H132" i="1"/>
  <c r="I132" i="1" s="1"/>
  <c r="O131" i="1"/>
  <c r="L131" i="1"/>
  <c r="H131" i="1"/>
  <c r="I131" i="1" s="1"/>
  <c r="O130" i="1"/>
  <c r="L130" i="1"/>
  <c r="H130" i="1"/>
  <c r="I130" i="1" s="1"/>
  <c r="O129" i="1"/>
  <c r="L129" i="1"/>
  <c r="H129" i="1"/>
  <c r="I129" i="1" s="1"/>
  <c r="O128" i="1"/>
  <c r="L128" i="1"/>
  <c r="H128" i="1"/>
  <c r="I128" i="1" s="1"/>
  <c r="O127" i="1"/>
  <c r="L127" i="1"/>
  <c r="H127" i="1"/>
  <c r="I127" i="1" s="1"/>
  <c r="O126" i="1"/>
  <c r="L126" i="1"/>
  <c r="H126" i="1"/>
  <c r="I126" i="1" s="1"/>
  <c r="O125" i="1"/>
  <c r="L125" i="1"/>
  <c r="H125" i="1"/>
  <c r="I125" i="1" s="1"/>
  <c r="O124" i="1"/>
  <c r="L124" i="1"/>
  <c r="H124" i="1"/>
  <c r="I124" i="1" s="1"/>
  <c r="O123" i="1"/>
  <c r="L123" i="1"/>
  <c r="H123" i="1"/>
  <c r="I123" i="1" s="1"/>
  <c r="O122" i="1"/>
  <c r="L122" i="1"/>
  <c r="H122" i="1"/>
  <c r="I122" i="1" s="1"/>
  <c r="O121" i="1"/>
  <c r="L121" i="1"/>
  <c r="H121" i="1"/>
  <c r="I121" i="1" s="1"/>
  <c r="O120" i="1"/>
  <c r="L120" i="1"/>
  <c r="H120" i="1"/>
  <c r="I120" i="1" s="1"/>
  <c r="O119" i="1"/>
  <c r="L119" i="1"/>
  <c r="H119" i="1"/>
  <c r="I119" i="1" s="1"/>
  <c r="O118" i="1"/>
  <c r="L118" i="1"/>
  <c r="H118" i="1"/>
  <c r="I118" i="1" s="1"/>
  <c r="O117" i="1"/>
  <c r="L117" i="1"/>
  <c r="H117" i="1"/>
  <c r="I117" i="1" s="1"/>
  <c r="O116" i="1"/>
  <c r="L116" i="1"/>
  <c r="H116" i="1"/>
  <c r="I116" i="1" s="1"/>
  <c r="O115" i="1"/>
  <c r="L115" i="1"/>
  <c r="H115" i="1"/>
  <c r="I115" i="1" s="1"/>
  <c r="O114" i="1"/>
  <c r="L114" i="1"/>
  <c r="H114" i="1"/>
  <c r="I114" i="1" s="1"/>
  <c r="O113" i="1"/>
  <c r="L113" i="1"/>
  <c r="H113" i="1"/>
  <c r="I113" i="1" s="1"/>
  <c r="O112" i="1"/>
  <c r="L112" i="1"/>
  <c r="H112" i="1"/>
  <c r="I112" i="1" s="1"/>
  <c r="O111" i="1"/>
  <c r="L111" i="1"/>
  <c r="H111" i="1"/>
  <c r="I111" i="1" s="1"/>
  <c r="O110" i="1"/>
  <c r="L110" i="1"/>
  <c r="H110" i="1"/>
  <c r="I110" i="1" s="1"/>
  <c r="O109" i="1"/>
  <c r="L109" i="1"/>
  <c r="H109" i="1"/>
  <c r="I109" i="1" s="1"/>
  <c r="O108" i="1"/>
  <c r="L108" i="1"/>
  <c r="H108" i="1"/>
  <c r="I108" i="1" s="1"/>
  <c r="O107" i="1"/>
  <c r="L107" i="1"/>
  <c r="H107" i="1"/>
  <c r="I107" i="1" s="1"/>
  <c r="O106" i="1"/>
  <c r="L106" i="1"/>
  <c r="H106" i="1"/>
  <c r="I106" i="1" s="1"/>
  <c r="O105" i="1"/>
  <c r="L105" i="1"/>
  <c r="H105" i="1"/>
  <c r="I105" i="1" s="1"/>
  <c r="O104" i="1"/>
  <c r="L104" i="1"/>
  <c r="H104" i="1"/>
  <c r="I104" i="1" s="1"/>
  <c r="O103" i="1"/>
  <c r="L103" i="1"/>
  <c r="H103" i="1"/>
  <c r="I103" i="1" s="1"/>
  <c r="O102" i="1"/>
  <c r="L102" i="1"/>
  <c r="H102" i="1"/>
  <c r="I102" i="1" s="1"/>
  <c r="O101" i="1"/>
  <c r="L101" i="1"/>
  <c r="H101" i="1"/>
  <c r="I101" i="1" s="1"/>
  <c r="O100" i="1"/>
  <c r="L100" i="1"/>
  <c r="H100" i="1"/>
  <c r="I100" i="1" s="1"/>
  <c r="O99" i="1"/>
  <c r="L99" i="1"/>
  <c r="H99" i="1"/>
  <c r="I99" i="1" s="1"/>
  <c r="O98" i="1"/>
  <c r="L98" i="1"/>
  <c r="H98" i="1"/>
  <c r="I98" i="1" s="1"/>
  <c r="O97" i="1"/>
  <c r="L97" i="1"/>
  <c r="H97" i="1"/>
  <c r="I97" i="1" s="1"/>
  <c r="O96" i="1"/>
  <c r="L96" i="1"/>
  <c r="H96" i="1"/>
  <c r="I96" i="1" s="1"/>
  <c r="O95" i="1"/>
  <c r="L95" i="1"/>
  <c r="H95" i="1"/>
  <c r="I95" i="1" s="1"/>
  <c r="O94" i="1"/>
  <c r="L94" i="1"/>
  <c r="H94" i="1"/>
  <c r="I94" i="1" s="1"/>
  <c r="O93" i="1"/>
  <c r="L93" i="1"/>
  <c r="H93" i="1"/>
  <c r="I93" i="1" s="1"/>
  <c r="O92" i="1"/>
  <c r="L92" i="1"/>
  <c r="H92" i="1"/>
  <c r="I92" i="1" s="1"/>
  <c r="O91" i="1"/>
  <c r="L91" i="1"/>
  <c r="H91" i="1"/>
  <c r="I91" i="1" s="1"/>
  <c r="O90" i="1"/>
  <c r="L90" i="1"/>
  <c r="H90" i="1"/>
  <c r="I90" i="1" s="1"/>
  <c r="O89" i="1"/>
  <c r="L89" i="1"/>
  <c r="H89" i="1"/>
  <c r="I89" i="1" s="1"/>
  <c r="O88" i="1"/>
  <c r="L88" i="1"/>
  <c r="H88" i="1"/>
  <c r="I88" i="1" s="1"/>
  <c r="O87" i="1"/>
  <c r="L87" i="1"/>
  <c r="H87" i="1"/>
  <c r="I87" i="1" s="1"/>
  <c r="O86" i="1"/>
  <c r="L86" i="1"/>
  <c r="H86" i="1"/>
  <c r="I86" i="1" s="1"/>
  <c r="O85" i="1"/>
  <c r="L85" i="1"/>
  <c r="H85" i="1"/>
  <c r="I85" i="1" s="1"/>
  <c r="O84" i="1"/>
  <c r="L84" i="1"/>
  <c r="H84" i="1"/>
  <c r="I84" i="1" s="1"/>
  <c r="O83" i="1"/>
  <c r="L83" i="1"/>
  <c r="H83" i="1"/>
  <c r="I83" i="1" s="1"/>
  <c r="O82" i="1"/>
  <c r="L82" i="1"/>
  <c r="H82" i="1"/>
  <c r="I82" i="1" s="1"/>
  <c r="O81" i="1"/>
  <c r="L81" i="1"/>
  <c r="H81" i="1"/>
  <c r="I81" i="1" s="1"/>
  <c r="O80" i="1"/>
  <c r="L80" i="1"/>
  <c r="H80" i="1"/>
  <c r="I80" i="1" s="1"/>
  <c r="O79" i="1"/>
  <c r="L79" i="1"/>
  <c r="H79" i="1"/>
  <c r="I79" i="1" s="1"/>
  <c r="O78" i="1"/>
  <c r="L78" i="1"/>
  <c r="H78" i="1"/>
  <c r="I78" i="1" s="1"/>
  <c r="O77" i="1"/>
  <c r="L77" i="1"/>
  <c r="H77" i="1"/>
  <c r="I77" i="1" s="1"/>
  <c r="O76" i="1"/>
  <c r="L76" i="1"/>
  <c r="H76" i="1"/>
  <c r="I76" i="1" s="1"/>
  <c r="O75" i="1"/>
  <c r="L75" i="1"/>
  <c r="H75" i="1"/>
  <c r="I75" i="1" s="1"/>
  <c r="O74" i="1"/>
  <c r="L74" i="1"/>
  <c r="H74" i="1"/>
  <c r="I74" i="1" s="1"/>
  <c r="O73" i="1"/>
  <c r="L73" i="1"/>
  <c r="H73" i="1"/>
  <c r="I73" i="1" s="1"/>
  <c r="O72" i="1"/>
  <c r="L72" i="1"/>
  <c r="H72" i="1"/>
  <c r="I72" i="1" s="1"/>
  <c r="O71" i="1"/>
  <c r="L71" i="1"/>
  <c r="H71" i="1"/>
  <c r="I71" i="1" s="1"/>
  <c r="O70" i="1"/>
  <c r="L70" i="1"/>
  <c r="H70" i="1"/>
  <c r="I70" i="1" s="1"/>
  <c r="O69" i="1"/>
  <c r="L69" i="1"/>
  <c r="H69" i="1"/>
  <c r="I69" i="1" s="1"/>
  <c r="O68" i="1"/>
  <c r="L68" i="1"/>
  <c r="H68" i="1"/>
  <c r="I68" i="1" s="1"/>
  <c r="O67" i="1"/>
  <c r="L67" i="1"/>
  <c r="H67" i="1"/>
  <c r="I67" i="1" s="1"/>
  <c r="O66" i="1"/>
  <c r="L66" i="1"/>
  <c r="H66" i="1"/>
  <c r="I66" i="1" s="1"/>
  <c r="O65" i="1"/>
  <c r="L65" i="1"/>
  <c r="H65" i="1"/>
  <c r="I65" i="1" s="1"/>
  <c r="O64" i="1"/>
  <c r="L64" i="1"/>
  <c r="H64" i="1"/>
  <c r="I64" i="1" s="1"/>
  <c r="O63" i="1"/>
  <c r="L63" i="1"/>
  <c r="H63" i="1"/>
  <c r="I63" i="1" s="1"/>
  <c r="O62" i="1"/>
  <c r="L62" i="1"/>
  <c r="H62" i="1"/>
  <c r="I62" i="1" s="1"/>
  <c r="O61" i="1"/>
  <c r="L61" i="1"/>
  <c r="H61" i="1"/>
  <c r="I61" i="1" s="1"/>
  <c r="O60" i="1"/>
  <c r="L60" i="1"/>
  <c r="H60" i="1"/>
  <c r="I60" i="1" s="1"/>
  <c r="O59" i="1"/>
  <c r="L59" i="1"/>
  <c r="H59" i="1"/>
  <c r="I59" i="1" s="1"/>
  <c r="O58" i="1"/>
  <c r="L58" i="1"/>
  <c r="H58" i="1"/>
  <c r="I58" i="1" s="1"/>
  <c r="O57" i="1"/>
  <c r="L57" i="1"/>
  <c r="H57" i="1"/>
  <c r="I57" i="1" s="1"/>
  <c r="O56" i="1"/>
  <c r="L56" i="1"/>
  <c r="H56" i="1"/>
  <c r="I56" i="1" s="1"/>
  <c r="O55" i="1"/>
  <c r="L55" i="1"/>
  <c r="H55" i="1"/>
  <c r="I55" i="1" s="1"/>
  <c r="O54" i="1"/>
  <c r="L54" i="1"/>
  <c r="H54" i="1"/>
  <c r="I54" i="1" s="1"/>
  <c r="O53" i="1"/>
  <c r="L53" i="1"/>
  <c r="H53" i="1"/>
  <c r="I53" i="1" s="1"/>
  <c r="O52" i="1"/>
  <c r="L52" i="1"/>
  <c r="H52" i="1"/>
  <c r="I52" i="1" s="1"/>
  <c r="O51" i="1"/>
  <c r="L51" i="1"/>
  <c r="H51" i="1"/>
  <c r="I51" i="1" s="1"/>
  <c r="O50" i="1"/>
  <c r="L50" i="1"/>
  <c r="H50" i="1"/>
  <c r="I50" i="1" s="1"/>
  <c r="O49" i="1"/>
  <c r="L49" i="1"/>
  <c r="H49" i="1"/>
  <c r="I49" i="1" s="1"/>
  <c r="O48" i="1"/>
  <c r="L48" i="1"/>
  <c r="H48" i="1"/>
  <c r="I48" i="1" s="1"/>
  <c r="O47" i="1"/>
  <c r="L47" i="1"/>
  <c r="H47" i="1"/>
  <c r="I47" i="1" s="1"/>
  <c r="O46" i="1"/>
  <c r="L46" i="1"/>
  <c r="H46" i="1"/>
  <c r="I46" i="1" s="1"/>
  <c r="O45" i="1"/>
  <c r="L45" i="1"/>
  <c r="H45" i="1"/>
  <c r="I45" i="1" s="1"/>
  <c r="O44" i="1"/>
  <c r="L44" i="1"/>
  <c r="H44" i="1"/>
  <c r="I44" i="1" s="1"/>
  <c r="O43" i="1"/>
  <c r="L43" i="1"/>
  <c r="H43" i="1"/>
  <c r="I43" i="1" s="1"/>
  <c r="O42" i="1"/>
  <c r="L42" i="1"/>
  <c r="H42" i="1"/>
  <c r="I42" i="1" s="1"/>
  <c r="O41" i="1"/>
  <c r="L41" i="1"/>
  <c r="H41" i="1"/>
  <c r="I41" i="1" s="1"/>
  <c r="O40" i="1"/>
  <c r="L40" i="1"/>
  <c r="H40" i="1"/>
  <c r="I40" i="1" s="1"/>
  <c r="O39" i="1"/>
  <c r="L39" i="1"/>
  <c r="H39" i="1"/>
  <c r="I39" i="1" s="1"/>
  <c r="O38" i="1"/>
  <c r="L38" i="1"/>
  <c r="H38" i="1"/>
  <c r="I38" i="1" s="1"/>
  <c r="O37" i="1"/>
  <c r="L37" i="1"/>
  <c r="H37" i="1"/>
  <c r="I37" i="1" s="1"/>
  <c r="O36" i="1"/>
  <c r="L36" i="1"/>
  <c r="H36" i="1"/>
  <c r="I36" i="1" s="1"/>
  <c r="O35" i="1"/>
  <c r="L35" i="1"/>
  <c r="H35" i="1"/>
  <c r="I35" i="1" s="1"/>
  <c r="O34" i="1"/>
  <c r="L34" i="1"/>
  <c r="H34" i="1"/>
  <c r="I34" i="1" s="1"/>
  <c r="O33" i="1"/>
  <c r="L33" i="1"/>
  <c r="H33" i="1"/>
  <c r="I33" i="1" s="1"/>
  <c r="O32" i="1"/>
  <c r="L32" i="1"/>
  <c r="H32" i="1"/>
  <c r="I32" i="1" s="1"/>
  <c r="O31" i="1"/>
  <c r="L31" i="1"/>
  <c r="H31" i="1"/>
  <c r="I31" i="1" s="1"/>
  <c r="O30" i="1"/>
  <c r="L30" i="1"/>
  <c r="H30" i="1"/>
  <c r="I30" i="1" s="1"/>
  <c r="O29" i="1"/>
  <c r="L29" i="1"/>
  <c r="H29" i="1"/>
  <c r="I29" i="1" s="1"/>
  <c r="O28" i="1"/>
  <c r="L28" i="1"/>
  <c r="H28" i="1"/>
  <c r="I28" i="1" s="1"/>
  <c r="O27" i="1"/>
  <c r="L27" i="1"/>
  <c r="H27" i="1"/>
  <c r="I27" i="1" s="1"/>
  <c r="O26" i="1"/>
  <c r="L26" i="1"/>
  <c r="H26" i="1"/>
  <c r="I26" i="1" s="1"/>
  <c r="O25" i="1"/>
  <c r="L25" i="1"/>
  <c r="H25" i="1"/>
  <c r="I25" i="1" s="1"/>
  <c r="O24" i="1"/>
  <c r="L24" i="1"/>
  <c r="H24" i="1"/>
  <c r="I24" i="1" s="1"/>
  <c r="O23" i="1"/>
  <c r="L23" i="1"/>
  <c r="H23" i="1"/>
  <c r="I23" i="1" s="1"/>
  <c r="O22" i="1"/>
  <c r="L22" i="1"/>
  <c r="H22" i="1"/>
  <c r="I22" i="1" s="1"/>
  <c r="O21" i="1"/>
  <c r="L21" i="1"/>
  <c r="H21" i="1"/>
  <c r="I21" i="1" s="1"/>
  <c r="O20" i="1"/>
  <c r="L20" i="1"/>
  <c r="H20" i="1"/>
  <c r="I20" i="1" s="1"/>
  <c r="O19" i="1"/>
  <c r="L19" i="1"/>
  <c r="H19" i="1"/>
  <c r="I19" i="1" s="1"/>
  <c r="O18" i="1"/>
  <c r="L18" i="1"/>
  <c r="H18" i="1"/>
  <c r="I18" i="1" s="1"/>
  <c r="O17" i="1"/>
  <c r="L17" i="1"/>
  <c r="H17" i="1"/>
  <c r="I17" i="1" s="1"/>
  <c r="O16" i="1"/>
  <c r="L16" i="1"/>
  <c r="H16" i="1"/>
  <c r="I16" i="1" s="1"/>
  <c r="O15" i="1"/>
  <c r="L15" i="1"/>
  <c r="H15" i="1"/>
  <c r="I15" i="1" s="1"/>
  <c r="O14" i="1"/>
  <c r="L14" i="1"/>
  <c r="H14" i="1"/>
  <c r="I14" i="1" s="1"/>
  <c r="O13" i="1"/>
  <c r="L13" i="1"/>
  <c r="H13" i="1"/>
  <c r="I13" i="1" s="1"/>
  <c r="O12" i="1"/>
  <c r="L12" i="1"/>
  <c r="H12" i="1"/>
  <c r="I12" i="1" s="1"/>
  <c r="O11" i="1"/>
  <c r="L11" i="1"/>
  <c r="H11" i="1"/>
  <c r="I11" i="1" s="1"/>
  <c r="O10" i="1"/>
  <c r="L10" i="1"/>
  <c r="H10" i="1"/>
  <c r="I10" i="1" s="1"/>
  <c r="O9" i="1"/>
  <c r="L9" i="1"/>
  <c r="H9" i="1"/>
  <c r="I9" i="1" s="1"/>
  <c r="O8" i="1"/>
  <c r="L8" i="1"/>
  <c r="H8" i="1"/>
  <c r="I8" i="1" s="1"/>
  <c r="O7" i="1"/>
  <c r="L7" i="1"/>
  <c r="H7" i="1"/>
  <c r="I7" i="1" s="1"/>
  <c r="O6" i="1"/>
  <c r="L6" i="1"/>
  <c r="H6" i="1"/>
  <c r="I6" i="1" s="1"/>
  <c r="O5" i="1"/>
  <c r="L5" i="1"/>
  <c r="H5" i="1"/>
  <c r="I5" i="1" s="1"/>
  <c r="O4" i="1"/>
  <c r="L4" i="1"/>
  <c r="H4" i="1"/>
  <c r="Q499" i="1" l="1"/>
  <c r="P77" i="1"/>
  <c r="P89" i="1"/>
  <c r="Q89" i="1" s="1"/>
  <c r="P113" i="1"/>
  <c r="Q113" i="1" s="1"/>
  <c r="P117" i="1"/>
  <c r="Q117" i="1" s="1"/>
  <c r="P171" i="1"/>
  <c r="P455" i="1"/>
  <c r="Q455" i="1" s="1"/>
  <c r="P38" i="1"/>
  <c r="Q38" i="1" s="1"/>
  <c r="P186" i="1"/>
  <c r="P366" i="1"/>
  <c r="P6" i="1"/>
  <c r="Q6" i="1" s="1"/>
  <c r="P85" i="1"/>
  <c r="Q85" i="1" s="1"/>
  <c r="P54" i="1"/>
  <c r="Q54" i="1" s="1"/>
  <c r="P242" i="1"/>
  <c r="Q242" i="1" s="1"/>
  <c r="P13" i="1"/>
  <c r="Q13" i="1" s="1"/>
  <c r="P45" i="1"/>
  <c r="Q45" i="1" s="1"/>
  <c r="P61" i="1"/>
  <c r="Q61" i="1" s="1"/>
  <c r="P70" i="1"/>
  <c r="Q70" i="1" s="1"/>
  <c r="P79" i="1"/>
  <c r="Q79" i="1" s="1"/>
  <c r="P87" i="1"/>
  <c r="Q87" i="1" s="1"/>
  <c r="P95" i="1"/>
  <c r="Q95" i="1" s="1"/>
  <c r="P205" i="1"/>
  <c r="Q205" i="1" s="1"/>
  <c r="P209" i="1"/>
  <c r="Q209" i="1" s="1"/>
  <c r="P249" i="1"/>
  <c r="Q249" i="1" s="1"/>
  <c r="P285" i="1"/>
  <c r="Q285" i="1" s="1"/>
  <c r="P293" i="1"/>
  <c r="Q293" i="1" s="1"/>
  <c r="P441" i="1"/>
  <c r="Q441" i="1" s="1"/>
  <c r="P12" i="1"/>
  <c r="Q12" i="1" s="1"/>
  <c r="P20" i="1"/>
  <c r="Q20" i="1" s="1"/>
  <c r="P26" i="1"/>
  <c r="Q26" i="1" s="1"/>
  <c r="P42" i="1"/>
  <c r="Q42" i="1" s="1"/>
  <c r="P50" i="1"/>
  <c r="Q50" i="1" s="1"/>
  <c r="P58" i="1"/>
  <c r="Q58" i="1" s="1"/>
  <c r="P74" i="1"/>
  <c r="Q74" i="1" s="1"/>
  <c r="P122" i="1"/>
  <c r="Q122" i="1" s="1"/>
  <c r="P125" i="1"/>
  <c r="Q125" i="1" s="1"/>
  <c r="P178" i="1"/>
  <c r="Q178" i="1" s="1"/>
  <c r="P223" i="1"/>
  <c r="Q223" i="1" s="1"/>
  <c r="P241" i="1"/>
  <c r="Q241" i="1" s="1"/>
  <c r="P277" i="1"/>
  <c r="Q277" i="1" s="1"/>
  <c r="P315" i="1"/>
  <c r="Q315" i="1" s="1"/>
  <c r="P377" i="1"/>
  <c r="Q377" i="1" s="1"/>
  <c r="P34" i="1"/>
  <c r="Q34" i="1" s="1"/>
  <c r="P48" i="1"/>
  <c r="Q48" i="1" s="1"/>
  <c r="P100" i="1"/>
  <c r="Q100" i="1" s="1"/>
  <c r="P173" i="1"/>
  <c r="Q173" i="1" s="1"/>
  <c r="P177" i="1"/>
  <c r="Q177" i="1" s="1"/>
  <c r="P181" i="1"/>
  <c r="Q181" i="1" s="1"/>
  <c r="Q186" i="1"/>
  <c r="P187" i="1"/>
  <c r="Q187" i="1" s="1"/>
  <c r="P243" i="1"/>
  <c r="Q243" i="1" s="1"/>
  <c r="P263" i="1"/>
  <c r="Q263" i="1" s="1"/>
  <c r="P267" i="1"/>
  <c r="Q267" i="1" s="1"/>
  <c r="P302" i="1"/>
  <c r="Q302" i="1" s="1"/>
  <c r="P379" i="1"/>
  <c r="Q379" i="1" s="1"/>
  <c r="P381" i="1"/>
  <c r="Q381" i="1" s="1"/>
  <c r="P393" i="1"/>
  <c r="Q393" i="1" s="1"/>
  <c r="P399" i="1"/>
  <c r="Q399" i="1" s="1"/>
  <c r="P403" i="1"/>
  <c r="Q403" i="1" s="1"/>
  <c r="P407" i="1"/>
  <c r="Q407" i="1" s="1"/>
  <c r="P443" i="1"/>
  <c r="Q443" i="1" s="1"/>
  <c r="P445" i="1"/>
  <c r="Q445" i="1" s="1"/>
  <c r="P91" i="1"/>
  <c r="Q91" i="1" s="1"/>
  <c r="P30" i="1"/>
  <c r="Q30" i="1" s="1"/>
  <c r="P353" i="1"/>
  <c r="Q353" i="1" s="1"/>
  <c r="P22" i="1"/>
  <c r="Q22" i="1" s="1"/>
  <c r="P69" i="1"/>
  <c r="Q69" i="1" s="1"/>
  <c r="P52" i="1"/>
  <c r="Q52" i="1" s="1"/>
  <c r="P218" i="1"/>
  <c r="Q218" i="1" s="1"/>
  <c r="P409" i="1"/>
  <c r="Q409" i="1" s="1"/>
  <c r="P339" i="1"/>
  <c r="Q339" i="1" s="1"/>
  <c r="P296" i="1"/>
  <c r="Q296" i="1" s="1"/>
  <c r="P10" i="1"/>
  <c r="Q10" i="1" s="1"/>
  <c r="P28" i="1"/>
  <c r="Q28" i="1" s="1"/>
  <c r="P44" i="1"/>
  <c r="Q44" i="1" s="1"/>
  <c r="P80" i="1"/>
  <c r="Q80" i="1" s="1"/>
  <c r="P84" i="1"/>
  <c r="Q84" i="1" s="1"/>
  <c r="P88" i="1"/>
  <c r="Q88" i="1" s="1"/>
  <c r="P92" i="1"/>
  <c r="Q92" i="1" s="1"/>
  <c r="P96" i="1"/>
  <c r="Q96" i="1" s="1"/>
  <c r="P371" i="1"/>
  <c r="Q371" i="1" s="1"/>
  <c r="P328" i="1"/>
  <c r="Q328" i="1" s="1"/>
  <c r="P332" i="1"/>
  <c r="Q332" i="1" s="1"/>
  <c r="P417" i="1"/>
  <c r="Q417" i="1" s="1"/>
  <c r="P14" i="1"/>
  <c r="Q14" i="1" s="1"/>
  <c r="P36" i="1"/>
  <c r="Q36" i="1" s="1"/>
  <c r="P68" i="1"/>
  <c r="Q68" i="1" s="1"/>
  <c r="P98" i="1"/>
  <c r="Q98" i="1" s="1"/>
  <c r="P106" i="1"/>
  <c r="Q106" i="1" s="1"/>
  <c r="P179" i="1"/>
  <c r="Q179" i="1" s="1"/>
  <c r="P210" i="1"/>
  <c r="Q210" i="1" s="1"/>
  <c r="P231" i="1"/>
  <c r="Q231" i="1" s="1"/>
  <c r="P235" i="1"/>
  <c r="Q235" i="1" s="1"/>
  <c r="P250" i="1"/>
  <c r="Q250" i="1" s="1"/>
  <c r="P261" i="1"/>
  <c r="Q261" i="1" s="1"/>
  <c r="P269" i="1"/>
  <c r="Q269" i="1" s="1"/>
  <c r="P278" i="1"/>
  <c r="Q278" i="1" s="1"/>
  <c r="P357" i="1"/>
  <c r="Q357" i="1" s="1"/>
  <c r="P387" i="1"/>
  <c r="Q387" i="1" s="1"/>
  <c r="P397" i="1"/>
  <c r="Q397" i="1" s="1"/>
  <c r="P435" i="1"/>
  <c r="Q435" i="1" s="1"/>
  <c r="P457" i="1"/>
  <c r="Q457" i="1" s="1"/>
  <c r="P473" i="1"/>
  <c r="Q473" i="1" s="1"/>
  <c r="P169" i="1"/>
  <c r="Q169" i="1" s="1"/>
  <c r="P118" i="1"/>
  <c r="Q118" i="1" s="1"/>
  <c r="P53" i="1"/>
  <c r="Q53" i="1" s="1"/>
  <c r="P447" i="1"/>
  <c r="Q447" i="1" s="1"/>
  <c r="P93" i="1"/>
  <c r="Q93" i="1" s="1"/>
  <c r="P76" i="1"/>
  <c r="Q76" i="1" s="1"/>
  <c r="P463" i="1"/>
  <c r="Q463" i="1" s="1"/>
  <c r="P81" i="1"/>
  <c r="Q81" i="1" s="1"/>
  <c r="P78" i="1"/>
  <c r="Q78" i="1" s="1"/>
  <c r="P129" i="1"/>
  <c r="Q129" i="1" s="1"/>
  <c r="P136" i="1"/>
  <c r="Q136" i="1" s="1"/>
  <c r="P147" i="1"/>
  <c r="Q147" i="1" s="1"/>
  <c r="P154" i="1"/>
  <c r="Q154" i="1" s="1"/>
  <c r="P157" i="1"/>
  <c r="Q157" i="1" s="1"/>
  <c r="P166" i="1"/>
  <c r="Q166" i="1" s="1"/>
  <c r="P167" i="1"/>
  <c r="Q167" i="1" s="1"/>
  <c r="P189" i="1"/>
  <c r="Q189" i="1" s="1"/>
  <c r="P229" i="1"/>
  <c r="Q229" i="1" s="1"/>
  <c r="P234" i="1"/>
  <c r="Q234" i="1" s="1"/>
  <c r="P32" i="1"/>
  <c r="Q32" i="1" s="1"/>
  <c r="P64" i="1"/>
  <c r="Q64" i="1" s="1"/>
  <c r="P104" i="1"/>
  <c r="Q104" i="1" s="1"/>
  <c r="P108" i="1"/>
  <c r="Q108" i="1" s="1"/>
  <c r="P112" i="1"/>
  <c r="Q112" i="1" s="1"/>
  <c r="P116" i="1"/>
  <c r="Q116" i="1" s="1"/>
  <c r="P128" i="1"/>
  <c r="Q128" i="1" s="1"/>
  <c r="P146" i="1"/>
  <c r="Q146" i="1" s="1"/>
  <c r="P153" i="1"/>
  <c r="Q153" i="1" s="1"/>
  <c r="P161" i="1"/>
  <c r="Q161" i="1" s="1"/>
  <c r="P162" i="1"/>
  <c r="Q162" i="1" s="1"/>
  <c r="P163" i="1"/>
  <c r="Q163" i="1" s="1"/>
  <c r="P197" i="1"/>
  <c r="Q197" i="1" s="1"/>
  <c r="P198" i="1"/>
  <c r="Q198" i="1" s="1"/>
  <c r="P199" i="1"/>
  <c r="Q199" i="1" s="1"/>
  <c r="P203" i="1"/>
  <c r="Q203" i="1" s="1"/>
  <c r="P219" i="1"/>
  <c r="Q219" i="1" s="1"/>
  <c r="P226" i="1"/>
  <c r="Q226" i="1" s="1"/>
  <c r="P227" i="1"/>
  <c r="Q227" i="1" s="1"/>
  <c r="P233" i="1"/>
  <c r="Q233" i="1" s="1"/>
  <c r="P255" i="1"/>
  <c r="Q255" i="1" s="1"/>
  <c r="P271" i="1"/>
  <c r="Q271" i="1" s="1"/>
  <c r="P282" i="1"/>
  <c r="Q282" i="1" s="1"/>
  <c r="P292" i="1"/>
  <c r="Q292" i="1" s="1"/>
  <c r="P383" i="1"/>
  <c r="Q383" i="1" s="1"/>
  <c r="P431" i="1"/>
  <c r="Q431" i="1" s="1"/>
  <c r="P16" i="1"/>
  <c r="Q16" i="1" s="1"/>
  <c r="P133" i="1"/>
  <c r="Q133" i="1" s="1"/>
  <c r="P361" i="1"/>
  <c r="Q361" i="1" s="1"/>
  <c r="P411" i="1"/>
  <c r="Q411" i="1" s="1"/>
  <c r="P413" i="1"/>
  <c r="Q413" i="1" s="1"/>
  <c r="P419" i="1"/>
  <c r="Q419" i="1" s="1"/>
  <c r="P423" i="1"/>
  <c r="Q423" i="1" s="1"/>
  <c r="P427" i="1"/>
  <c r="Q427" i="1" s="1"/>
  <c r="P429" i="1"/>
  <c r="Q429" i="1" s="1"/>
  <c r="P471" i="1"/>
  <c r="Q471" i="1" s="1"/>
  <c r="P373" i="1"/>
  <c r="Q373" i="1" s="1"/>
  <c r="P130" i="1"/>
  <c r="Q130" i="1" s="1"/>
  <c r="P62" i="1"/>
  <c r="Q62" i="1" s="1"/>
  <c r="P4" i="1"/>
  <c r="P83" i="1"/>
  <c r="Q83" i="1" s="1"/>
  <c r="P449" i="1"/>
  <c r="Q449" i="1" s="1"/>
  <c r="P365" i="1"/>
  <c r="Q365" i="1" s="1"/>
  <c r="P121" i="1"/>
  <c r="Q121" i="1" s="1"/>
  <c r="P211" i="1"/>
  <c r="Q211" i="1" s="1"/>
  <c r="P207" i="1"/>
  <c r="Q207" i="1" s="1"/>
  <c r="P193" i="1"/>
  <c r="Q193" i="1" s="1"/>
  <c r="P165" i="1"/>
  <c r="Q165" i="1" s="1"/>
  <c r="P66" i="1"/>
  <c r="Q66" i="1" s="1"/>
  <c r="P139" i="1"/>
  <c r="Q139" i="1" s="1"/>
  <c r="P5" i="1"/>
  <c r="Q5" i="1" s="1"/>
  <c r="P451" i="1"/>
  <c r="Q451" i="1" s="1"/>
  <c r="P37" i="1"/>
  <c r="Q37" i="1" s="1"/>
  <c r="P29" i="1"/>
  <c r="Q29" i="1" s="1"/>
  <c r="P18" i="1"/>
  <c r="Q18" i="1" s="1"/>
  <c r="P425" i="1"/>
  <c r="Q425" i="1" s="1"/>
  <c r="P298" i="1"/>
  <c r="Q298" i="1" s="1"/>
  <c r="P72" i="1"/>
  <c r="Q72" i="1" s="1"/>
  <c r="P110" i="1"/>
  <c r="Q110" i="1" s="1"/>
  <c r="P114" i="1"/>
  <c r="Q114" i="1" s="1"/>
  <c r="P137" i="1"/>
  <c r="Q137" i="1" s="1"/>
  <c r="P144" i="1"/>
  <c r="Q144" i="1" s="1"/>
  <c r="P155" i="1"/>
  <c r="Q155" i="1" s="1"/>
  <c r="Q171" i="1"/>
  <c r="P194" i="1"/>
  <c r="Q194" i="1" s="1"/>
  <c r="P201" i="1"/>
  <c r="Q201" i="1" s="1"/>
  <c r="P294" i="1"/>
  <c r="Q294" i="1" s="1"/>
  <c r="P304" i="1"/>
  <c r="Q304" i="1" s="1"/>
  <c r="P306" i="1"/>
  <c r="Q306" i="1" s="1"/>
  <c r="P308" i="1"/>
  <c r="Q308" i="1" s="1"/>
  <c r="P310" i="1"/>
  <c r="Q310" i="1" s="1"/>
  <c r="P322" i="1"/>
  <c r="Q322" i="1" s="1"/>
  <c r="P326" i="1"/>
  <c r="Q326" i="1" s="1"/>
  <c r="P60" i="1"/>
  <c r="Q60" i="1" s="1"/>
  <c r="P245" i="1"/>
  <c r="Q245" i="1" s="1"/>
  <c r="P247" i="1"/>
  <c r="Q247" i="1" s="1"/>
  <c r="P251" i="1"/>
  <c r="Q251" i="1" s="1"/>
  <c r="P258" i="1"/>
  <c r="Q258" i="1" s="1"/>
  <c r="P265" i="1"/>
  <c r="Q265" i="1" s="1"/>
  <c r="P274" i="1"/>
  <c r="Q274" i="1" s="1"/>
  <c r="P279" i="1"/>
  <c r="Q279" i="1" s="1"/>
  <c r="P286" i="1"/>
  <c r="Q286" i="1" s="1"/>
  <c r="P21" i="1"/>
  <c r="Q21" i="1" s="1"/>
  <c r="P40" i="1"/>
  <c r="Q40" i="1" s="1"/>
  <c r="P46" i="1"/>
  <c r="Q46" i="1" s="1"/>
  <c r="P102" i="1"/>
  <c r="Q102" i="1" s="1"/>
  <c r="P175" i="1"/>
  <c r="Q175" i="1" s="1"/>
  <c r="P237" i="1"/>
  <c r="Q237" i="1" s="1"/>
  <c r="P331" i="1"/>
  <c r="Q331" i="1" s="1"/>
  <c r="P341" i="1"/>
  <c r="Q341" i="1" s="1"/>
  <c r="P342" i="1"/>
  <c r="Q342" i="1" s="1"/>
  <c r="P350" i="1"/>
  <c r="Q350" i="1" s="1"/>
  <c r="P370" i="1"/>
  <c r="Q370" i="1" s="1"/>
  <c r="P375" i="1"/>
  <c r="Q375" i="1" s="1"/>
  <c r="P385" i="1"/>
  <c r="Q385" i="1" s="1"/>
  <c r="P433" i="1"/>
  <c r="Q433" i="1" s="1"/>
  <c r="P86" i="1"/>
  <c r="Q86" i="1" s="1"/>
  <c r="P90" i="1"/>
  <c r="Q90" i="1" s="1"/>
  <c r="P149" i="1"/>
  <c r="Q149" i="1" s="1"/>
  <c r="P183" i="1"/>
  <c r="Q183" i="1" s="1"/>
  <c r="P225" i="1"/>
  <c r="Q225" i="1" s="1"/>
  <c r="P273" i="1"/>
  <c r="Q273" i="1" s="1"/>
  <c r="P288" i="1"/>
  <c r="Q288" i="1" s="1"/>
  <c r="P334" i="1"/>
  <c r="Q334" i="1" s="1"/>
  <c r="Q366" i="1"/>
  <c r="P82" i="1"/>
  <c r="Q82" i="1" s="1"/>
  <c r="P94" i="1"/>
  <c r="Q94" i="1" s="1"/>
  <c r="P239" i="1"/>
  <c r="Q239" i="1" s="1"/>
  <c r="P257" i="1"/>
  <c r="Q257" i="1" s="1"/>
  <c r="P330" i="1"/>
  <c r="Q330" i="1" s="1"/>
  <c r="P465" i="1"/>
  <c r="Q465" i="1" s="1"/>
  <c r="P8" i="1"/>
  <c r="Q8" i="1" s="1"/>
  <c r="P24" i="1"/>
  <c r="Q24" i="1" s="1"/>
  <c r="P56" i="1"/>
  <c r="Q56" i="1" s="1"/>
  <c r="P111" i="1"/>
  <c r="Q111" i="1" s="1"/>
  <c r="P115" i="1"/>
  <c r="Q115" i="1" s="1"/>
  <c r="P119" i="1"/>
  <c r="Q119" i="1" s="1"/>
  <c r="P120" i="1"/>
  <c r="Q120" i="1" s="1"/>
  <c r="P123" i="1"/>
  <c r="Q123" i="1" s="1"/>
  <c r="P124" i="1"/>
  <c r="Q124" i="1" s="1"/>
  <c r="P131" i="1"/>
  <c r="Q131" i="1" s="1"/>
  <c r="P138" i="1"/>
  <c r="Q138" i="1" s="1"/>
  <c r="P141" i="1"/>
  <c r="Q141" i="1" s="1"/>
  <c r="P145" i="1"/>
  <c r="Q145" i="1" s="1"/>
  <c r="P152" i="1"/>
  <c r="Q152" i="1" s="1"/>
  <c r="P160" i="1"/>
  <c r="Q160" i="1" s="1"/>
  <c r="P170" i="1"/>
  <c r="Q170" i="1" s="1"/>
  <c r="P185" i="1"/>
  <c r="Q185" i="1" s="1"/>
  <c r="P191" i="1"/>
  <c r="Q191" i="1" s="1"/>
  <c r="P195" i="1"/>
  <c r="Q195" i="1" s="1"/>
  <c r="P202" i="1"/>
  <c r="Q202" i="1" s="1"/>
  <c r="P213" i="1"/>
  <c r="Q213" i="1" s="1"/>
  <c r="P215" i="1"/>
  <c r="Q215" i="1" s="1"/>
  <c r="P221" i="1"/>
  <c r="Q221" i="1" s="1"/>
  <c r="P253" i="1"/>
  <c r="Q253" i="1" s="1"/>
  <c r="P259" i="1"/>
  <c r="Q259" i="1" s="1"/>
  <c r="P266" i="1"/>
  <c r="Q266" i="1" s="1"/>
  <c r="P280" i="1"/>
  <c r="Q280" i="1" s="1"/>
  <c r="P320" i="1"/>
  <c r="Q320" i="1" s="1"/>
  <c r="P324" i="1"/>
  <c r="Q324" i="1" s="1"/>
  <c r="P345" i="1"/>
  <c r="Q345" i="1" s="1"/>
  <c r="P346" i="1"/>
  <c r="Q346" i="1" s="1"/>
  <c r="P358" i="1"/>
  <c r="Q358" i="1" s="1"/>
  <c r="P359" i="1"/>
  <c r="Q359" i="1" s="1"/>
  <c r="P391" i="1"/>
  <c r="Q391" i="1" s="1"/>
  <c r="P401" i="1"/>
  <c r="Q401" i="1" s="1"/>
  <c r="P415" i="1"/>
  <c r="Q415" i="1" s="1"/>
  <c r="P439" i="1"/>
  <c r="Q439" i="1" s="1"/>
  <c r="P461" i="1"/>
  <c r="Q461" i="1" s="1"/>
  <c r="P467" i="1"/>
  <c r="Q467" i="1" s="1"/>
  <c r="P9" i="1"/>
  <c r="Q9" i="1" s="1"/>
  <c r="P25" i="1"/>
  <c r="Q25" i="1" s="1"/>
  <c r="P41" i="1"/>
  <c r="Q41" i="1" s="1"/>
  <c r="P57" i="1"/>
  <c r="Q57" i="1" s="1"/>
  <c r="P73" i="1"/>
  <c r="Q73" i="1" s="1"/>
  <c r="P127" i="1"/>
  <c r="Q127" i="1" s="1"/>
  <c r="P135" i="1"/>
  <c r="Q135" i="1" s="1"/>
  <c r="P143" i="1"/>
  <c r="Q143" i="1" s="1"/>
  <c r="P151" i="1"/>
  <c r="Q151" i="1" s="1"/>
  <c r="P159" i="1"/>
  <c r="Q159" i="1" s="1"/>
  <c r="P182" i="1"/>
  <c r="Q182" i="1" s="1"/>
  <c r="P214" i="1"/>
  <c r="Q214" i="1" s="1"/>
  <c r="P217" i="1"/>
  <c r="Q217" i="1" s="1"/>
  <c r="H479" i="1"/>
  <c r="P97" i="1"/>
  <c r="Q97" i="1" s="1"/>
  <c r="P99" i="1"/>
  <c r="Q99" i="1" s="1"/>
  <c r="P101" i="1"/>
  <c r="Q101" i="1" s="1"/>
  <c r="P103" i="1"/>
  <c r="Q103" i="1" s="1"/>
  <c r="P105" i="1"/>
  <c r="Q105" i="1" s="1"/>
  <c r="P107" i="1"/>
  <c r="Q107" i="1" s="1"/>
  <c r="P109" i="1"/>
  <c r="Q109" i="1" s="1"/>
  <c r="P17" i="1"/>
  <c r="Q17" i="1" s="1"/>
  <c r="P33" i="1"/>
  <c r="Q33" i="1" s="1"/>
  <c r="P49" i="1"/>
  <c r="Q49" i="1" s="1"/>
  <c r="P65" i="1"/>
  <c r="Q65" i="1" s="1"/>
  <c r="P174" i="1"/>
  <c r="Q174" i="1" s="1"/>
  <c r="P190" i="1"/>
  <c r="Q190" i="1" s="1"/>
  <c r="P206" i="1"/>
  <c r="Q206" i="1" s="1"/>
  <c r="P395" i="1"/>
  <c r="Q395" i="1" s="1"/>
  <c r="P459" i="1"/>
  <c r="Q459" i="1" s="1"/>
  <c r="J526" i="1"/>
  <c r="P230" i="1"/>
  <c r="Q230" i="1" s="1"/>
  <c r="P246" i="1"/>
  <c r="Q246" i="1" s="1"/>
  <c r="P262" i="1"/>
  <c r="Q262" i="1" s="1"/>
  <c r="P301" i="1"/>
  <c r="Q301" i="1" s="1"/>
  <c r="P307" i="1"/>
  <c r="Q307" i="1" s="1"/>
  <c r="P336" i="1"/>
  <c r="Q336" i="1" s="1"/>
  <c r="P338" i="1"/>
  <c r="Q338" i="1" s="1"/>
  <c r="P343" i="1"/>
  <c r="Q343" i="1" s="1"/>
  <c r="P355" i="1"/>
  <c r="Q355" i="1" s="1"/>
  <c r="P363" i="1"/>
  <c r="Q363" i="1" s="1"/>
  <c r="P367" i="1"/>
  <c r="Q367" i="1" s="1"/>
  <c r="P389" i="1"/>
  <c r="Q389" i="1" s="1"/>
  <c r="P421" i="1"/>
  <c r="Q421" i="1" s="1"/>
  <c r="P453" i="1"/>
  <c r="Q453" i="1" s="1"/>
  <c r="Q495" i="1"/>
  <c r="P222" i="1"/>
  <c r="Q222" i="1" s="1"/>
  <c r="P238" i="1"/>
  <c r="Q238" i="1" s="1"/>
  <c r="P254" i="1"/>
  <c r="Q254" i="1" s="1"/>
  <c r="P270" i="1"/>
  <c r="Q270" i="1" s="1"/>
  <c r="P276" i="1"/>
  <c r="Q276" i="1" s="1"/>
  <c r="P290" i="1"/>
  <c r="Q290" i="1" s="1"/>
  <c r="P295" i="1"/>
  <c r="Q295" i="1" s="1"/>
  <c r="P300" i="1"/>
  <c r="Q300" i="1" s="1"/>
  <c r="P349" i="1"/>
  <c r="Q349" i="1" s="1"/>
  <c r="P362" i="1"/>
  <c r="Q362" i="1" s="1"/>
  <c r="P369" i="1"/>
  <c r="Q369" i="1" s="1"/>
  <c r="P405" i="1"/>
  <c r="Q405" i="1" s="1"/>
  <c r="P437" i="1"/>
  <c r="Q437" i="1" s="1"/>
  <c r="P469" i="1"/>
  <c r="Q469" i="1" s="1"/>
  <c r="N526" i="1"/>
  <c r="Q520" i="1"/>
  <c r="P284" i="1"/>
  <c r="Q284" i="1" s="1"/>
  <c r="P312" i="1"/>
  <c r="Q312" i="1" s="1"/>
  <c r="P314" i="1"/>
  <c r="Q314" i="1" s="1"/>
  <c r="P316" i="1"/>
  <c r="Q316" i="1" s="1"/>
  <c r="P318" i="1"/>
  <c r="Q318" i="1" s="1"/>
  <c r="P323" i="1"/>
  <c r="Q323" i="1" s="1"/>
  <c r="P347" i="1"/>
  <c r="Q347" i="1" s="1"/>
  <c r="P351" i="1"/>
  <c r="Q351" i="1" s="1"/>
  <c r="P354" i="1"/>
  <c r="Q354" i="1" s="1"/>
  <c r="P374" i="1"/>
  <c r="Q374" i="1" s="1"/>
  <c r="E526" i="1"/>
  <c r="F526" i="1"/>
  <c r="Q516" i="1"/>
  <c r="Q521" i="1"/>
  <c r="Q524" i="1"/>
  <c r="I4" i="1"/>
  <c r="P7" i="1"/>
  <c r="Q7" i="1" s="1"/>
  <c r="P11" i="1"/>
  <c r="Q11" i="1" s="1"/>
  <c r="P15" i="1"/>
  <c r="Q15" i="1" s="1"/>
  <c r="P19" i="1"/>
  <c r="Q19" i="1" s="1"/>
  <c r="P23" i="1"/>
  <c r="Q23" i="1" s="1"/>
  <c r="P27" i="1"/>
  <c r="Q27" i="1" s="1"/>
  <c r="P31" i="1"/>
  <c r="Q31" i="1" s="1"/>
  <c r="P35" i="1"/>
  <c r="Q35" i="1" s="1"/>
  <c r="P39" i="1"/>
  <c r="Q39" i="1" s="1"/>
  <c r="P43" i="1"/>
  <c r="Q43" i="1" s="1"/>
  <c r="P47" i="1"/>
  <c r="Q47" i="1" s="1"/>
  <c r="P51" i="1"/>
  <c r="Q51" i="1" s="1"/>
  <c r="P55" i="1"/>
  <c r="Q55" i="1" s="1"/>
  <c r="P59" i="1"/>
  <c r="Q59" i="1" s="1"/>
  <c r="P63" i="1"/>
  <c r="Q63" i="1" s="1"/>
  <c r="P67" i="1"/>
  <c r="Q67" i="1" s="1"/>
  <c r="P71" i="1"/>
  <c r="Q71" i="1" s="1"/>
  <c r="P75" i="1"/>
  <c r="Q75" i="1" s="1"/>
  <c r="Q77" i="1"/>
  <c r="K526" i="1"/>
  <c r="L479" i="1"/>
  <c r="L526" i="1" s="1"/>
  <c r="P126" i="1"/>
  <c r="Q126" i="1" s="1"/>
  <c r="P134" i="1"/>
  <c r="Q134" i="1" s="1"/>
  <c r="P142" i="1"/>
  <c r="Q142" i="1" s="1"/>
  <c r="P150" i="1"/>
  <c r="Q150" i="1" s="1"/>
  <c r="P158" i="1"/>
  <c r="Q158" i="1" s="1"/>
  <c r="P287" i="1"/>
  <c r="Q287" i="1" s="1"/>
  <c r="P303" i="1"/>
  <c r="Q303" i="1" s="1"/>
  <c r="P311" i="1"/>
  <c r="Q311" i="1" s="1"/>
  <c r="P319" i="1"/>
  <c r="Q319" i="1" s="1"/>
  <c r="P327" i="1"/>
  <c r="Q327" i="1" s="1"/>
  <c r="P335" i="1"/>
  <c r="Q335" i="1" s="1"/>
  <c r="O479" i="1"/>
  <c r="O526" i="1" s="1"/>
  <c r="P132" i="1"/>
  <c r="Q132" i="1" s="1"/>
  <c r="P140" i="1"/>
  <c r="Q140" i="1" s="1"/>
  <c r="P148" i="1"/>
  <c r="Q148" i="1" s="1"/>
  <c r="P156" i="1"/>
  <c r="Q156" i="1" s="1"/>
  <c r="P164" i="1"/>
  <c r="Q164" i="1" s="1"/>
  <c r="P168" i="1"/>
  <c r="Q168" i="1" s="1"/>
  <c r="P172" i="1"/>
  <c r="Q172" i="1" s="1"/>
  <c r="P176" i="1"/>
  <c r="Q176" i="1" s="1"/>
  <c r="P180" i="1"/>
  <c r="Q180" i="1" s="1"/>
  <c r="P184" i="1"/>
  <c r="Q184" i="1" s="1"/>
  <c r="P188" i="1"/>
  <c r="Q188" i="1" s="1"/>
  <c r="P192" i="1"/>
  <c r="Q192" i="1" s="1"/>
  <c r="P196" i="1"/>
  <c r="Q196" i="1" s="1"/>
  <c r="P200" i="1"/>
  <c r="Q200" i="1" s="1"/>
  <c r="P204" i="1"/>
  <c r="Q204" i="1" s="1"/>
  <c r="P208" i="1"/>
  <c r="Q208" i="1" s="1"/>
  <c r="P212" i="1"/>
  <c r="Q212" i="1" s="1"/>
  <c r="P216" i="1"/>
  <c r="Q216" i="1" s="1"/>
  <c r="P220" i="1"/>
  <c r="Q220" i="1" s="1"/>
  <c r="P224" i="1"/>
  <c r="Q224" i="1" s="1"/>
  <c r="P228" i="1"/>
  <c r="Q228" i="1" s="1"/>
  <c r="P232" i="1"/>
  <c r="Q232" i="1" s="1"/>
  <c r="P236" i="1"/>
  <c r="Q236" i="1" s="1"/>
  <c r="P240" i="1"/>
  <c r="Q240" i="1" s="1"/>
  <c r="P244" i="1"/>
  <c r="Q244" i="1" s="1"/>
  <c r="P248" i="1"/>
  <c r="Q248" i="1" s="1"/>
  <c r="P252" i="1"/>
  <c r="Q252" i="1" s="1"/>
  <c r="P256" i="1"/>
  <c r="Q256" i="1" s="1"/>
  <c r="P260" i="1"/>
  <c r="Q260" i="1" s="1"/>
  <c r="P264" i="1"/>
  <c r="Q264" i="1" s="1"/>
  <c r="P268" i="1"/>
  <c r="Q268" i="1" s="1"/>
  <c r="P272" i="1"/>
  <c r="Q272" i="1" s="1"/>
  <c r="P275" i="1"/>
  <c r="Q275" i="1" s="1"/>
  <c r="P283" i="1"/>
  <c r="Q283" i="1" s="1"/>
  <c r="P291" i="1"/>
  <c r="Q291" i="1" s="1"/>
  <c r="P299" i="1"/>
  <c r="Q299" i="1" s="1"/>
  <c r="P305" i="1"/>
  <c r="Q305" i="1" s="1"/>
  <c r="P309" i="1"/>
  <c r="Q309" i="1" s="1"/>
  <c r="P313" i="1"/>
  <c r="Q313" i="1" s="1"/>
  <c r="P317" i="1"/>
  <c r="Q317" i="1" s="1"/>
  <c r="P321" i="1"/>
  <c r="Q321" i="1" s="1"/>
  <c r="P325" i="1"/>
  <c r="Q325" i="1" s="1"/>
  <c r="P329" i="1"/>
  <c r="Q329" i="1" s="1"/>
  <c r="P333" i="1"/>
  <c r="Q333" i="1" s="1"/>
  <c r="P337" i="1"/>
  <c r="Q337" i="1" s="1"/>
  <c r="P281" i="1"/>
  <c r="Q281" i="1" s="1"/>
  <c r="P289" i="1"/>
  <c r="Q289" i="1" s="1"/>
  <c r="P297" i="1"/>
  <c r="Q297" i="1" s="1"/>
  <c r="Q517" i="1"/>
  <c r="I525" i="1"/>
  <c r="H525" i="1"/>
  <c r="P344" i="1"/>
  <c r="Q344" i="1" s="1"/>
  <c r="P352" i="1"/>
  <c r="Q352" i="1" s="1"/>
  <c r="P360" i="1"/>
  <c r="Q360" i="1" s="1"/>
  <c r="P368" i="1"/>
  <c r="Q368" i="1" s="1"/>
  <c r="P376" i="1"/>
  <c r="Q376" i="1" s="1"/>
  <c r="P380" i="1"/>
  <c r="Q380" i="1" s="1"/>
  <c r="P384" i="1"/>
  <c r="Q384" i="1" s="1"/>
  <c r="P388" i="1"/>
  <c r="Q388" i="1" s="1"/>
  <c r="P392" i="1"/>
  <c r="Q392" i="1" s="1"/>
  <c r="P396" i="1"/>
  <c r="Q396" i="1" s="1"/>
  <c r="P400" i="1"/>
  <c r="Q400" i="1" s="1"/>
  <c r="P404" i="1"/>
  <c r="Q404" i="1" s="1"/>
  <c r="P408" i="1"/>
  <c r="Q408" i="1" s="1"/>
  <c r="P412" i="1"/>
  <c r="Q412" i="1" s="1"/>
  <c r="P416" i="1"/>
  <c r="Q416" i="1" s="1"/>
  <c r="P420" i="1"/>
  <c r="Q420" i="1" s="1"/>
  <c r="P424" i="1"/>
  <c r="Q424" i="1" s="1"/>
  <c r="P428" i="1"/>
  <c r="Q428" i="1" s="1"/>
  <c r="P432" i="1"/>
  <c r="Q432" i="1" s="1"/>
  <c r="P436" i="1"/>
  <c r="Q436" i="1" s="1"/>
  <c r="P440" i="1"/>
  <c r="Q440" i="1" s="1"/>
  <c r="P444" i="1"/>
  <c r="Q444" i="1" s="1"/>
  <c r="P448" i="1"/>
  <c r="Q448" i="1" s="1"/>
  <c r="P452" i="1"/>
  <c r="Q452" i="1" s="1"/>
  <c r="P456" i="1"/>
  <c r="Q456" i="1" s="1"/>
  <c r="P460" i="1"/>
  <c r="Q460" i="1" s="1"/>
  <c r="P464" i="1"/>
  <c r="Q464" i="1" s="1"/>
  <c r="P468" i="1"/>
  <c r="Q468" i="1" s="1"/>
  <c r="P472" i="1"/>
  <c r="Q472" i="1" s="1"/>
  <c r="M526" i="1"/>
  <c r="P340" i="1"/>
  <c r="Q340" i="1" s="1"/>
  <c r="P348" i="1"/>
  <c r="Q348" i="1" s="1"/>
  <c r="P356" i="1"/>
  <c r="Q356" i="1" s="1"/>
  <c r="P364" i="1"/>
  <c r="Q364" i="1" s="1"/>
  <c r="P372" i="1"/>
  <c r="Q372" i="1" s="1"/>
  <c r="P378" i="1"/>
  <c r="Q378" i="1" s="1"/>
  <c r="P382" i="1"/>
  <c r="Q382" i="1" s="1"/>
  <c r="P386" i="1"/>
  <c r="Q386" i="1" s="1"/>
  <c r="P390" i="1"/>
  <c r="Q390" i="1" s="1"/>
  <c r="P394" i="1"/>
  <c r="Q394" i="1" s="1"/>
  <c r="P398" i="1"/>
  <c r="Q398" i="1" s="1"/>
  <c r="P402" i="1"/>
  <c r="Q402" i="1" s="1"/>
  <c r="P406" i="1"/>
  <c r="Q406" i="1" s="1"/>
  <c r="P410" i="1"/>
  <c r="Q410" i="1" s="1"/>
  <c r="P414" i="1"/>
  <c r="Q414" i="1" s="1"/>
  <c r="P418" i="1"/>
  <c r="Q418" i="1" s="1"/>
  <c r="P422" i="1"/>
  <c r="Q422" i="1" s="1"/>
  <c r="P426" i="1"/>
  <c r="Q426" i="1" s="1"/>
  <c r="P430" i="1"/>
  <c r="Q430" i="1" s="1"/>
  <c r="P434" i="1"/>
  <c r="Q434" i="1" s="1"/>
  <c r="P438" i="1"/>
  <c r="Q438" i="1" s="1"/>
  <c r="P442" i="1"/>
  <c r="Q442" i="1" s="1"/>
  <c r="P446" i="1"/>
  <c r="Q446" i="1" s="1"/>
  <c r="P450" i="1"/>
  <c r="Q450" i="1" s="1"/>
  <c r="P454" i="1"/>
  <c r="Q454" i="1" s="1"/>
  <c r="P458" i="1"/>
  <c r="Q458" i="1" s="1"/>
  <c r="P462" i="1"/>
  <c r="Q462" i="1" s="1"/>
  <c r="P466" i="1"/>
  <c r="Q466" i="1" s="1"/>
  <c r="P470" i="1"/>
  <c r="Q470" i="1" s="1"/>
  <c r="H504" i="1"/>
  <c r="I494" i="1"/>
  <c r="D526" i="1"/>
  <c r="E479" i="3"/>
  <c r="O478" i="3"/>
  <c r="L478" i="3"/>
  <c r="H478" i="3"/>
  <c r="I478" i="3" s="1"/>
  <c r="O477" i="3"/>
  <c r="L477" i="3"/>
  <c r="H477" i="3"/>
  <c r="I477" i="3" s="1"/>
  <c r="O476" i="3"/>
  <c r="L476" i="3"/>
  <c r="H476" i="3"/>
  <c r="I476" i="3" s="1"/>
  <c r="O478" i="2"/>
  <c r="L478" i="2"/>
  <c r="H478" i="2"/>
  <c r="I478" i="2" s="1"/>
  <c r="O477" i="2"/>
  <c r="L477" i="2"/>
  <c r="H477" i="2"/>
  <c r="I477" i="2" s="1"/>
  <c r="O476" i="2"/>
  <c r="L476" i="2"/>
  <c r="H476" i="2"/>
  <c r="I476" i="2" s="1"/>
  <c r="E479" i="2"/>
  <c r="Q525" i="1" l="1"/>
  <c r="H526" i="1"/>
  <c r="P479" i="1"/>
  <c r="P526" i="1" s="1"/>
  <c r="I479" i="1"/>
  <c r="Q4" i="1"/>
  <c r="Q479" i="1" s="1"/>
  <c r="I504" i="1"/>
  <c r="Q494" i="1"/>
  <c r="Q504" i="1" s="1"/>
  <c r="O474" i="3"/>
  <c r="O475" i="3"/>
  <c r="L475" i="3"/>
  <c r="H475" i="3"/>
  <c r="I475" i="3" s="1"/>
  <c r="I526" i="1" l="1"/>
  <c r="Q526" i="1"/>
  <c r="L474" i="2"/>
  <c r="O474" i="2"/>
  <c r="O459" i="2" l="1"/>
  <c r="L459" i="2"/>
  <c r="H459" i="2"/>
  <c r="I459" i="2" s="1"/>
  <c r="P459" i="2" l="1"/>
  <c r="Q459" i="2" s="1"/>
  <c r="L459" i="3" l="1"/>
  <c r="O459" i="3"/>
  <c r="H459" i="3"/>
  <c r="I459" i="3" s="1"/>
  <c r="P459" i="3" l="1"/>
  <c r="Q459" i="3" s="1"/>
  <c r="O525" i="3"/>
  <c r="N525" i="3"/>
  <c r="M525" i="3"/>
  <c r="L525" i="3"/>
  <c r="K525" i="3"/>
  <c r="J525" i="3"/>
  <c r="E525" i="3"/>
  <c r="D525" i="3"/>
  <c r="P524" i="3"/>
  <c r="H524" i="3"/>
  <c r="I524" i="3" s="1"/>
  <c r="P523" i="3"/>
  <c r="H523" i="3"/>
  <c r="I523" i="3" s="1"/>
  <c r="Q523" i="3" s="1"/>
  <c r="P522" i="3"/>
  <c r="H522" i="3"/>
  <c r="I522" i="3" s="1"/>
  <c r="P521" i="3"/>
  <c r="H521" i="3"/>
  <c r="I521" i="3" s="1"/>
  <c r="P520" i="3"/>
  <c r="H520" i="3"/>
  <c r="I520" i="3" s="1"/>
  <c r="P519" i="3"/>
  <c r="H519" i="3"/>
  <c r="I519" i="3" s="1"/>
  <c r="P518" i="3"/>
  <c r="H518" i="3"/>
  <c r="I518" i="3" s="1"/>
  <c r="P517" i="3"/>
  <c r="H517" i="3"/>
  <c r="I517" i="3" s="1"/>
  <c r="P516" i="3"/>
  <c r="I516" i="3"/>
  <c r="O504" i="3"/>
  <c r="N504" i="3"/>
  <c r="M504" i="3"/>
  <c r="L504" i="3"/>
  <c r="K504" i="3"/>
  <c r="J504" i="3"/>
  <c r="E504" i="3"/>
  <c r="D504" i="3"/>
  <c r="Q503" i="3"/>
  <c r="P502" i="3"/>
  <c r="H502" i="3"/>
  <c r="I502" i="3" s="1"/>
  <c r="Q502" i="3" s="1"/>
  <c r="P501" i="3"/>
  <c r="H501" i="3"/>
  <c r="I501" i="3" s="1"/>
  <c r="P500" i="3"/>
  <c r="H500" i="3"/>
  <c r="I500" i="3" s="1"/>
  <c r="Q500" i="3" s="1"/>
  <c r="P499" i="3"/>
  <c r="H499" i="3"/>
  <c r="I499" i="3" s="1"/>
  <c r="Q499" i="3" s="1"/>
  <c r="P498" i="3"/>
  <c r="H498" i="3"/>
  <c r="I498" i="3" s="1"/>
  <c r="P497" i="3"/>
  <c r="H497" i="3"/>
  <c r="I497" i="3" s="1"/>
  <c r="P496" i="3"/>
  <c r="H496" i="3"/>
  <c r="I496" i="3" s="1"/>
  <c r="P495" i="3"/>
  <c r="H495" i="3"/>
  <c r="I495" i="3" s="1"/>
  <c r="P494" i="3"/>
  <c r="H494" i="3"/>
  <c r="I494" i="3" s="1"/>
  <c r="Q494" i="3" s="1"/>
  <c r="A492" i="3"/>
  <c r="A514" i="3" s="1"/>
  <c r="N479" i="3"/>
  <c r="M479" i="3"/>
  <c r="K479" i="3"/>
  <c r="J479" i="3"/>
  <c r="D479" i="3"/>
  <c r="L474" i="3"/>
  <c r="H474" i="3"/>
  <c r="I474" i="3" s="1"/>
  <c r="O473" i="3"/>
  <c r="L473" i="3"/>
  <c r="H473" i="3"/>
  <c r="I473" i="3" s="1"/>
  <c r="O472" i="3"/>
  <c r="L472" i="3"/>
  <c r="H472" i="3"/>
  <c r="I472" i="3" s="1"/>
  <c r="O471" i="3"/>
  <c r="L471" i="3"/>
  <c r="H471" i="3"/>
  <c r="I471" i="3" s="1"/>
  <c r="O470" i="3"/>
  <c r="L470" i="3"/>
  <c r="H470" i="3"/>
  <c r="I470" i="3" s="1"/>
  <c r="O469" i="3"/>
  <c r="L469" i="3"/>
  <c r="H469" i="3"/>
  <c r="I469" i="3" s="1"/>
  <c r="O468" i="3"/>
  <c r="L468" i="3"/>
  <c r="H468" i="3"/>
  <c r="I468" i="3" s="1"/>
  <c r="O467" i="3"/>
  <c r="L467" i="3"/>
  <c r="H467" i="3"/>
  <c r="I467" i="3" s="1"/>
  <c r="O466" i="3"/>
  <c r="L466" i="3"/>
  <c r="H466" i="3"/>
  <c r="I466" i="3" s="1"/>
  <c r="O465" i="3"/>
  <c r="L465" i="3"/>
  <c r="H465" i="3"/>
  <c r="I465" i="3" s="1"/>
  <c r="O464" i="3"/>
  <c r="L464" i="3"/>
  <c r="H464" i="3"/>
  <c r="I464" i="3" s="1"/>
  <c r="O463" i="3"/>
  <c r="L463" i="3"/>
  <c r="H463" i="3"/>
  <c r="I463" i="3" s="1"/>
  <c r="O462" i="3"/>
  <c r="L462" i="3"/>
  <c r="H462" i="3"/>
  <c r="I462" i="3" s="1"/>
  <c r="O461" i="3"/>
  <c r="L461" i="3"/>
  <c r="H461" i="3"/>
  <c r="I461" i="3" s="1"/>
  <c r="O460" i="3"/>
  <c r="L460" i="3"/>
  <c r="H460" i="3"/>
  <c r="I460" i="3" s="1"/>
  <c r="O458" i="3"/>
  <c r="L458" i="3"/>
  <c r="H458" i="3"/>
  <c r="I458" i="3" s="1"/>
  <c r="O457" i="3"/>
  <c r="L457" i="3"/>
  <c r="H457" i="3"/>
  <c r="I457" i="3" s="1"/>
  <c r="O456" i="3"/>
  <c r="L456" i="3"/>
  <c r="H456" i="3"/>
  <c r="I456" i="3" s="1"/>
  <c r="O455" i="3"/>
  <c r="L455" i="3"/>
  <c r="H455" i="3"/>
  <c r="I455" i="3" s="1"/>
  <c r="O454" i="3"/>
  <c r="L454" i="3"/>
  <c r="H454" i="3"/>
  <c r="I454" i="3" s="1"/>
  <c r="O453" i="3"/>
  <c r="L453" i="3"/>
  <c r="H453" i="3"/>
  <c r="I453" i="3" s="1"/>
  <c r="O452" i="3"/>
  <c r="L452" i="3"/>
  <c r="H452" i="3"/>
  <c r="I452" i="3" s="1"/>
  <c r="O451" i="3"/>
  <c r="L451" i="3"/>
  <c r="H451" i="3"/>
  <c r="I451" i="3" s="1"/>
  <c r="O450" i="3"/>
  <c r="L450" i="3"/>
  <c r="H450" i="3"/>
  <c r="I450" i="3" s="1"/>
  <c r="O449" i="3"/>
  <c r="L449" i="3"/>
  <c r="H449" i="3"/>
  <c r="I449" i="3" s="1"/>
  <c r="O448" i="3"/>
  <c r="L448" i="3"/>
  <c r="H448" i="3"/>
  <c r="I448" i="3" s="1"/>
  <c r="O447" i="3"/>
  <c r="L447" i="3"/>
  <c r="H447" i="3"/>
  <c r="I447" i="3" s="1"/>
  <c r="O446" i="3"/>
  <c r="L446" i="3"/>
  <c r="H446" i="3"/>
  <c r="I446" i="3" s="1"/>
  <c r="O445" i="3"/>
  <c r="L445" i="3"/>
  <c r="H445" i="3"/>
  <c r="I445" i="3" s="1"/>
  <c r="O444" i="3"/>
  <c r="L444" i="3"/>
  <c r="H444" i="3"/>
  <c r="I444" i="3" s="1"/>
  <c r="O443" i="3"/>
  <c r="L443" i="3"/>
  <c r="H443" i="3"/>
  <c r="I443" i="3" s="1"/>
  <c r="O442" i="3"/>
  <c r="L442" i="3"/>
  <c r="H442" i="3"/>
  <c r="I442" i="3" s="1"/>
  <c r="O441" i="3"/>
  <c r="L441" i="3"/>
  <c r="H441" i="3"/>
  <c r="I441" i="3" s="1"/>
  <c r="O440" i="3"/>
  <c r="L440" i="3"/>
  <c r="H440" i="3"/>
  <c r="I440" i="3" s="1"/>
  <c r="O439" i="3"/>
  <c r="L439" i="3"/>
  <c r="H439" i="3"/>
  <c r="I439" i="3" s="1"/>
  <c r="O438" i="3"/>
  <c r="L438" i="3"/>
  <c r="H438" i="3"/>
  <c r="I438" i="3" s="1"/>
  <c r="O437" i="3"/>
  <c r="L437" i="3"/>
  <c r="H437" i="3"/>
  <c r="I437" i="3" s="1"/>
  <c r="O436" i="3"/>
  <c r="L436" i="3"/>
  <c r="H436" i="3"/>
  <c r="I436" i="3" s="1"/>
  <c r="O435" i="3"/>
  <c r="L435" i="3"/>
  <c r="H435" i="3"/>
  <c r="I435" i="3" s="1"/>
  <c r="O434" i="3"/>
  <c r="L434" i="3"/>
  <c r="H434" i="3"/>
  <c r="I434" i="3" s="1"/>
  <c r="O433" i="3"/>
  <c r="L433" i="3"/>
  <c r="H433" i="3"/>
  <c r="I433" i="3" s="1"/>
  <c r="O432" i="3"/>
  <c r="L432" i="3"/>
  <c r="H432" i="3"/>
  <c r="I432" i="3" s="1"/>
  <c r="O431" i="3"/>
  <c r="L431" i="3"/>
  <c r="H431" i="3"/>
  <c r="I431" i="3" s="1"/>
  <c r="O430" i="3"/>
  <c r="L430" i="3"/>
  <c r="H430" i="3"/>
  <c r="I430" i="3" s="1"/>
  <c r="O429" i="3"/>
  <c r="L429" i="3"/>
  <c r="H429" i="3"/>
  <c r="I429" i="3" s="1"/>
  <c r="O428" i="3"/>
  <c r="L428" i="3"/>
  <c r="H428" i="3"/>
  <c r="I428" i="3" s="1"/>
  <c r="O427" i="3"/>
  <c r="L427" i="3"/>
  <c r="H427" i="3"/>
  <c r="I427" i="3" s="1"/>
  <c r="O426" i="3"/>
  <c r="L426" i="3"/>
  <c r="H426" i="3"/>
  <c r="I426" i="3" s="1"/>
  <c r="O425" i="3"/>
  <c r="L425" i="3"/>
  <c r="H425" i="3"/>
  <c r="I425" i="3" s="1"/>
  <c r="O424" i="3"/>
  <c r="L424" i="3"/>
  <c r="H424" i="3"/>
  <c r="I424" i="3" s="1"/>
  <c r="O423" i="3"/>
  <c r="L423" i="3"/>
  <c r="H423" i="3"/>
  <c r="I423" i="3" s="1"/>
  <c r="O422" i="3"/>
  <c r="L422" i="3"/>
  <c r="H422" i="3"/>
  <c r="I422" i="3" s="1"/>
  <c r="O421" i="3"/>
  <c r="L421" i="3"/>
  <c r="H421" i="3"/>
  <c r="I421" i="3" s="1"/>
  <c r="O420" i="3"/>
  <c r="L420" i="3"/>
  <c r="H420" i="3"/>
  <c r="I420" i="3" s="1"/>
  <c r="O419" i="3"/>
  <c r="L419" i="3"/>
  <c r="H419" i="3"/>
  <c r="I419" i="3" s="1"/>
  <c r="O418" i="3"/>
  <c r="L418" i="3"/>
  <c r="H418" i="3"/>
  <c r="I418" i="3" s="1"/>
  <c r="O417" i="3"/>
  <c r="L417" i="3"/>
  <c r="H417" i="3"/>
  <c r="I417" i="3" s="1"/>
  <c r="O416" i="3"/>
  <c r="L416" i="3"/>
  <c r="H416" i="3"/>
  <c r="I416" i="3" s="1"/>
  <c r="O415" i="3"/>
  <c r="L415" i="3"/>
  <c r="H415" i="3"/>
  <c r="I415" i="3" s="1"/>
  <c r="O414" i="3"/>
  <c r="L414" i="3"/>
  <c r="H414" i="3"/>
  <c r="I414" i="3" s="1"/>
  <c r="O413" i="3"/>
  <c r="L413" i="3"/>
  <c r="H413" i="3"/>
  <c r="I413" i="3" s="1"/>
  <c r="O412" i="3"/>
  <c r="L412" i="3"/>
  <c r="H412" i="3"/>
  <c r="I412" i="3" s="1"/>
  <c r="O411" i="3"/>
  <c r="L411" i="3"/>
  <c r="H411" i="3"/>
  <c r="I411" i="3" s="1"/>
  <c r="O410" i="3"/>
  <c r="L410" i="3"/>
  <c r="H410" i="3"/>
  <c r="I410" i="3" s="1"/>
  <c r="O409" i="3"/>
  <c r="L409" i="3"/>
  <c r="H409" i="3"/>
  <c r="I409" i="3" s="1"/>
  <c r="O408" i="3"/>
  <c r="L408" i="3"/>
  <c r="H408" i="3"/>
  <c r="I408" i="3" s="1"/>
  <c r="O407" i="3"/>
  <c r="L407" i="3"/>
  <c r="H407" i="3"/>
  <c r="I407" i="3" s="1"/>
  <c r="O406" i="3"/>
  <c r="L406" i="3"/>
  <c r="H406" i="3"/>
  <c r="I406" i="3" s="1"/>
  <c r="O405" i="3"/>
  <c r="L405" i="3"/>
  <c r="H405" i="3"/>
  <c r="I405" i="3" s="1"/>
  <c r="O404" i="3"/>
  <c r="L404" i="3"/>
  <c r="H404" i="3"/>
  <c r="I404" i="3" s="1"/>
  <c r="O403" i="3"/>
  <c r="L403" i="3"/>
  <c r="H403" i="3"/>
  <c r="I403" i="3" s="1"/>
  <c r="O402" i="3"/>
  <c r="L402" i="3"/>
  <c r="H402" i="3"/>
  <c r="I402" i="3" s="1"/>
  <c r="O401" i="3"/>
  <c r="L401" i="3"/>
  <c r="H401" i="3"/>
  <c r="I401" i="3" s="1"/>
  <c r="O400" i="3"/>
  <c r="L400" i="3"/>
  <c r="H400" i="3"/>
  <c r="I400" i="3" s="1"/>
  <c r="O399" i="3"/>
  <c r="L399" i="3"/>
  <c r="H399" i="3"/>
  <c r="I399" i="3" s="1"/>
  <c r="O398" i="3"/>
  <c r="L398" i="3"/>
  <c r="H398" i="3"/>
  <c r="I398" i="3" s="1"/>
  <c r="O397" i="3"/>
  <c r="L397" i="3"/>
  <c r="H397" i="3"/>
  <c r="I397" i="3" s="1"/>
  <c r="O396" i="3"/>
  <c r="L396" i="3"/>
  <c r="H396" i="3"/>
  <c r="I396" i="3" s="1"/>
  <c r="O395" i="3"/>
  <c r="L395" i="3"/>
  <c r="H395" i="3"/>
  <c r="I395" i="3" s="1"/>
  <c r="O394" i="3"/>
  <c r="L394" i="3"/>
  <c r="H394" i="3"/>
  <c r="I394" i="3" s="1"/>
  <c r="O393" i="3"/>
  <c r="L393" i="3"/>
  <c r="H393" i="3"/>
  <c r="I393" i="3" s="1"/>
  <c r="O392" i="3"/>
  <c r="L392" i="3"/>
  <c r="H392" i="3"/>
  <c r="I392" i="3" s="1"/>
  <c r="O391" i="3"/>
  <c r="L391" i="3"/>
  <c r="H391" i="3"/>
  <c r="I391" i="3" s="1"/>
  <c r="O390" i="3"/>
  <c r="L390" i="3"/>
  <c r="H390" i="3"/>
  <c r="I390" i="3" s="1"/>
  <c r="O389" i="3"/>
  <c r="L389" i="3"/>
  <c r="H389" i="3"/>
  <c r="I389" i="3" s="1"/>
  <c r="O388" i="3"/>
  <c r="L388" i="3"/>
  <c r="H388" i="3"/>
  <c r="I388" i="3" s="1"/>
  <c r="O387" i="3"/>
  <c r="L387" i="3"/>
  <c r="H387" i="3"/>
  <c r="I387" i="3" s="1"/>
  <c r="O386" i="3"/>
  <c r="L386" i="3"/>
  <c r="H386" i="3"/>
  <c r="I386" i="3" s="1"/>
  <c r="O385" i="3"/>
  <c r="L385" i="3"/>
  <c r="H385" i="3"/>
  <c r="I385" i="3" s="1"/>
  <c r="O384" i="3"/>
  <c r="L384" i="3"/>
  <c r="H384" i="3"/>
  <c r="I384" i="3" s="1"/>
  <c r="O383" i="3"/>
  <c r="L383" i="3"/>
  <c r="H383" i="3"/>
  <c r="I383" i="3" s="1"/>
  <c r="O382" i="3"/>
  <c r="L382" i="3"/>
  <c r="H382" i="3"/>
  <c r="I382" i="3" s="1"/>
  <c r="O381" i="3"/>
  <c r="L381" i="3"/>
  <c r="H381" i="3"/>
  <c r="I381" i="3" s="1"/>
  <c r="O380" i="3"/>
  <c r="L380" i="3"/>
  <c r="H380" i="3"/>
  <c r="I380" i="3" s="1"/>
  <c r="O379" i="3"/>
  <c r="L379" i="3"/>
  <c r="H379" i="3"/>
  <c r="I379" i="3" s="1"/>
  <c r="O378" i="3"/>
  <c r="L378" i="3"/>
  <c r="H378" i="3"/>
  <c r="I378" i="3" s="1"/>
  <c r="O377" i="3"/>
  <c r="L377" i="3"/>
  <c r="H377" i="3"/>
  <c r="I377" i="3" s="1"/>
  <c r="O376" i="3"/>
  <c r="L376" i="3"/>
  <c r="H376" i="3"/>
  <c r="I376" i="3" s="1"/>
  <c r="O375" i="3"/>
  <c r="L375" i="3"/>
  <c r="H375" i="3"/>
  <c r="I375" i="3" s="1"/>
  <c r="O374" i="3"/>
  <c r="L374" i="3"/>
  <c r="H374" i="3"/>
  <c r="I374" i="3" s="1"/>
  <c r="O373" i="3"/>
  <c r="L373" i="3"/>
  <c r="H373" i="3"/>
  <c r="I373" i="3" s="1"/>
  <c r="O372" i="3"/>
  <c r="L372" i="3"/>
  <c r="H372" i="3"/>
  <c r="I372" i="3" s="1"/>
  <c r="O371" i="3"/>
  <c r="L371" i="3"/>
  <c r="H371" i="3"/>
  <c r="I371" i="3" s="1"/>
  <c r="O370" i="3"/>
  <c r="L370" i="3"/>
  <c r="H370" i="3"/>
  <c r="I370" i="3" s="1"/>
  <c r="O369" i="3"/>
  <c r="L369" i="3"/>
  <c r="H369" i="3"/>
  <c r="I369" i="3" s="1"/>
  <c r="O368" i="3"/>
  <c r="L368" i="3"/>
  <c r="H368" i="3"/>
  <c r="I368" i="3" s="1"/>
  <c r="O367" i="3"/>
  <c r="L367" i="3"/>
  <c r="H367" i="3"/>
  <c r="I367" i="3" s="1"/>
  <c r="O366" i="3"/>
  <c r="L366" i="3"/>
  <c r="H366" i="3"/>
  <c r="I366" i="3" s="1"/>
  <c r="O365" i="3"/>
  <c r="L365" i="3"/>
  <c r="H365" i="3"/>
  <c r="I365" i="3" s="1"/>
  <c r="O364" i="3"/>
  <c r="L364" i="3"/>
  <c r="H364" i="3"/>
  <c r="I364" i="3" s="1"/>
  <c r="O363" i="3"/>
  <c r="L363" i="3"/>
  <c r="H363" i="3"/>
  <c r="I363" i="3" s="1"/>
  <c r="O362" i="3"/>
  <c r="L362" i="3"/>
  <c r="H362" i="3"/>
  <c r="I362" i="3" s="1"/>
  <c r="O361" i="3"/>
  <c r="L361" i="3"/>
  <c r="H361" i="3"/>
  <c r="I361" i="3" s="1"/>
  <c r="O360" i="3"/>
  <c r="L360" i="3"/>
  <c r="H360" i="3"/>
  <c r="I360" i="3" s="1"/>
  <c r="O359" i="3"/>
  <c r="L359" i="3"/>
  <c r="H359" i="3"/>
  <c r="I359" i="3" s="1"/>
  <c r="O358" i="3"/>
  <c r="L358" i="3"/>
  <c r="H358" i="3"/>
  <c r="I358" i="3" s="1"/>
  <c r="O357" i="3"/>
  <c r="L357" i="3"/>
  <c r="H357" i="3"/>
  <c r="I357" i="3" s="1"/>
  <c r="O356" i="3"/>
  <c r="L356" i="3"/>
  <c r="H356" i="3"/>
  <c r="I356" i="3" s="1"/>
  <c r="O355" i="3"/>
  <c r="L355" i="3"/>
  <c r="H355" i="3"/>
  <c r="I355" i="3" s="1"/>
  <c r="O354" i="3"/>
  <c r="L354" i="3"/>
  <c r="H354" i="3"/>
  <c r="I354" i="3" s="1"/>
  <c r="O353" i="3"/>
  <c r="L353" i="3"/>
  <c r="H353" i="3"/>
  <c r="I353" i="3" s="1"/>
  <c r="O352" i="3"/>
  <c r="L352" i="3"/>
  <c r="H352" i="3"/>
  <c r="I352" i="3" s="1"/>
  <c r="O351" i="3"/>
  <c r="L351" i="3"/>
  <c r="H351" i="3"/>
  <c r="I351" i="3" s="1"/>
  <c r="O350" i="3"/>
  <c r="L350" i="3"/>
  <c r="H350" i="3"/>
  <c r="I350" i="3" s="1"/>
  <c r="O349" i="3"/>
  <c r="L349" i="3"/>
  <c r="H349" i="3"/>
  <c r="I349" i="3" s="1"/>
  <c r="O348" i="3"/>
  <c r="L348" i="3"/>
  <c r="H348" i="3"/>
  <c r="I348" i="3" s="1"/>
  <c r="O347" i="3"/>
  <c r="L347" i="3"/>
  <c r="H347" i="3"/>
  <c r="I347" i="3" s="1"/>
  <c r="O346" i="3"/>
  <c r="L346" i="3"/>
  <c r="H346" i="3"/>
  <c r="I346" i="3" s="1"/>
  <c r="O345" i="3"/>
  <c r="L345" i="3"/>
  <c r="H345" i="3"/>
  <c r="I345" i="3" s="1"/>
  <c r="O344" i="3"/>
  <c r="L344" i="3"/>
  <c r="H344" i="3"/>
  <c r="I344" i="3" s="1"/>
  <c r="O343" i="3"/>
  <c r="L343" i="3"/>
  <c r="H343" i="3"/>
  <c r="I343" i="3" s="1"/>
  <c r="O342" i="3"/>
  <c r="L342" i="3"/>
  <c r="H342" i="3"/>
  <c r="I342" i="3" s="1"/>
  <c r="O341" i="3"/>
  <c r="L341" i="3"/>
  <c r="H341" i="3"/>
  <c r="I341" i="3" s="1"/>
  <c r="O340" i="3"/>
  <c r="L340" i="3"/>
  <c r="H340" i="3"/>
  <c r="I340" i="3" s="1"/>
  <c r="O339" i="3"/>
  <c r="L339" i="3"/>
  <c r="H339" i="3"/>
  <c r="I339" i="3" s="1"/>
  <c r="O338" i="3"/>
  <c r="L338" i="3"/>
  <c r="H338" i="3"/>
  <c r="I338" i="3" s="1"/>
  <c r="O337" i="3"/>
  <c r="L337" i="3"/>
  <c r="H337" i="3"/>
  <c r="I337" i="3" s="1"/>
  <c r="O336" i="3"/>
  <c r="L336" i="3"/>
  <c r="H336" i="3"/>
  <c r="I336" i="3" s="1"/>
  <c r="O335" i="3"/>
  <c r="L335" i="3"/>
  <c r="H335" i="3"/>
  <c r="I335" i="3" s="1"/>
  <c r="O334" i="3"/>
  <c r="L334" i="3"/>
  <c r="H334" i="3"/>
  <c r="I334" i="3" s="1"/>
  <c r="O333" i="3"/>
  <c r="L333" i="3"/>
  <c r="H333" i="3"/>
  <c r="I333" i="3" s="1"/>
  <c r="O332" i="3"/>
  <c r="L332" i="3"/>
  <c r="H332" i="3"/>
  <c r="I332" i="3" s="1"/>
  <c r="O331" i="3"/>
  <c r="L331" i="3"/>
  <c r="H331" i="3"/>
  <c r="I331" i="3" s="1"/>
  <c r="O330" i="3"/>
  <c r="L330" i="3"/>
  <c r="H330" i="3"/>
  <c r="I330" i="3" s="1"/>
  <c r="O329" i="3"/>
  <c r="L329" i="3"/>
  <c r="H329" i="3"/>
  <c r="I329" i="3" s="1"/>
  <c r="O328" i="3"/>
  <c r="L328" i="3"/>
  <c r="H328" i="3"/>
  <c r="I328" i="3" s="1"/>
  <c r="O327" i="3"/>
  <c r="L327" i="3"/>
  <c r="H327" i="3"/>
  <c r="I327" i="3" s="1"/>
  <c r="O326" i="3"/>
  <c r="L326" i="3"/>
  <c r="H326" i="3"/>
  <c r="I326" i="3" s="1"/>
  <c r="O325" i="3"/>
  <c r="L325" i="3"/>
  <c r="H325" i="3"/>
  <c r="I325" i="3" s="1"/>
  <c r="O324" i="3"/>
  <c r="L324" i="3"/>
  <c r="H324" i="3"/>
  <c r="I324" i="3" s="1"/>
  <c r="O323" i="3"/>
  <c r="L323" i="3"/>
  <c r="H323" i="3"/>
  <c r="I323" i="3" s="1"/>
  <c r="O322" i="3"/>
  <c r="L322" i="3"/>
  <c r="H322" i="3"/>
  <c r="I322" i="3" s="1"/>
  <c r="O321" i="3"/>
  <c r="L321" i="3"/>
  <c r="H321" i="3"/>
  <c r="I321" i="3" s="1"/>
  <c r="O320" i="3"/>
  <c r="L320" i="3"/>
  <c r="H320" i="3"/>
  <c r="I320" i="3" s="1"/>
  <c r="O319" i="3"/>
  <c r="L319" i="3"/>
  <c r="H319" i="3"/>
  <c r="I319" i="3" s="1"/>
  <c r="O318" i="3"/>
  <c r="L318" i="3"/>
  <c r="H318" i="3"/>
  <c r="I318" i="3" s="1"/>
  <c r="O317" i="3"/>
  <c r="L317" i="3"/>
  <c r="H317" i="3"/>
  <c r="I317" i="3" s="1"/>
  <c r="O316" i="3"/>
  <c r="L316" i="3"/>
  <c r="H316" i="3"/>
  <c r="I316" i="3" s="1"/>
  <c r="O315" i="3"/>
  <c r="L315" i="3"/>
  <c r="H315" i="3"/>
  <c r="I315" i="3" s="1"/>
  <c r="O314" i="3"/>
  <c r="L314" i="3"/>
  <c r="H314" i="3"/>
  <c r="I314" i="3" s="1"/>
  <c r="O313" i="3"/>
  <c r="L313" i="3"/>
  <c r="H313" i="3"/>
  <c r="I313" i="3" s="1"/>
  <c r="O312" i="3"/>
  <c r="L312" i="3"/>
  <c r="H312" i="3"/>
  <c r="I312" i="3" s="1"/>
  <c r="O311" i="3"/>
  <c r="L311" i="3"/>
  <c r="H311" i="3"/>
  <c r="I311" i="3" s="1"/>
  <c r="O310" i="3"/>
  <c r="L310" i="3"/>
  <c r="H310" i="3"/>
  <c r="I310" i="3" s="1"/>
  <c r="O309" i="3"/>
  <c r="L309" i="3"/>
  <c r="H309" i="3"/>
  <c r="I309" i="3" s="1"/>
  <c r="O308" i="3"/>
  <c r="L308" i="3"/>
  <c r="H308" i="3"/>
  <c r="I308" i="3" s="1"/>
  <c r="O307" i="3"/>
  <c r="L307" i="3"/>
  <c r="H307" i="3"/>
  <c r="I307" i="3" s="1"/>
  <c r="O306" i="3"/>
  <c r="L306" i="3"/>
  <c r="H306" i="3"/>
  <c r="I306" i="3" s="1"/>
  <c r="O305" i="3"/>
  <c r="L305" i="3"/>
  <c r="H305" i="3"/>
  <c r="I305" i="3" s="1"/>
  <c r="O304" i="3"/>
  <c r="L304" i="3"/>
  <c r="H304" i="3"/>
  <c r="I304" i="3" s="1"/>
  <c r="O303" i="3"/>
  <c r="L303" i="3"/>
  <c r="H303" i="3"/>
  <c r="I303" i="3" s="1"/>
  <c r="O302" i="3"/>
  <c r="L302" i="3"/>
  <c r="H302" i="3"/>
  <c r="I302" i="3" s="1"/>
  <c r="O301" i="3"/>
  <c r="L301" i="3"/>
  <c r="H301" i="3"/>
  <c r="I301" i="3" s="1"/>
  <c r="O300" i="3"/>
  <c r="L300" i="3"/>
  <c r="H300" i="3"/>
  <c r="I300" i="3" s="1"/>
  <c r="O299" i="3"/>
  <c r="L299" i="3"/>
  <c r="H299" i="3"/>
  <c r="I299" i="3" s="1"/>
  <c r="O298" i="3"/>
  <c r="L298" i="3"/>
  <c r="H298" i="3"/>
  <c r="I298" i="3" s="1"/>
  <c r="O297" i="3"/>
  <c r="L297" i="3"/>
  <c r="H297" i="3"/>
  <c r="I297" i="3" s="1"/>
  <c r="O296" i="3"/>
  <c r="L296" i="3"/>
  <c r="H296" i="3"/>
  <c r="I296" i="3" s="1"/>
  <c r="O295" i="3"/>
  <c r="L295" i="3"/>
  <c r="H295" i="3"/>
  <c r="I295" i="3" s="1"/>
  <c r="O294" i="3"/>
  <c r="L294" i="3"/>
  <c r="H294" i="3"/>
  <c r="I294" i="3" s="1"/>
  <c r="O293" i="3"/>
  <c r="L293" i="3"/>
  <c r="H293" i="3"/>
  <c r="I293" i="3" s="1"/>
  <c r="O292" i="3"/>
  <c r="L292" i="3"/>
  <c r="H292" i="3"/>
  <c r="I292" i="3" s="1"/>
  <c r="O291" i="3"/>
  <c r="L291" i="3"/>
  <c r="H291" i="3"/>
  <c r="I291" i="3" s="1"/>
  <c r="O290" i="3"/>
  <c r="L290" i="3"/>
  <c r="H290" i="3"/>
  <c r="I290" i="3" s="1"/>
  <c r="O289" i="3"/>
  <c r="L289" i="3"/>
  <c r="H289" i="3"/>
  <c r="I289" i="3" s="1"/>
  <c r="O288" i="3"/>
  <c r="L288" i="3"/>
  <c r="H288" i="3"/>
  <c r="I288" i="3" s="1"/>
  <c r="O287" i="3"/>
  <c r="L287" i="3"/>
  <c r="H287" i="3"/>
  <c r="I287" i="3" s="1"/>
  <c r="O286" i="3"/>
  <c r="L286" i="3"/>
  <c r="H286" i="3"/>
  <c r="I286" i="3" s="1"/>
  <c r="O285" i="3"/>
  <c r="L285" i="3"/>
  <c r="H285" i="3"/>
  <c r="I285" i="3" s="1"/>
  <c r="O284" i="3"/>
  <c r="L284" i="3"/>
  <c r="H284" i="3"/>
  <c r="I284" i="3" s="1"/>
  <c r="O283" i="3"/>
  <c r="L283" i="3"/>
  <c r="H283" i="3"/>
  <c r="I283" i="3" s="1"/>
  <c r="O282" i="3"/>
  <c r="L282" i="3"/>
  <c r="H282" i="3"/>
  <c r="I282" i="3" s="1"/>
  <c r="O281" i="3"/>
  <c r="L281" i="3"/>
  <c r="H281" i="3"/>
  <c r="I281" i="3" s="1"/>
  <c r="O280" i="3"/>
  <c r="L280" i="3"/>
  <c r="H280" i="3"/>
  <c r="I280" i="3" s="1"/>
  <c r="O279" i="3"/>
  <c r="L279" i="3"/>
  <c r="H279" i="3"/>
  <c r="I279" i="3" s="1"/>
  <c r="O278" i="3"/>
  <c r="L278" i="3"/>
  <c r="H278" i="3"/>
  <c r="I278" i="3" s="1"/>
  <c r="O277" i="3"/>
  <c r="L277" i="3"/>
  <c r="H277" i="3"/>
  <c r="I277" i="3" s="1"/>
  <c r="O276" i="3"/>
  <c r="L276" i="3"/>
  <c r="H276" i="3"/>
  <c r="I276" i="3" s="1"/>
  <c r="O275" i="3"/>
  <c r="L275" i="3"/>
  <c r="H275" i="3"/>
  <c r="I275" i="3" s="1"/>
  <c r="O274" i="3"/>
  <c r="L274" i="3"/>
  <c r="H274" i="3"/>
  <c r="I274" i="3" s="1"/>
  <c r="O273" i="3"/>
  <c r="L273" i="3"/>
  <c r="H273" i="3"/>
  <c r="I273" i="3" s="1"/>
  <c r="O272" i="3"/>
  <c r="L272" i="3"/>
  <c r="H272" i="3"/>
  <c r="I272" i="3" s="1"/>
  <c r="O271" i="3"/>
  <c r="L271" i="3"/>
  <c r="H271" i="3"/>
  <c r="I271" i="3" s="1"/>
  <c r="O270" i="3"/>
  <c r="L270" i="3"/>
  <c r="H270" i="3"/>
  <c r="I270" i="3" s="1"/>
  <c r="O269" i="3"/>
  <c r="L269" i="3"/>
  <c r="H269" i="3"/>
  <c r="I269" i="3" s="1"/>
  <c r="O268" i="3"/>
  <c r="L268" i="3"/>
  <c r="H268" i="3"/>
  <c r="I268" i="3" s="1"/>
  <c r="O267" i="3"/>
  <c r="L267" i="3"/>
  <c r="H267" i="3"/>
  <c r="I267" i="3" s="1"/>
  <c r="O266" i="3"/>
  <c r="L266" i="3"/>
  <c r="H266" i="3"/>
  <c r="I266" i="3" s="1"/>
  <c r="O265" i="3"/>
  <c r="L265" i="3"/>
  <c r="H265" i="3"/>
  <c r="I265" i="3" s="1"/>
  <c r="O264" i="3"/>
  <c r="L264" i="3"/>
  <c r="H264" i="3"/>
  <c r="I264" i="3" s="1"/>
  <c r="O263" i="3"/>
  <c r="L263" i="3"/>
  <c r="H263" i="3"/>
  <c r="I263" i="3" s="1"/>
  <c r="O262" i="3"/>
  <c r="L262" i="3"/>
  <c r="H262" i="3"/>
  <c r="I262" i="3" s="1"/>
  <c r="O261" i="3"/>
  <c r="L261" i="3"/>
  <c r="H261" i="3"/>
  <c r="I261" i="3" s="1"/>
  <c r="O260" i="3"/>
  <c r="L260" i="3"/>
  <c r="H260" i="3"/>
  <c r="I260" i="3" s="1"/>
  <c r="O259" i="3"/>
  <c r="L259" i="3"/>
  <c r="H259" i="3"/>
  <c r="I259" i="3" s="1"/>
  <c r="O258" i="3"/>
  <c r="L258" i="3"/>
  <c r="H258" i="3"/>
  <c r="I258" i="3" s="1"/>
  <c r="O257" i="3"/>
  <c r="L257" i="3"/>
  <c r="H257" i="3"/>
  <c r="I257" i="3" s="1"/>
  <c r="O256" i="3"/>
  <c r="L256" i="3"/>
  <c r="H256" i="3"/>
  <c r="I256" i="3" s="1"/>
  <c r="O255" i="3"/>
  <c r="L255" i="3"/>
  <c r="H255" i="3"/>
  <c r="I255" i="3" s="1"/>
  <c r="O254" i="3"/>
  <c r="L254" i="3"/>
  <c r="H254" i="3"/>
  <c r="I254" i="3" s="1"/>
  <c r="O253" i="3"/>
  <c r="L253" i="3"/>
  <c r="H253" i="3"/>
  <c r="I253" i="3" s="1"/>
  <c r="O252" i="3"/>
  <c r="L252" i="3"/>
  <c r="H252" i="3"/>
  <c r="I252" i="3" s="1"/>
  <c r="O251" i="3"/>
  <c r="L251" i="3"/>
  <c r="H251" i="3"/>
  <c r="I251" i="3" s="1"/>
  <c r="O250" i="3"/>
  <c r="L250" i="3"/>
  <c r="H250" i="3"/>
  <c r="I250" i="3" s="1"/>
  <c r="O249" i="3"/>
  <c r="L249" i="3"/>
  <c r="H249" i="3"/>
  <c r="I249" i="3" s="1"/>
  <c r="O248" i="3"/>
  <c r="L248" i="3"/>
  <c r="H248" i="3"/>
  <c r="I248" i="3" s="1"/>
  <c r="O247" i="3"/>
  <c r="L247" i="3"/>
  <c r="H247" i="3"/>
  <c r="I247" i="3" s="1"/>
  <c r="O246" i="3"/>
  <c r="L246" i="3"/>
  <c r="H246" i="3"/>
  <c r="I246" i="3" s="1"/>
  <c r="O245" i="3"/>
  <c r="L245" i="3"/>
  <c r="H245" i="3"/>
  <c r="I245" i="3" s="1"/>
  <c r="O244" i="3"/>
  <c r="L244" i="3"/>
  <c r="H244" i="3"/>
  <c r="I244" i="3" s="1"/>
  <c r="O243" i="3"/>
  <c r="L243" i="3"/>
  <c r="H243" i="3"/>
  <c r="I243" i="3" s="1"/>
  <c r="O242" i="3"/>
  <c r="L242" i="3"/>
  <c r="H242" i="3"/>
  <c r="I242" i="3" s="1"/>
  <c r="O241" i="3"/>
  <c r="L241" i="3"/>
  <c r="H241" i="3"/>
  <c r="I241" i="3" s="1"/>
  <c r="O240" i="3"/>
  <c r="L240" i="3"/>
  <c r="H240" i="3"/>
  <c r="I240" i="3" s="1"/>
  <c r="O239" i="3"/>
  <c r="L239" i="3"/>
  <c r="H239" i="3"/>
  <c r="I239" i="3" s="1"/>
  <c r="O238" i="3"/>
  <c r="L238" i="3"/>
  <c r="H238" i="3"/>
  <c r="I238" i="3" s="1"/>
  <c r="O237" i="3"/>
  <c r="L237" i="3"/>
  <c r="H237" i="3"/>
  <c r="I237" i="3" s="1"/>
  <c r="O236" i="3"/>
  <c r="L236" i="3"/>
  <c r="H236" i="3"/>
  <c r="I236" i="3" s="1"/>
  <c r="O235" i="3"/>
  <c r="L235" i="3"/>
  <c r="H235" i="3"/>
  <c r="I235" i="3" s="1"/>
  <c r="O234" i="3"/>
  <c r="L234" i="3"/>
  <c r="H234" i="3"/>
  <c r="I234" i="3" s="1"/>
  <c r="O233" i="3"/>
  <c r="L233" i="3"/>
  <c r="H233" i="3"/>
  <c r="I233" i="3" s="1"/>
  <c r="O232" i="3"/>
  <c r="L232" i="3"/>
  <c r="H232" i="3"/>
  <c r="I232" i="3" s="1"/>
  <c r="O231" i="3"/>
  <c r="L231" i="3"/>
  <c r="H231" i="3"/>
  <c r="I231" i="3" s="1"/>
  <c r="O230" i="3"/>
  <c r="L230" i="3"/>
  <c r="H230" i="3"/>
  <c r="I230" i="3" s="1"/>
  <c r="O229" i="3"/>
  <c r="L229" i="3"/>
  <c r="H229" i="3"/>
  <c r="I229" i="3" s="1"/>
  <c r="O228" i="3"/>
  <c r="L228" i="3"/>
  <c r="H228" i="3"/>
  <c r="I228" i="3" s="1"/>
  <c r="O227" i="3"/>
  <c r="L227" i="3"/>
  <c r="H227" i="3"/>
  <c r="I227" i="3" s="1"/>
  <c r="O226" i="3"/>
  <c r="L226" i="3"/>
  <c r="H226" i="3"/>
  <c r="I226" i="3" s="1"/>
  <c r="O225" i="3"/>
  <c r="L225" i="3"/>
  <c r="H225" i="3"/>
  <c r="I225" i="3" s="1"/>
  <c r="O224" i="3"/>
  <c r="L224" i="3"/>
  <c r="H224" i="3"/>
  <c r="I224" i="3" s="1"/>
  <c r="O223" i="3"/>
  <c r="L223" i="3"/>
  <c r="H223" i="3"/>
  <c r="I223" i="3" s="1"/>
  <c r="O222" i="3"/>
  <c r="L222" i="3"/>
  <c r="H222" i="3"/>
  <c r="I222" i="3" s="1"/>
  <c r="O221" i="3"/>
  <c r="L221" i="3"/>
  <c r="H221" i="3"/>
  <c r="I221" i="3" s="1"/>
  <c r="O220" i="3"/>
  <c r="L220" i="3"/>
  <c r="H220" i="3"/>
  <c r="I220" i="3" s="1"/>
  <c r="O219" i="3"/>
  <c r="L219" i="3"/>
  <c r="H219" i="3"/>
  <c r="I219" i="3" s="1"/>
  <c r="O218" i="3"/>
  <c r="L218" i="3"/>
  <c r="H218" i="3"/>
  <c r="I218" i="3" s="1"/>
  <c r="O217" i="3"/>
  <c r="L217" i="3"/>
  <c r="H217" i="3"/>
  <c r="I217" i="3" s="1"/>
  <c r="O216" i="3"/>
  <c r="L216" i="3"/>
  <c r="H216" i="3"/>
  <c r="I216" i="3" s="1"/>
  <c r="O215" i="3"/>
  <c r="L215" i="3"/>
  <c r="H215" i="3"/>
  <c r="I215" i="3" s="1"/>
  <c r="O214" i="3"/>
  <c r="L214" i="3"/>
  <c r="H214" i="3"/>
  <c r="I214" i="3" s="1"/>
  <c r="O213" i="3"/>
  <c r="L213" i="3"/>
  <c r="H213" i="3"/>
  <c r="I213" i="3" s="1"/>
  <c r="O212" i="3"/>
  <c r="L212" i="3"/>
  <c r="H212" i="3"/>
  <c r="I212" i="3" s="1"/>
  <c r="O211" i="3"/>
  <c r="L211" i="3"/>
  <c r="H211" i="3"/>
  <c r="I211" i="3" s="1"/>
  <c r="O210" i="3"/>
  <c r="L210" i="3"/>
  <c r="H210" i="3"/>
  <c r="I210" i="3" s="1"/>
  <c r="O209" i="3"/>
  <c r="L209" i="3"/>
  <c r="H209" i="3"/>
  <c r="I209" i="3" s="1"/>
  <c r="O208" i="3"/>
  <c r="L208" i="3"/>
  <c r="H208" i="3"/>
  <c r="I208" i="3" s="1"/>
  <c r="O207" i="3"/>
  <c r="L207" i="3"/>
  <c r="H207" i="3"/>
  <c r="I207" i="3" s="1"/>
  <c r="O206" i="3"/>
  <c r="L206" i="3"/>
  <c r="H206" i="3"/>
  <c r="I206" i="3" s="1"/>
  <c r="O205" i="3"/>
  <c r="L205" i="3"/>
  <c r="H205" i="3"/>
  <c r="I205" i="3" s="1"/>
  <c r="O204" i="3"/>
  <c r="L204" i="3"/>
  <c r="H204" i="3"/>
  <c r="I204" i="3" s="1"/>
  <c r="O203" i="3"/>
  <c r="L203" i="3"/>
  <c r="H203" i="3"/>
  <c r="I203" i="3" s="1"/>
  <c r="O202" i="3"/>
  <c r="L202" i="3"/>
  <c r="H202" i="3"/>
  <c r="I202" i="3" s="1"/>
  <c r="O201" i="3"/>
  <c r="L201" i="3"/>
  <c r="H201" i="3"/>
  <c r="I201" i="3" s="1"/>
  <c r="O200" i="3"/>
  <c r="L200" i="3"/>
  <c r="H200" i="3"/>
  <c r="I200" i="3" s="1"/>
  <c r="O199" i="3"/>
  <c r="L199" i="3"/>
  <c r="H199" i="3"/>
  <c r="I199" i="3" s="1"/>
  <c r="O198" i="3"/>
  <c r="L198" i="3"/>
  <c r="H198" i="3"/>
  <c r="I198" i="3" s="1"/>
  <c r="O197" i="3"/>
  <c r="L197" i="3"/>
  <c r="H197" i="3"/>
  <c r="I197" i="3" s="1"/>
  <c r="O196" i="3"/>
  <c r="L196" i="3"/>
  <c r="H196" i="3"/>
  <c r="I196" i="3" s="1"/>
  <c r="O195" i="3"/>
  <c r="L195" i="3"/>
  <c r="H195" i="3"/>
  <c r="I195" i="3" s="1"/>
  <c r="O194" i="3"/>
  <c r="L194" i="3"/>
  <c r="H194" i="3"/>
  <c r="I194" i="3" s="1"/>
  <c r="O193" i="3"/>
  <c r="L193" i="3"/>
  <c r="H193" i="3"/>
  <c r="I193" i="3" s="1"/>
  <c r="O192" i="3"/>
  <c r="L192" i="3"/>
  <c r="H192" i="3"/>
  <c r="I192" i="3" s="1"/>
  <c r="O191" i="3"/>
  <c r="L191" i="3"/>
  <c r="H191" i="3"/>
  <c r="I191" i="3" s="1"/>
  <c r="O190" i="3"/>
  <c r="L190" i="3"/>
  <c r="H190" i="3"/>
  <c r="I190" i="3" s="1"/>
  <c r="O189" i="3"/>
  <c r="L189" i="3"/>
  <c r="H189" i="3"/>
  <c r="I189" i="3" s="1"/>
  <c r="O188" i="3"/>
  <c r="L188" i="3"/>
  <c r="H188" i="3"/>
  <c r="I188" i="3" s="1"/>
  <c r="O187" i="3"/>
  <c r="L187" i="3"/>
  <c r="H187" i="3"/>
  <c r="I187" i="3" s="1"/>
  <c r="O186" i="3"/>
  <c r="L186" i="3"/>
  <c r="H186" i="3"/>
  <c r="I186" i="3" s="1"/>
  <c r="O185" i="3"/>
  <c r="L185" i="3"/>
  <c r="H185" i="3"/>
  <c r="I185" i="3" s="1"/>
  <c r="O184" i="3"/>
  <c r="L184" i="3"/>
  <c r="H184" i="3"/>
  <c r="I184" i="3" s="1"/>
  <c r="O183" i="3"/>
  <c r="L183" i="3"/>
  <c r="H183" i="3"/>
  <c r="I183" i="3" s="1"/>
  <c r="O182" i="3"/>
  <c r="L182" i="3"/>
  <c r="H182" i="3"/>
  <c r="I182" i="3" s="1"/>
  <c r="O181" i="3"/>
  <c r="L181" i="3"/>
  <c r="H181" i="3"/>
  <c r="I181" i="3" s="1"/>
  <c r="O180" i="3"/>
  <c r="L180" i="3"/>
  <c r="H180" i="3"/>
  <c r="I180" i="3" s="1"/>
  <c r="O179" i="3"/>
  <c r="L179" i="3"/>
  <c r="H179" i="3"/>
  <c r="I179" i="3" s="1"/>
  <c r="O178" i="3"/>
  <c r="L178" i="3"/>
  <c r="H178" i="3"/>
  <c r="I178" i="3" s="1"/>
  <c r="O177" i="3"/>
  <c r="L177" i="3"/>
  <c r="H177" i="3"/>
  <c r="I177" i="3" s="1"/>
  <c r="O176" i="3"/>
  <c r="L176" i="3"/>
  <c r="H176" i="3"/>
  <c r="I176" i="3" s="1"/>
  <c r="O175" i="3"/>
  <c r="L175" i="3"/>
  <c r="H175" i="3"/>
  <c r="I175" i="3" s="1"/>
  <c r="O174" i="3"/>
  <c r="L174" i="3"/>
  <c r="H174" i="3"/>
  <c r="I174" i="3" s="1"/>
  <c r="O173" i="3"/>
  <c r="L173" i="3"/>
  <c r="H173" i="3"/>
  <c r="I173" i="3" s="1"/>
  <c r="O172" i="3"/>
  <c r="L172" i="3"/>
  <c r="H172" i="3"/>
  <c r="I172" i="3" s="1"/>
  <c r="O171" i="3"/>
  <c r="L171" i="3"/>
  <c r="H171" i="3"/>
  <c r="I171" i="3" s="1"/>
  <c r="O170" i="3"/>
  <c r="L170" i="3"/>
  <c r="H170" i="3"/>
  <c r="I170" i="3" s="1"/>
  <c r="O169" i="3"/>
  <c r="L169" i="3"/>
  <c r="H169" i="3"/>
  <c r="I169" i="3" s="1"/>
  <c r="O168" i="3"/>
  <c r="L168" i="3"/>
  <c r="H168" i="3"/>
  <c r="I168" i="3" s="1"/>
  <c r="O167" i="3"/>
  <c r="L167" i="3"/>
  <c r="H167" i="3"/>
  <c r="I167" i="3" s="1"/>
  <c r="O166" i="3"/>
  <c r="L166" i="3"/>
  <c r="H166" i="3"/>
  <c r="I166" i="3" s="1"/>
  <c r="O165" i="3"/>
  <c r="L165" i="3"/>
  <c r="H165" i="3"/>
  <c r="I165" i="3" s="1"/>
  <c r="O164" i="3"/>
  <c r="L164" i="3"/>
  <c r="H164" i="3"/>
  <c r="I164" i="3" s="1"/>
  <c r="O163" i="3"/>
  <c r="L163" i="3"/>
  <c r="H163" i="3"/>
  <c r="I163" i="3" s="1"/>
  <c r="O162" i="3"/>
  <c r="L162" i="3"/>
  <c r="H162" i="3"/>
  <c r="I162" i="3" s="1"/>
  <c r="O161" i="3"/>
  <c r="L161" i="3"/>
  <c r="H161" i="3"/>
  <c r="I161" i="3" s="1"/>
  <c r="O160" i="3"/>
  <c r="L160" i="3"/>
  <c r="H160" i="3"/>
  <c r="I160" i="3" s="1"/>
  <c r="O159" i="3"/>
  <c r="L159" i="3"/>
  <c r="H159" i="3"/>
  <c r="I159" i="3" s="1"/>
  <c r="O158" i="3"/>
  <c r="L158" i="3"/>
  <c r="H158" i="3"/>
  <c r="I158" i="3" s="1"/>
  <c r="O157" i="3"/>
  <c r="L157" i="3"/>
  <c r="H157" i="3"/>
  <c r="I157" i="3" s="1"/>
  <c r="O156" i="3"/>
  <c r="L156" i="3"/>
  <c r="H156" i="3"/>
  <c r="I156" i="3" s="1"/>
  <c r="O155" i="3"/>
  <c r="L155" i="3"/>
  <c r="H155" i="3"/>
  <c r="I155" i="3" s="1"/>
  <c r="O154" i="3"/>
  <c r="L154" i="3"/>
  <c r="H154" i="3"/>
  <c r="I154" i="3" s="1"/>
  <c r="O153" i="3"/>
  <c r="L153" i="3"/>
  <c r="H153" i="3"/>
  <c r="I153" i="3" s="1"/>
  <c r="O152" i="3"/>
  <c r="L152" i="3"/>
  <c r="H152" i="3"/>
  <c r="I152" i="3" s="1"/>
  <c r="O151" i="3"/>
  <c r="L151" i="3"/>
  <c r="H151" i="3"/>
  <c r="I151" i="3" s="1"/>
  <c r="O150" i="3"/>
  <c r="L150" i="3"/>
  <c r="H150" i="3"/>
  <c r="I150" i="3" s="1"/>
  <c r="O149" i="3"/>
  <c r="L149" i="3"/>
  <c r="H149" i="3"/>
  <c r="I149" i="3" s="1"/>
  <c r="O148" i="3"/>
  <c r="L148" i="3"/>
  <c r="H148" i="3"/>
  <c r="I148" i="3" s="1"/>
  <c r="O147" i="3"/>
  <c r="L147" i="3"/>
  <c r="H147" i="3"/>
  <c r="I147" i="3" s="1"/>
  <c r="O146" i="3"/>
  <c r="L146" i="3"/>
  <c r="H146" i="3"/>
  <c r="I146" i="3" s="1"/>
  <c r="O145" i="3"/>
  <c r="L145" i="3"/>
  <c r="H145" i="3"/>
  <c r="I145" i="3" s="1"/>
  <c r="O144" i="3"/>
  <c r="L144" i="3"/>
  <c r="H144" i="3"/>
  <c r="I144" i="3" s="1"/>
  <c r="O143" i="3"/>
  <c r="L143" i="3"/>
  <c r="H143" i="3"/>
  <c r="I143" i="3" s="1"/>
  <c r="O142" i="3"/>
  <c r="L142" i="3"/>
  <c r="H142" i="3"/>
  <c r="I142" i="3" s="1"/>
  <c r="O141" i="3"/>
  <c r="L141" i="3"/>
  <c r="H141" i="3"/>
  <c r="I141" i="3" s="1"/>
  <c r="O140" i="3"/>
  <c r="L140" i="3"/>
  <c r="H140" i="3"/>
  <c r="I140" i="3" s="1"/>
  <c r="O139" i="3"/>
  <c r="L139" i="3"/>
  <c r="H139" i="3"/>
  <c r="I139" i="3" s="1"/>
  <c r="O138" i="3"/>
  <c r="L138" i="3"/>
  <c r="H138" i="3"/>
  <c r="I138" i="3" s="1"/>
  <c r="O137" i="3"/>
  <c r="L137" i="3"/>
  <c r="H137" i="3"/>
  <c r="I137" i="3" s="1"/>
  <c r="O136" i="3"/>
  <c r="L136" i="3"/>
  <c r="H136" i="3"/>
  <c r="I136" i="3" s="1"/>
  <c r="O135" i="3"/>
  <c r="L135" i="3"/>
  <c r="H135" i="3"/>
  <c r="I135" i="3" s="1"/>
  <c r="O134" i="3"/>
  <c r="L134" i="3"/>
  <c r="H134" i="3"/>
  <c r="I134" i="3" s="1"/>
  <c r="O133" i="3"/>
  <c r="L133" i="3"/>
  <c r="H133" i="3"/>
  <c r="I133" i="3" s="1"/>
  <c r="O132" i="3"/>
  <c r="L132" i="3"/>
  <c r="H132" i="3"/>
  <c r="I132" i="3" s="1"/>
  <c r="O131" i="3"/>
  <c r="L131" i="3"/>
  <c r="H131" i="3"/>
  <c r="I131" i="3" s="1"/>
  <c r="O130" i="3"/>
  <c r="L130" i="3"/>
  <c r="H130" i="3"/>
  <c r="I130" i="3" s="1"/>
  <c r="O129" i="3"/>
  <c r="L129" i="3"/>
  <c r="H129" i="3"/>
  <c r="I129" i="3" s="1"/>
  <c r="O128" i="3"/>
  <c r="L128" i="3"/>
  <c r="H128" i="3"/>
  <c r="I128" i="3" s="1"/>
  <c r="O127" i="3"/>
  <c r="L127" i="3"/>
  <c r="H127" i="3"/>
  <c r="I127" i="3" s="1"/>
  <c r="O126" i="3"/>
  <c r="L126" i="3"/>
  <c r="H126" i="3"/>
  <c r="I126" i="3" s="1"/>
  <c r="O125" i="3"/>
  <c r="L125" i="3"/>
  <c r="H125" i="3"/>
  <c r="I125" i="3" s="1"/>
  <c r="O124" i="3"/>
  <c r="L124" i="3"/>
  <c r="H124" i="3"/>
  <c r="I124" i="3" s="1"/>
  <c r="O123" i="3"/>
  <c r="L123" i="3"/>
  <c r="H123" i="3"/>
  <c r="I123" i="3" s="1"/>
  <c r="O122" i="3"/>
  <c r="L122" i="3"/>
  <c r="H122" i="3"/>
  <c r="I122" i="3" s="1"/>
  <c r="O121" i="3"/>
  <c r="L121" i="3"/>
  <c r="H121" i="3"/>
  <c r="I121" i="3" s="1"/>
  <c r="O120" i="3"/>
  <c r="L120" i="3"/>
  <c r="H120" i="3"/>
  <c r="I120" i="3" s="1"/>
  <c r="O119" i="3"/>
  <c r="L119" i="3"/>
  <c r="H119" i="3"/>
  <c r="I119" i="3" s="1"/>
  <c r="O118" i="3"/>
  <c r="L118" i="3"/>
  <c r="H118" i="3"/>
  <c r="I118" i="3" s="1"/>
  <c r="O117" i="3"/>
  <c r="L117" i="3"/>
  <c r="H117" i="3"/>
  <c r="I117" i="3" s="1"/>
  <c r="O116" i="3"/>
  <c r="L116" i="3"/>
  <c r="H116" i="3"/>
  <c r="I116" i="3" s="1"/>
  <c r="O115" i="3"/>
  <c r="L115" i="3"/>
  <c r="H115" i="3"/>
  <c r="I115" i="3" s="1"/>
  <c r="O114" i="3"/>
  <c r="L114" i="3"/>
  <c r="H114" i="3"/>
  <c r="I114" i="3" s="1"/>
  <c r="O113" i="3"/>
  <c r="L113" i="3"/>
  <c r="H113" i="3"/>
  <c r="I113" i="3" s="1"/>
  <c r="O112" i="3"/>
  <c r="L112" i="3"/>
  <c r="H112" i="3"/>
  <c r="I112" i="3" s="1"/>
  <c r="O111" i="3"/>
  <c r="L111" i="3"/>
  <c r="H111" i="3"/>
  <c r="I111" i="3" s="1"/>
  <c r="O110" i="3"/>
  <c r="L110" i="3"/>
  <c r="H110" i="3"/>
  <c r="I110" i="3" s="1"/>
  <c r="O109" i="3"/>
  <c r="L109" i="3"/>
  <c r="H109" i="3"/>
  <c r="I109" i="3" s="1"/>
  <c r="O108" i="3"/>
  <c r="L108" i="3"/>
  <c r="H108" i="3"/>
  <c r="I108" i="3" s="1"/>
  <c r="O107" i="3"/>
  <c r="L107" i="3"/>
  <c r="H107" i="3"/>
  <c r="I107" i="3" s="1"/>
  <c r="O106" i="3"/>
  <c r="L106" i="3"/>
  <c r="H106" i="3"/>
  <c r="I106" i="3" s="1"/>
  <c r="O105" i="3"/>
  <c r="L105" i="3"/>
  <c r="H105" i="3"/>
  <c r="I105" i="3" s="1"/>
  <c r="O104" i="3"/>
  <c r="L104" i="3"/>
  <c r="H104" i="3"/>
  <c r="I104" i="3" s="1"/>
  <c r="O103" i="3"/>
  <c r="L103" i="3"/>
  <c r="H103" i="3"/>
  <c r="I103" i="3" s="1"/>
  <c r="O102" i="3"/>
  <c r="L102" i="3"/>
  <c r="H102" i="3"/>
  <c r="I102" i="3" s="1"/>
  <c r="O101" i="3"/>
  <c r="L101" i="3"/>
  <c r="H101" i="3"/>
  <c r="I101" i="3" s="1"/>
  <c r="O100" i="3"/>
  <c r="L100" i="3"/>
  <c r="H100" i="3"/>
  <c r="I100" i="3" s="1"/>
  <c r="O99" i="3"/>
  <c r="L99" i="3"/>
  <c r="H99" i="3"/>
  <c r="I99" i="3" s="1"/>
  <c r="O98" i="3"/>
  <c r="L98" i="3"/>
  <c r="H98" i="3"/>
  <c r="I98" i="3" s="1"/>
  <c r="O97" i="3"/>
  <c r="L97" i="3"/>
  <c r="H97" i="3"/>
  <c r="I97" i="3" s="1"/>
  <c r="O96" i="3"/>
  <c r="L96" i="3"/>
  <c r="H96" i="3"/>
  <c r="I96" i="3" s="1"/>
  <c r="O95" i="3"/>
  <c r="L95" i="3"/>
  <c r="H95" i="3"/>
  <c r="I95" i="3" s="1"/>
  <c r="O94" i="3"/>
  <c r="L94" i="3"/>
  <c r="H94" i="3"/>
  <c r="I94" i="3" s="1"/>
  <c r="O93" i="3"/>
  <c r="L93" i="3"/>
  <c r="H93" i="3"/>
  <c r="I93" i="3" s="1"/>
  <c r="O92" i="3"/>
  <c r="L92" i="3"/>
  <c r="H92" i="3"/>
  <c r="I92" i="3" s="1"/>
  <c r="O91" i="3"/>
  <c r="L91" i="3"/>
  <c r="H91" i="3"/>
  <c r="I91" i="3" s="1"/>
  <c r="O90" i="3"/>
  <c r="L90" i="3"/>
  <c r="H90" i="3"/>
  <c r="I90" i="3" s="1"/>
  <c r="O89" i="3"/>
  <c r="L89" i="3"/>
  <c r="H89" i="3"/>
  <c r="I89" i="3" s="1"/>
  <c r="O88" i="3"/>
  <c r="L88" i="3"/>
  <c r="H88" i="3"/>
  <c r="I88" i="3" s="1"/>
  <c r="O87" i="3"/>
  <c r="L87" i="3"/>
  <c r="H87" i="3"/>
  <c r="I87" i="3" s="1"/>
  <c r="O86" i="3"/>
  <c r="L86" i="3"/>
  <c r="H86" i="3"/>
  <c r="I86" i="3" s="1"/>
  <c r="O85" i="3"/>
  <c r="L85" i="3"/>
  <c r="H85" i="3"/>
  <c r="I85" i="3" s="1"/>
  <c r="O84" i="3"/>
  <c r="L84" i="3"/>
  <c r="H84" i="3"/>
  <c r="I84" i="3" s="1"/>
  <c r="O83" i="3"/>
  <c r="L83" i="3"/>
  <c r="H83" i="3"/>
  <c r="I83" i="3" s="1"/>
  <c r="O82" i="3"/>
  <c r="L82" i="3"/>
  <c r="H82" i="3"/>
  <c r="I82" i="3" s="1"/>
  <c r="O81" i="3"/>
  <c r="L81" i="3"/>
  <c r="H81" i="3"/>
  <c r="I81" i="3" s="1"/>
  <c r="O80" i="3"/>
  <c r="L80" i="3"/>
  <c r="H80" i="3"/>
  <c r="I80" i="3" s="1"/>
  <c r="O79" i="3"/>
  <c r="L79" i="3"/>
  <c r="H79" i="3"/>
  <c r="I79" i="3" s="1"/>
  <c r="O78" i="3"/>
  <c r="L78" i="3"/>
  <c r="H78" i="3"/>
  <c r="I78" i="3" s="1"/>
  <c r="O77" i="3"/>
  <c r="L77" i="3"/>
  <c r="H77" i="3"/>
  <c r="I77" i="3" s="1"/>
  <c r="O76" i="3"/>
  <c r="L76" i="3"/>
  <c r="H76" i="3"/>
  <c r="I76" i="3" s="1"/>
  <c r="O75" i="3"/>
  <c r="L75" i="3"/>
  <c r="H75" i="3"/>
  <c r="I75" i="3" s="1"/>
  <c r="O74" i="3"/>
  <c r="L74" i="3"/>
  <c r="H74" i="3"/>
  <c r="I74" i="3" s="1"/>
  <c r="O73" i="3"/>
  <c r="L73" i="3"/>
  <c r="H73" i="3"/>
  <c r="I73" i="3" s="1"/>
  <c r="O72" i="3"/>
  <c r="L72" i="3"/>
  <c r="H72" i="3"/>
  <c r="I72" i="3" s="1"/>
  <c r="O71" i="3"/>
  <c r="L71" i="3"/>
  <c r="H71" i="3"/>
  <c r="I71" i="3" s="1"/>
  <c r="O70" i="3"/>
  <c r="L70" i="3"/>
  <c r="H70" i="3"/>
  <c r="I70" i="3" s="1"/>
  <c r="O69" i="3"/>
  <c r="L69" i="3"/>
  <c r="H69" i="3"/>
  <c r="I69" i="3" s="1"/>
  <c r="O68" i="3"/>
  <c r="L68" i="3"/>
  <c r="H68" i="3"/>
  <c r="I68" i="3" s="1"/>
  <c r="O67" i="3"/>
  <c r="L67" i="3"/>
  <c r="H67" i="3"/>
  <c r="I67" i="3" s="1"/>
  <c r="O66" i="3"/>
  <c r="L66" i="3"/>
  <c r="H66" i="3"/>
  <c r="I66" i="3" s="1"/>
  <c r="O65" i="3"/>
  <c r="L65" i="3"/>
  <c r="H65" i="3"/>
  <c r="I65" i="3" s="1"/>
  <c r="O64" i="3"/>
  <c r="L64" i="3"/>
  <c r="H64" i="3"/>
  <c r="I64" i="3" s="1"/>
  <c r="O63" i="3"/>
  <c r="L63" i="3"/>
  <c r="H63" i="3"/>
  <c r="I63" i="3" s="1"/>
  <c r="O62" i="3"/>
  <c r="L62" i="3"/>
  <c r="H62" i="3"/>
  <c r="I62" i="3" s="1"/>
  <c r="O61" i="3"/>
  <c r="L61" i="3"/>
  <c r="H61" i="3"/>
  <c r="I61" i="3" s="1"/>
  <c r="O60" i="3"/>
  <c r="L60" i="3"/>
  <c r="H60" i="3"/>
  <c r="I60" i="3" s="1"/>
  <c r="O59" i="3"/>
  <c r="L59" i="3"/>
  <c r="H59" i="3"/>
  <c r="I59" i="3" s="1"/>
  <c r="O58" i="3"/>
  <c r="L58" i="3"/>
  <c r="H58" i="3"/>
  <c r="I58" i="3" s="1"/>
  <c r="O57" i="3"/>
  <c r="L57" i="3"/>
  <c r="H57" i="3"/>
  <c r="I57" i="3" s="1"/>
  <c r="O56" i="3"/>
  <c r="L56" i="3"/>
  <c r="H56" i="3"/>
  <c r="I56" i="3" s="1"/>
  <c r="O55" i="3"/>
  <c r="L55" i="3"/>
  <c r="H55" i="3"/>
  <c r="I55" i="3" s="1"/>
  <c r="O54" i="3"/>
  <c r="L54" i="3"/>
  <c r="H54" i="3"/>
  <c r="I54" i="3" s="1"/>
  <c r="O53" i="3"/>
  <c r="L53" i="3"/>
  <c r="H53" i="3"/>
  <c r="I53" i="3" s="1"/>
  <c r="O52" i="3"/>
  <c r="L52" i="3"/>
  <c r="H52" i="3"/>
  <c r="I52" i="3" s="1"/>
  <c r="O51" i="3"/>
  <c r="L51" i="3"/>
  <c r="H51" i="3"/>
  <c r="I51" i="3" s="1"/>
  <c r="O50" i="3"/>
  <c r="L50" i="3"/>
  <c r="H50" i="3"/>
  <c r="I50" i="3" s="1"/>
  <c r="O49" i="3"/>
  <c r="L49" i="3"/>
  <c r="H49" i="3"/>
  <c r="I49" i="3" s="1"/>
  <c r="O48" i="3"/>
  <c r="L48" i="3"/>
  <c r="H48" i="3"/>
  <c r="I48" i="3" s="1"/>
  <c r="O47" i="3"/>
  <c r="L47" i="3"/>
  <c r="H47" i="3"/>
  <c r="I47" i="3" s="1"/>
  <c r="O46" i="3"/>
  <c r="L46" i="3"/>
  <c r="H46" i="3"/>
  <c r="I46" i="3" s="1"/>
  <c r="O45" i="3"/>
  <c r="L45" i="3"/>
  <c r="H45" i="3"/>
  <c r="I45" i="3" s="1"/>
  <c r="O44" i="3"/>
  <c r="L44" i="3"/>
  <c r="H44" i="3"/>
  <c r="I44" i="3" s="1"/>
  <c r="O43" i="3"/>
  <c r="L43" i="3"/>
  <c r="H43" i="3"/>
  <c r="I43" i="3" s="1"/>
  <c r="O42" i="3"/>
  <c r="L42" i="3"/>
  <c r="H42" i="3"/>
  <c r="I42" i="3" s="1"/>
  <c r="O41" i="3"/>
  <c r="L41" i="3"/>
  <c r="H41" i="3"/>
  <c r="I41" i="3" s="1"/>
  <c r="O40" i="3"/>
  <c r="L40" i="3"/>
  <c r="H40" i="3"/>
  <c r="I40" i="3" s="1"/>
  <c r="O39" i="3"/>
  <c r="L39" i="3"/>
  <c r="H39" i="3"/>
  <c r="I39" i="3" s="1"/>
  <c r="O38" i="3"/>
  <c r="L38" i="3"/>
  <c r="H38" i="3"/>
  <c r="I38" i="3" s="1"/>
  <c r="O37" i="3"/>
  <c r="L37" i="3"/>
  <c r="H37" i="3"/>
  <c r="I37" i="3" s="1"/>
  <c r="O36" i="3"/>
  <c r="L36" i="3"/>
  <c r="H36" i="3"/>
  <c r="I36" i="3" s="1"/>
  <c r="O35" i="3"/>
  <c r="L35" i="3"/>
  <c r="H35" i="3"/>
  <c r="I35" i="3" s="1"/>
  <c r="O34" i="3"/>
  <c r="L34" i="3"/>
  <c r="H34" i="3"/>
  <c r="I34" i="3" s="1"/>
  <c r="O33" i="3"/>
  <c r="L33" i="3"/>
  <c r="H33" i="3"/>
  <c r="I33" i="3" s="1"/>
  <c r="O32" i="3"/>
  <c r="L32" i="3"/>
  <c r="H32" i="3"/>
  <c r="I32" i="3" s="1"/>
  <c r="O31" i="3"/>
  <c r="L31" i="3"/>
  <c r="H31" i="3"/>
  <c r="I31" i="3" s="1"/>
  <c r="O30" i="3"/>
  <c r="L30" i="3"/>
  <c r="H30" i="3"/>
  <c r="I30" i="3" s="1"/>
  <c r="O29" i="3"/>
  <c r="L29" i="3"/>
  <c r="H29" i="3"/>
  <c r="I29" i="3" s="1"/>
  <c r="O28" i="3"/>
  <c r="L28" i="3"/>
  <c r="H28" i="3"/>
  <c r="I28" i="3" s="1"/>
  <c r="O27" i="3"/>
  <c r="L27" i="3"/>
  <c r="H27" i="3"/>
  <c r="I27" i="3" s="1"/>
  <c r="O26" i="3"/>
  <c r="L26" i="3"/>
  <c r="H26" i="3"/>
  <c r="I26" i="3" s="1"/>
  <c r="O25" i="3"/>
  <c r="L25" i="3"/>
  <c r="H25" i="3"/>
  <c r="I25" i="3" s="1"/>
  <c r="O24" i="3"/>
  <c r="L24" i="3"/>
  <c r="H24" i="3"/>
  <c r="I24" i="3" s="1"/>
  <c r="O23" i="3"/>
  <c r="L23" i="3"/>
  <c r="H23" i="3"/>
  <c r="I23" i="3" s="1"/>
  <c r="O22" i="3"/>
  <c r="L22" i="3"/>
  <c r="H22" i="3"/>
  <c r="I22" i="3" s="1"/>
  <c r="O21" i="3"/>
  <c r="L21" i="3"/>
  <c r="H21" i="3"/>
  <c r="I21" i="3" s="1"/>
  <c r="O20" i="3"/>
  <c r="L20" i="3"/>
  <c r="H20" i="3"/>
  <c r="I20" i="3" s="1"/>
  <c r="O19" i="3"/>
  <c r="L19" i="3"/>
  <c r="H19" i="3"/>
  <c r="I19" i="3" s="1"/>
  <c r="O18" i="3"/>
  <c r="L18" i="3"/>
  <c r="H18" i="3"/>
  <c r="I18" i="3" s="1"/>
  <c r="O17" i="3"/>
  <c r="L17" i="3"/>
  <c r="H17" i="3"/>
  <c r="I17" i="3" s="1"/>
  <c r="O16" i="3"/>
  <c r="L16" i="3"/>
  <c r="H16" i="3"/>
  <c r="I16" i="3" s="1"/>
  <c r="O15" i="3"/>
  <c r="L15" i="3"/>
  <c r="H15" i="3"/>
  <c r="I15" i="3" s="1"/>
  <c r="O14" i="3"/>
  <c r="L14" i="3"/>
  <c r="H14" i="3"/>
  <c r="I14" i="3" s="1"/>
  <c r="O13" i="3"/>
  <c r="L13" i="3"/>
  <c r="H13" i="3"/>
  <c r="I13" i="3" s="1"/>
  <c r="O12" i="3"/>
  <c r="L12" i="3"/>
  <c r="H12" i="3"/>
  <c r="I12" i="3" s="1"/>
  <c r="O11" i="3"/>
  <c r="L11" i="3"/>
  <c r="H11" i="3"/>
  <c r="I11" i="3" s="1"/>
  <c r="O10" i="3"/>
  <c r="L10" i="3"/>
  <c r="H10" i="3"/>
  <c r="I10" i="3" s="1"/>
  <c r="O9" i="3"/>
  <c r="L9" i="3"/>
  <c r="H9" i="3"/>
  <c r="I9" i="3" s="1"/>
  <c r="O8" i="3"/>
  <c r="L8" i="3"/>
  <c r="H8" i="3"/>
  <c r="I8" i="3" s="1"/>
  <c r="O7" i="3"/>
  <c r="L7" i="3"/>
  <c r="H7" i="3"/>
  <c r="I7" i="3" s="1"/>
  <c r="O6" i="3"/>
  <c r="L6" i="3"/>
  <c r="H6" i="3"/>
  <c r="I6" i="3" s="1"/>
  <c r="O5" i="3"/>
  <c r="L5" i="3"/>
  <c r="H5" i="3"/>
  <c r="I5" i="3" s="1"/>
  <c r="O4" i="3"/>
  <c r="L4" i="3"/>
  <c r="H4" i="3"/>
  <c r="I4" i="3" s="1"/>
  <c r="O525" i="2"/>
  <c r="N525" i="2"/>
  <c r="M525" i="2"/>
  <c r="L525" i="2"/>
  <c r="K525" i="2"/>
  <c r="J525" i="2"/>
  <c r="E525" i="2"/>
  <c r="D525" i="2"/>
  <c r="P524" i="2"/>
  <c r="H524" i="2"/>
  <c r="I524" i="2" s="1"/>
  <c r="P523" i="2"/>
  <c r="H523" i="2"/>
  <c r="I523" i="2" s="1"/>
  <c r="P522" i="2"/>
  <c r="H522" i="2"/>
  <c r="I522" i="2" s="1"/>
  <c r="P521" i="2"/>
  <c r="H521" i="2"/>
  <c r="I521" i="2" s="1"/>
  <c r="P520" i="2"/>
  <c r="H520" i="2"/>
  <c r="I520" i="2" s="1"/>
  <c r="P519" i="2"/>
  <c r="H519" i="2"/>
  <c r="I519" i="2" s="1"/>
  <c r="P518" i="2"/>
  <c r="H518" i="2"/>
  <c r="I518" i="2" s="1"/>
  <c r="P517" i="2"/>
  <c r="H517" i="2"/>
  <c r="I517" i="2" s="1"/>
  <c r="P516" i="2"/>
  <c r="H516" i="2"/>
  <c r="I516" i="2" s="1"/>
  <c r="O504" i="2"/>
  <c r="N504" i="2"/>
  <c r="M504" i="2"/>
  <c r="L504" i="2"/>
  <c r="K504" i="2"/>
  <c r="J504" i="2"/>
  <c r="E504" i="2"/>
  <c r="E526" i="2" s="1"/>
  <c r="D504" i="2"/>
  <c r="Q503" i="2"/>
  <c r="P502" i="2"/>
  <c r="H502" i="2"/>
  <c r="I502" i="2" s="1"/>
  <c r="P501" i="2"/>
  <c r="H501" i="2"/>
  <c r="I501" i="2" s="1"/>
  <c r="P500" i="2"/>
  <c r="H500" i="2"/>
  <c r="I500" i="2" s="1"/>
  <c r="P499" i="2"/>
  <c r="H499" i="2"/>
  <c r="I499" i="2" s="1"/>
  <c r="P498" i="2"/>
  <c r="H498" i="2"/>
  <c r="I498" i="2" s="1"/>
  <c r="Q498" i="2" s="1"/>
  <c r="P497" i="2"/>
  <c r="H497" i="2"/>
  <c r="I497" i="2" s="1"/>
  <c r="P496" i="2"/>
  <c r="H496" i="2"/>
  <c r="I496" i="2" s="1"/>
  <c r="P495" i="2"/>
  <c r="H495" i="2"/>
  <c r="I495" i="2" s="1"/>
  <c r="P494" i="2"/>
  <c r="H494" i="2"/>
  <c r="A514" i="2"/>
  <c r="N479" i="2"/>
  <c r="M479" i="2"/>
  <c r="K479" i="2"/>
  <c r="J479" i="2"/>
  <c r="O475" i="2"/>
  <c r="L475" i="2"/>
  <c r="H475" i="2"/>
  <c r="I475" i="2" s="1"/>
  <c r="P474" i="2"/>
  <c r="H474" i="2"/>
  <c r="I474" i="2" s="1"/>
  <c r="O473" i="2"/>
  <c r="L473" i="2"/>
  <c r="H473" i="2"/>
  <c r="I473" i="2" s="1"/>
  <c r="O472" i="2"/>
  <c r="L472" i="2"/>
  <c r="H472" i="2"/>
  <c r="I472" i="2" s="1"/>
  <c r="O471" i="2"/>
  <c r="L471" i="2"/>
  <c r="H471" i="2"/>
  <c r="I471" i="2" s="1"/>
  <c r="O470" i="2"/>
  <c r="L470" i="2"/>
  <c r="H470" i="2"/>
  <c r="I470" i="2" s="1"/>
  <c r="O469" i="2"/>
  <c r="L469" i="2"/>
  <c r="H469" i="2"/>
  <c r="I469" i="2" s="1"/>
  <c r="O468" i="2"/>
  <c r="L468" i="2"/>
  <c r="H468" i="2"/>
  <c r="I468" i="2" s="1"/>
  <c r="O467" i="2"/>
  <c r="L467" i="2"/>
  <c r="H467" i="2"/>
  <c r="I467" i="2" s="1"/>
  <c r="O466" i="2"/>
  <c r="L466" i="2"/>
  <c r="H466" i="2"/>
  <c r="I466" i="2" s="1"/>
  <c r="O465" i="2"/>
  <c r="L465" i="2"/>
  <c r="H465" i="2"/>
  <c r="I465" i="2" s="1"/>
  <c r="O464" i="2"/>
  <c r="L464" i="2"/>
  <c r="H464" i="2"/>
  <c r="I464" i="2" s="1"/>
  <c r="O463" i="2"/>
  <c r="L463" i="2"/>
  <c r="H463" i="2"/>
  <c r="I463" i="2" s="1"/>
  <c r="O462" i="2"/>
  <c r="L462" i="2"/>
  <c r="H462" i="2"/>
  <c r="I462" i="2" s="1"/>
  <c r="O461" i="2"/>
  <c r="L461" i="2"/>
  <c r="H461" i="2"/>
  <c r="I461" i="2" s="1"/>
  <c r="O460" i="2"/>
  <c r="L460" i="2"/>
  <c r="H460" i="2"/>
  <c r="I460" i="2" s="1"/>
  <c r="O458" i="2"/>
  <c r="L458" i="2"/>
  <c r="H458" i="2"/>
  <c r="I458" i="2" s="1"/>
  <c r="O457" i="2"/>
  <c r="L457" i="2"/>
  <c r="H457" i="2"/>
  <c r="I457" i="2" s="1"/>
  <c r="O456" i="2"/>
  <c r="H456" i="2"/>
  <c r="I456" i="2" s="1"/>
  <c r="O455" i="2"/>
  <c r="L455" i="2"/>
  <c r="H455" i="2"/>
  <c r="I455" i="2" s="1"/>
  <c r="O454" i="2"/>
  <c r="L454" i="2"/>
  <c r="H454" i="2"/>
  <c r="I454" i="2" s="1"/>
  <c r="O453" i="2"/>
  <c r="L453" i="2"/>
  <c r="H453" i="2"/>
  <c r="I453" i="2" s="1"/>
  <c r="O452" i="2"/>
  <c r="L452" i="2"/>
  <c r="H452" i="2"/>
  <c r="I452" i="2" s="1"/>
  <c r="O451" i="2"/>
  <c r="L451" i="2"/>
  <c r="H451" i="2"/>
  <c r="I451" i="2" s="1"/>
  <c r="O450" i="2"/>
  <c r="L450" i="2"/>
  <c r="H450" i="2"/>
  <c r="I450" i="2" s="1"/>
  <c r="O449" i="2"/>
  <c r="L449" i="2"/>
  <c r="H449" i="2"/>
  <c r="I449" i="2" s="1"/>
  <c r="O448" i="2"/>
  <c r="L448" i="2"/>
  <c r="H448" i="2"/>
  <c r="I448" i="2" s="1"/>
  <c r="O447" i="2"/>
  <c r="L447" i="2"/>
  <c r="H447" i="2"/>
  <c r="I447" i="2" s="1"/>
  <c r="O446" i="2"/>
  <c r="L446" i="2"/>
  <c r="H446" i="2"/>
  <c r="I446" i="2" s="1"/>
  <c r="O445" i="2"/>
  <c r="L445" i="2"/>
  <c r="H445" i="2"/>
  <c r="I445" i="2" s="1"/>
  <c r="O444" i="2"/>
  <c r="L444" i="2"/>
  <c r="H444" i="2"/>
  <c r="I444" i="2" s="1"/>
  <c r="O443" i="2"/>
  <c r="L443" i="2"/>
  <c r="H443" i="2"/>
  <c r="I443" i="2" s="1"/>
  <c r="O442" i="2"/>
  <c r="L442" i="2"/>
  <c r="H442" i="2"/>
  <c r="I442" i="2" s="1"/>
  <c r="O441" i="2"/>
  <c r="L441" i="2"/>
  <c r="H441" i="2"/>
  <c r="I441" i="2" s="1"/>
  <c r="O440" i="2"/>
  <c r="L440" i="2"/>
  <c r="H440" i="2"/>
  <c r="I440" i="2" s="1"/>
  <c r="O439" i="2"/>
  <c r="L439" i="2"/>
  <c r="H439" i="2"/>
  <c r="I439" i="2" s="1"/>
  <c r="O438" i="2"/>
  <c r="L438" i="2"/>
  <c r="H438" i="2"/>
  <c r="I438" i="2" s="1"/>
  <c r="O437" i="2"/>
  <c r="L437" i="2"/>
  <c r="H437" i="2"/>
  <c r="I437" i="2" s="1"/>
  <c r="O436" i="2"/>
  <c r="L436" i="2"/>
  <c r="H436" i="2"/>
  <c r="I436" i="2" s="1"/>
  <c r="O435" i="2"/>
  <c r="L435" i="2"/>
  <c r="H435" i="2"/>
  <c r="I435" i="2" s="1"/>
  <c r="O434" i="2"/>
  <c r="L434" i="2"/>
  <c r="H434" i="2"/>
  <c r="I434" i="2" s="1"/>
  <c r="O433" i="2"/>
  <c r="P433" i="2" s="1"/>
  <c r="Q433" i="2" s="1"/>
  <c r="O432" i="2"/>
  <c r="L432" i="2"/>
  <c r="H432" i="2"/>
  <c r="I432" i="2" s="1"/>
  <c r="O431" i="2"/>
  <c r="L431" i="2"/>
  <c r="H431" i="2"/>
  <c r="I431" i="2" s="1"/>
  <c r="O430" i="2"/>
  <c r="L430" i="2"/>
  <c r="H430" i="2"/>
  <c r="I430" i="2" s="1"/>
  <c r="O429" i="2"/>
  <c r="L429" i="2"/>
  <c r="H429" i="2"/>
  <c r="I429" i="2" s="1"/>
  <c r="O428" i="2"/>
  <c r="L428" i="2"/>
  <c r="H428" i="2"/>
  <c r="I428" i="2" s="1"/>
  <c r="O427" i="2"/>
  <c r="L427" i="2"/>
  <c r="H427" i="2"/>
  <c r="I427" i="2" s="1"/>
  <c r="O426" i="2"/>
  <c r="L426" i="2"/>
  <c r="H426" i="2"/>
  <c r="I426" i="2" s="1"/>
  <c r="O425" i="2"/>
  <c r="L425" i="2"/>
  <c r="H425" i="2"/>
  <c r="I425" i="2" s="1"/>
  <c r="O424" i="2"/>
  <c r="L424" i="2"/>
  <c r="H424" i="2"/>
  <c r="I424" i="2" s="1"/>
  <c r="O423" i="2"/>
  <c r="L423" i="2"/>
  <c r="H423" i="2"/>
  <c r="I423" i="2" s="1"/>
  <c r="O422" i="2"/>
  <c r="L422" i="2"/>
  <c r="H422" i="2"/>
  <c r="I422" i="2" s="1"/>
  <c r="O421" i="2"/>
  <c r="L421" i="2"/>
  <c r="H421" i="2"/>
  <c r="I421" i="2" s="1"/>
  <c r="O420" i="2"/>
  <c r="L420" i="2"/>
  <c r="H420" i="2"/>
  <c r="I420" i="2" s="1"/>
  <c r="O419" i="2"/>
  <c r="L419" i="2"/>
  <c r="H419" i="2"/>
  <c r="I419" i="2" s="1"/>
  <c r="O418" i="2"/>
  <c r="L418" i="2"/>
  <c r="H418" i="2"/>
  <c r="I418" i="2" s="1"/>
  <c r="O417" i="2"/>
  <c r="L417" i="2"/>
  <c r="H417" i="2"/>
  <c r="I417" i="2" s="1"/>
  <c r="O416" i="2"/>
  <c r="L416" i="2"/>
  <c r="H416" i="2"/>
  <c r="I416" i="2" s="1"/>
  <c r="O415" i="2"/>
  <c r="L415" i="2"/>
  <c r="H415" i="2"/>
  <c r="I415" i="2" s="1"/>
  <c r="O414" i="2"/>
  <c r="L414" i="2"/>
  <c r="H414" i="2"/>
  <c r="I414" i="2" s="1"/>
  <c r="O413" i="2"/>
  <c r="L413" i="2"/>
  <c r="H413" i="2"/>
  <c r="I413" i="2" s="1"/>
  <c r="O412" i="2"/>
  <c r="L412" i="2"/>
  <c r="H412" i="2"/>
  <c r="I412" i="2" s="1"/>
  <c r="O411" i="2"/>
  <c r="L411" i="2"/>
  <c r="H411" i="2"/>
  <c r="I411" i="2" s="1"/>
  <c r="O410" i="2"/>
  <c r="L410" i="2"/>
  <c r="H410" i="2"/>
  <c r="I410" i="2" s="1"/>
  <c r="O409" i="2"/>
  <c r="L409" i="2"/>
  <c r="H409" i="2"/>
  <c r="I409" i="2" s="1"/>
  <c r="O408" i="2"/>
  <c r="L408" i="2"/>
  <c r="H408" i="2"/>
  <c r="I408" i="2" s="1"/>
  <c r="O407" i="2"/>
  <c r="L407" i="2"/>
  <c r="H407" i="2"/>
  <c r="I407" i="2" s="1"/>
  <c r="O406" i="2"/>
  <c r="L406" i="2"/>
  <c r="H406" i="2"/>
  <c r="I406" i="2" s="1"/>
  <c r="O405" i="2"/>
  <c r="L405" i="2"/>
  <c r="H405" i="2"/>
  <c r="I405" i="2" s="1"/>
  <c r="O404" i="2"/>
  <c r="L404" i="2"/>
  <c r="H404" i="2"/>
  <c r="I404" i="2" s="1"/>
  <c r="O403" i="2"/>
  <c r="L403" i="2"/>
  <c r="H403" i="2"/>
  <c r="I403" i="2" s="1"/>
  <c r="O402" i="2"/>
  <c r="L402" i="2"/>
  <c r="H402" i="2"/>
  <c r="I402" i="2" s="1"/>
  <c r="O401" i="2"/>
  <c r="L401" i="2"/>
  <c r="H401" i="2"/>
  <c r="I401" i="2" s="1"/>
  <c r="O400" i="2"/>
  <c r="L400" i="2"/>
  <c r="H400" i="2"/>
  <c r="I400" i="2" s="1"/>
  <c r="O399" i="2"/>
  <c r="L399" i="2"/>
  <c r="H399" i="2"/>
  <c r="I399" i="2" s="1"/>
  <c r="O398" i="2"/>
  <c r="L398" i="2"/>
  <c r="H398" i="2"/>
  <c r="I398" i="2" s="1"/>
  <c r="O397" i="2"/>
  <c r="L397" i="2"/>
  <c r="H397" i="2"/>
  <c r="I397" i="2" s="1"/>
  <c r="O396" i="2"/>
  <c r="L396" i="2"/>
  <c r="H396" i="2"/>
  <c r="I396" i="2" s="1"/>
  <c r="O395" i="2"/>
  <c r="L395" i="2"/>
  <c r="H395" i="2"/>
  <c r="I395" i="2" s="1"/>
  <c r="O394" i="2"/>
  <c r="L394" i="2"/>
  <c r="H394" i="2"/>
  <c r="I394" i="2" s="1"/>
  <c r="O393" i="2"/>
  <c r="L393" i="2"/>
  <c r="H393" i="2"/>
  <c r="I393" i="2" s="1"/>
  <c r="O392" i="2"/>
  <c r="L392" i="2"/>
  <c r="H392" i="2"/>
  <c r="I392" i="2" s="1"/>
  <c r="O391" i="2"/>
  <c r="L391" i="2"/>
  <c r="H391" i="2"/>
  <c r="I391" i="2" s="1"/>
  <c r="O390" i="2"/>
  <c r="L390" i="2"/>
  <c r="H390" i="2"/>
  <c r="I390" i="2" s="1"/>
  <c r="O389" i="2"/>
  <c r="L389" i="2"/>
  <c r="H389" i="2"/>
  <c r="I389" i="2" s="1"/>
  <c r="O388" i="2"/>
  <c r="L388" i="2"/>
  <c r="H388" i="2"/>
  <c r="I388" i="2" s="1"/>
  <c r="O387" i="2"/>
  <c r="L387" i="2"/>
  <c r="H387" i="2"/>
  <c r="I387" i="2" s="1"/>
  <c r="O386" i="2"/>
  <c r="L386" i="2"/>
  <c r="H386" i="2"/>
  <c r="I386" i="2" s="1"/>
  <c r="O385" i="2"/>
  <c r="L385" i="2"/>
  <c r="H385" i="2"/>
  <c r="I385" i="2" s="1"/>
  <c r="O384" i="2"/>
  <c r="L384" i="2"/>
  <c r="I384" i="2"/>
  <c r="O383" i="2"/>
  <c r="L383" i="2"/>
  <c r="H383" i="2"/>
  <c r="I383" i="2" s="1"/>
  <c r="O382" i="2"/>
  <c r="L382" i="2"/>
  <c r="H382" i="2"/>
  <c r="I382" i="2" s="1"/>
  <c r="O381" i="2"/>
  <c r="L381" i="2"/>
  <c r="H381" i="2"/>
  <c r="I381" i="2" s="1"/>
  <c r="O380" i="2"/>
  <c r="L380" i="2"/>
  <c r="H380" i="2"/>
  <c r="I380" i="2" s="1"/>
  <c r="O379" i="2"/>
  <c r="L379" i="2"/>
  <c r="H379" i="2"/>
  <c r="I379" i="2" s="1"/>
  <c r="O378" i="2"/>
  <c r="L378" i="2"/>
  <c r="H378" i="2"/>
  <c r="I378" i="2" s="1"/>
  <c r="O377" i="2"/>
  <c r="L377" i="2"/>
  <c r="H377" i="2"/>
  <c r="I377" i="2" s="1"/>
  <c r="O376" i="2"/>
  <c r="L376" i="2"/>
  <c r="H376" i="2"/>
  <c r="I376" i="2" s="1"/>
  <c r="O375" i="2"/>
  <c r="L375" i="2"/>
  <c r="H375" i="2"/>
  <c r="I375" i="2" s="1"/>
  <c r="O374" i="2"/>
  <c r="L374" i="2"/>
  <c r="H374" i="2"/>
  <c r="I374" i="2" s="1"/>
  <c r="O373" i="2"/>
  <c r="L373" i="2"/>
  <c r="H373" i="2"/>
  <c r="I373" i="2" s="1"/>
  <c r="O372" i="2"/>
  <c r="L372" i="2"/>
  <c r="H372" i="2"/>
  <c r="I372" i="2" s="1"/>
  <c r="O371" i="2"/>
  <c r="L371" i="2"/>
  <c r="H371" i="2"/>
  <c r="I371" i="2" s="1"/>
  <c r="O370" i="2"/>
  <c r="L370" i="2"/>
  <c r="H370" i="2"/>
  <c r="I370" i="2" s="1"/>
  <c r="O369" i="2"/>
  <c r="L369" i="2"/>
  <c r="H369" i="2"/>
  <c r="I369" i="2" s="1"/>
  <c r="O368" i="2"/>
  <c r="L368" i="2"/>
  <c r="H368" i="2"/>
  <c r="I368" i="2" s="1"/>
  <c r="O367" i="2"/>
  <c r="L367" i="2"/>
  <c r="H367" i="2"/>
  <c r="I367" i="2" s="1"/>
  <c r="O366" i="2"/>
  <c r="L366" i="2"/>
  <c r="H366" i="2"/>
  <c r="I366" i="2" s="1"/>
  <c r="O365" i="2"/>
  <c r="L365" i="2"/>
  <c r="H365" i="2"/>
  <c r="I365" i="2" s="1"/>
  <c r="O364" i="2"/>
  <c r="L364" i="2"/>
  <c r="H364" i="2"/>
  <c r="I364" i="2" s="1"/>
  <c r="O363" i="2"/>
  <c r="L363" i="2"/>
  <c r="H363" i="2"/>
  <c r="I363" i="2" s="1"/>
  <c r="O362" i="2"/>
  <c r="L362" i="2"/>
  <c r="H362" i="2"/>
  <c r="I362" i="2" s="1"/>
  <c r="O361" i="2"/>
  <c r="H361" i="2"/>
  <c r="I361" i="2" s="1"/>
  <c r="O360" i="2"/>
  <c r="L360" i="2"/>
  <c r="H360" i="2"/>
  <c r="I360" i="2" s="1"/>
  <c r="O359" i="2"/>
  <c r="L359" i="2"/>
  <c r="H359" i="2"/>
  <c r="I359" i="2" s="1"/>
  <c r="O358" i="2"/>
  <c r="L358" i="2"/>
  <c r="H358" i="2"/>
  <c r="I358" i="2" s="1"/>
  <c r="O357" i="2"/>
  <c r="L357" i="2"/>
  <c r="H357" i="2"/>
  <c r="I357" i="2" s="1"/>
  <c r="O356" i="2"/>
  <c r="L356" i="2"/>
  <c r="H356" i="2"/>
  <c r="I356" i="2" s="1"/>
  <c r="O355" i="2"/>
  <c r="L355" i="2"/>
  <c r="H355" i="2"/>
  <c r="I355" i="2" s="1"/>
  <c r="O354" i="2"/>
  <c r="L354" i="2"/>
  <c r="H354" i="2"/>
  <c r="I354" i="2" s="1"/>
  <c r="O353" i="2"/>
  <c r="L353" i="2"/>
  <c r="H353" i="2"/>
  <c r="I353" i="2" s="1"/>
  <c r="O352" i="2"/>
  <c r="L352" i="2"/>
  <c r="H352" i="2"/>
  <c r="I352" i="2" s="1"/>
  <c r="O351" i="2"/>
  <c r="L351" i="2"/>
  <c r="H351" i="2"/>
  <c r="I351" i="2" s="1"/>
  <c r="O350" i="2"/>
  <c r="L350" i="2"/>
  <c r="H350" i="2"/>
  <c r="I350" i="2" s="1"/>
  <c r="O349" i="2"/>
  <c r="L349" i="2"/>
  <c r="H349" i="2"/>
  <c r="I349" i="2" s="1"/>
  <c r="O348" i="2"/>
  <c r="L348" i="2"/>
  <c r="H348" i="2"/>
  <c r="I348" i="2" s="1"/>
  <c r="O347" i="2"/>
  <c r="L347" i="2"/>
  <c r="H347" i="2"/>
  <c r="I347" i="2" s="1"/>
  <c r="O346" i="2"/>
  <c r="L346" i="2"/>
  <c r="H346" i="2"/>
  <c r="I346" i="2" s="1"/>
  <c r="O345" i="2"/>
  <c r="L345" i="2"/>
  <c r="H345" i="2"/>
  <c r="I345" i="2" s="1"/>
  <c r="O344" i="2"/>
  <c r="L344" i="2"/>
  <c r="H344" i="2"/>
  <c r="I344" i="2" s="1"/>
  <c r="O343" i="2"/>
  <c r="L343" i="2"/>
  <c r="H343" i="2"/>
  <c r="I343" i="2" s="1"/>
  <c r="O342" i="2"/>
  <c r="L342" i="2"/>
  <c r="H342" i="2"/>
  <c r="I342" i="2" s="1"/>
  <c r="O341" i="2"/>
  <c r="L341" i="2"/>
  <c r="H341" i="2"/>
  <c r="I341" i="2" s="1"/>
  <c r="O340" i="2"/>
  <c r="L340" i="2"/>
  <c r="H340" i="2"/>
  <c r="I340" i="2" s="1"/>
  <c r="O339" i="2"/>
  <c r="L339" i="2"/>
  <c r="H339" i="2"/>
  <c r="I339" i="2" s="1"/>
  <c r="O338" i="2"/>
  <c r="L338" i="2"/>
  <c r="H338" i="2"/>
  <c r="I338" i="2" s="1"/>
  <c r="O337" i="2"/>
  <c r="L337" i="2"/>
  <c r="H337" i="2"/>
  <c r="I337" i="2" s="1"/>
  <c r="O336" i="2"/>
  <c r="L336" i="2"/>
  <c r="H336" i="2"/>
  <c r="I336" i="2" s="1"/>
  <c r="O335" i="2"/>
  <c r="L335" i="2"/>
  <c r="H335" i="2"/>
  <c r="I335" i="2" s="1"/>
  <c r="O334" i="2"/>
  <c r="L334" i="2"/>
  <c r="H334" i="2"/>
  <c r="I334" i="2" s="1"/>
  <c r="O333" i="2"/>
  <c r="L333" i="2"/>
  <c r="H333" i="2"/>
  <c r="I333" i="2" s="1"/>
  <c r="O332" i="2"/>
  <c r="L332" i="2"/>
  <c r="H332" i="2"/>
  <c r="I332" i="2" s="1"/>
  <c r="O331" i="2"/>
  <c r="L331" i="2"/>
  <c r="H331" i="2"/>
  <c r="I331" i="2" s="1"/>
  <c r="O330" i="2"/>
  <c r="L330" i="2"/>
  <c r="H330" i="2"/>
  <c r="I330" i="2" s="1"/>
  <c r="O329" i="2"/>
  <c r="L329" i="2"/>
  <c r="H329" i="2"/>
  <c r="I329" i="2" s="1"/>
  <c r="O328" i="2"/>
  <c r="L328" i="2"/>
  <c r="H328" i="2"/>
  <c r="I328" i="2" s="1"/>
  <c r="O327" i="2"/>
  <c r="L327" i="2"/>
  <c r="H327" i="2"/>
  <c r="I327" i="2" s="1"/>
  <c r="O326" i="2"/>
  <c r="L326" i="2"/>
  <c r="H326" i="2"/>
  <c r="I326" i="2" s="1"/>
  <c r="O325" i="2"/>
  <c r="L325" i="2"/>
  <c r="H325" i="2"/>
  <c r="I325" i="2" s="1"/>
  <c r="O324" i="2"/>
  <c r="L324" i="2"/>
  <c r="H324" i="2"/>
  <c r="I324" i="2" s="1"/>
  <c r="O323" i="2"/>
  <c r="L323" i="2"/>
  <c r="H323" i="2"/>
  <c r="I323" i="2" s="1"/>
  <c r="O322" i="2"/>
  <c r="L322" i="2"/>
  <c r="H322" i="2"/>
  <c r="I322" i="2" s="1"/>
  <c r="O321" i="2"/>
  <c r="L321" i="2"/>
  <c r="H321" i="2"/>
  <c r="I321" i="2" s="1"/>
  <c r="O320" i="2"/>
  <c r="L320" i="2"/>
  <c r="H320" i="2"/>
  <c r="I320" i="2" s="1"/>
  <c r="O319" i="2"/>
  <c r="L319" i="2"/>
  <c r="H319" i="2"/>
  <c r="I319" i="2" s="1"/>
  <c r="O318" i="2"/>
  <c r="L318" i="2"/>
  <c r="H318" i="2"/>
  <c r="I318" i="2" s="1"/>
  <c r="O317" i="2"/>
  <c r="L317" i="2"/>
  <c r="H317" i="2"/>
  <c r="I317" i="2" s="1"/>
  <c r="O316" i="2"/>
  <c r="L316" i="2"/>
  <c r="H316" i="2"/>
  <c r="I316" i="2" s="1"/>
  <c r="O315" i="2"/>
  <c r="L315" i="2"/>
  <c r="H315" i="2"/>
  <c r="I315" i="2" s="1"/>
  <c r="O314" i="2"/>
  <c r="L314" i="2"/>
  <c r="H314" i="2"/>
  <c r="I314" i="2" s="1"/>
  <c r="O313" i="2"/>
  <c r="L313" i="2"/>
  <c r="H313" i="2"/>
  <c r="I313" i="2" s="1"/>
  <c r="O312" i="2"/>
  <c r="L312" i="2"/>
  <c r="H312" i="2"/>
  <c r="I312" i="2" s="1"/>
  <c r="O311" i="2"/>
  <c r="L311" i="2"/>
  <c r="H311" i="2"/>
  <c r="I311" i="2" s="1"/>
  <c r="O310" i="2"/>
  <c r="L310" i="2"/>
  <c r="H310" i="2"/>
  <c r="I310" i="2" s="1"/>
  <c r="O309" i="2"/>
  <c r="L309" i="2"/>
  <c r="H309" i="2"/>
  <c r="I309" i="2" s="1"/>
  <c r="O308" i="2"/>
  <c r="L308" i="2"/>
  <c r="H308" i="2"/>
  <c r="I308" i="2" s="1"/>
  <c r="O307" i="2"/>
  <c r="L307" i="2"/>
  <c r="H307" i="2"/>
  <c r="I307" i="2" s="1"/>
  <c r="O306" i="2"/>
  <c r="L306" i="2"/>
  <c r="H306" i="2"/>
  <c r="I306" i="2" s="1"/>
  <c r="O305" i="2"/>
  <c r="L305" i="2"/>
  <c r="H305" i="2"/>
  <c r="I305" i="2" s="1"/>
  <c r="O304" i="2"/>
  <c r="L304" i="2"/>
  <c r="H304" i="2"/>
  <c r="I304" i="2" s="1"/>
  <c r="O303" i="2"/>
  <c r="L303" i="2"/>
  <c r="H303" i="2"/>
  <c r="I303" i="2" s="1"/>
  <c r="O302" i="2"/>
  <c r="L302" i="2"/>
  <c r="H302" i="2"/>
  <c r="I302" i="2" s="1"/>
  <c r="O301" i="2"/>
  <c r="L301" i="2"/>
  <c r="H301" i="2"/>
  <c r="I301" i="2" s="1"/>
  <c r="O300" i="2"/>
  <c r="L300" i="2"/>
  <c r="H300" i="2"/>
  <c r="I300" i="2" s="1"/>
  <c r="O299" i="2"/>
  <c r="L299" i="2"/>
  <c r="H299" i="2"/>
  <c r="I299" i="2" s="1"/>
  <c r="O298" i="2"/>
  <c r="L298" i="2"/>
  <c r="H298" i="2"/>
  <c r="I298" i="2" s="1"/>
  <c r="O297" i="2"/>
  <c r="L297" i="2"/>
  <c r="H297" i="2"/>
  <c r="I297" i="2" s="1"/>
  <c r="O296" i="2"/>
  <c r="L296" i="2"/>
  <c r="H296" i="2"/>
  <c r="I296" i="2" s="1"/>
  <c r="O295" i="2"/>
  <c r="L295" i="2"/>
  <c r="H295" i="2"/>
  <c r="I295" i="2" s="1"/>
  <c r="O294" i="2"/>
  <c r="L294" i="2"/>
  <c r="H294" i="2"/>
  <c r="I294" i="2" s="1"/>
  <c r="O293" i="2"/>
  <c r="L293" i="2"/>
  <c r="H293" i="2"/>
  <c r="I293" i="2" s="1"/>
  <c r="O292" i="2"/>
  <c r="L292" i="2"/>
  <c r="H292" i="2"/>
  <c r="I292" i="2" s="1"/>
  <c r="O291" i="2"/>
  <c r="L291" i="2"/>
  <c r="H291" i="2"/>
  <c r="I291" i="2" s="1"/>
  <c r="O290" i="2"/>
  <c r="L290" i="2"/>
  <c r="H290" i="2"/>
  <c r="I290" i="2" s="1"/>
  <c r="O289" i="2"/>
  <c r="L289" i="2"/>
  <c r="H289" i="2"/>
  <c r="I289" i="2" s="1"/>
  <c r="O288" i="2"/>
  <c r="L288" i="2"/>
  <c r="H288" i="2"/>
  <c r="I288" i="2" s="1"/>
  <c r="O287" i="2"/>
  <c r="L287" i="2"/>
  <c r="H287" i="2"/>
  <c r="I287" i="2" s="1"/>
  <c r="O286" i="2"/>
  <c r="L286" i="2"/>
  <c r="H286" i="2"/>
  <c r="I286" i="2" s="1"/>
  <c r="O285" i="2"/>
  <c r="L285" i="2"/>
  <c r="H285" i="2"/>
  <c r="I285" i="2" s="1"/>
  <c r="O284" i="2"/>
  <c r="L284" i="2"/>
  <c r="H284" i="2"/>
  <c r="I284" i="2" s="1"/>
  <c r="O283" i="2"/>
  <c r="L283" i="2"/>
  <c r="H283" i="2"/>
  <c r="I283" i="2" s="1"/>
  <c r="O282" i="2"/>
  <c r="L282" i="2"/>
  <c r="H282" i="2"/>
  <c r="I282" i="2" s="1"/>
  <c r="O281" i="2"/>
  <c r="L281" i="2"/>
  <c r="H281" i="2"/>
  <c r="I281" i="2" s="1"/>
  <c r="O280" i="2"/>
  <c r="L280" i="2"/>
  <c r="H280" i="2"/>
  <c r="I280" i="2" s="1"/>
  <c r="O279" i="2"/>
  <c r="L279" i="2"/>
  <c r="H279" i="2"/>
  <c r="I279" i="2" s="1"/>
  <c r="O278" i="2"/>
  <c r="L278" i="2"/>
  <c r="H278" i="2"/>
  <c r="I278" i="2" s="1"/>
  <c r="O277" i="2"/>
  <c r="L277" i="2"/>
  <c r="H277" i="2"/>
  <c r="I277" i="2" s="1"/>
  <c r="O276" i="2"/>
  <c r="L276" i="2"/>
  <c r="H276" i="2"/>
  <c r="I276" i="2" s="1"/>
  <c r="O275" i="2"/>
  <c r="L275" i="2"/>
  <c r="H275" i="2"/>
  <c r="I275" i="2" s="1"/>
  <c r="O274" i="2"/>
  <c r="L274" i="2"/>
  <c r="H274" i="2"/>
  <c r="I274" i="2" s="1"/>
  <c r="O273" i="2"/>
  <c r="L273" i="2"/>
  <c r="H273" i="2"/>
  <c r="I273" i="2" s="1"/>
  <c r="O272" i="2"/>
  <c r="L272" i="2"/>
  <c r="H272" i="2"/>
  <c r="I272" i="2" s="1"/>
  <c r="O271" i="2"/>
  <c r="L271" i="2"/>
  <c r="H271" i="2"/>
  <c r="I271" i="2" s="1"/>
  <c r="O270" i="2"/>
  <c r="L270" i="2"/>
  <c r="H270" i="2"/>
  <c r="I270" i="2" s="1"/>
  <c r="O269" i="2"/>
  <c r="L269" i="2"/>
  <c r="H269" i="2"/>
  <c r="I269" i="2" s="1"/>
  <c r="O268" i="2"/>
  <c r="L268" i="2"/>
  <c r="H268" i="2"/>
  <c r="I268" i="2" s="1"/>
  <c r="O267" i="2"/>
  <c r="L267" i="2"/>
  <c r="H267" i="2"/>
  <c r="I267" i="2" s="1"/>
  <c r="O266" i="2"/>
  <c r="L266" i="2"/>
  <c r="H266" i="2"/>
  <c r="I266" i="2" s="1"/>
  <c r="O265" i="2"/>
  <c r="L265" i="2"/>
  <c r="H265" i="2"/>
  <c r="I265" i="2" s="1"/>
  <c r="O264" i="2"/>
  <c r="L264" i="2"/>
  <c r="H264" i="2"/>
  <c r="I264" i="2" s="1"/>
  <c r="O263" i="2"/>
  <c r="L263" i="2"/>
  <c r="H263" i="2"/>
  <c r="I263" i="2" s="1"/>
  <c r="O262" i="2"/>
  <c r="L262" i="2"/>
  <c r="H262" i="2"/>
  <c r="I262" i="2" s="1"/>
  <c r="O261" i="2"/>
  <c r="L261" i="2"/>
  <c r="H261" i="2"/>
  <c r="I261" i="2" s="1"/>
  <c r="O260" i="2"/>
  <c r="L260" i="2"/>
  <c r="H260" i="2"/>
  <c r="I260" i="2" s="1"/>
  <c r="O259" i="2"/>
  <c r="L259" i="2"/>
  <c r="H259" i="2"/>
  <c r="I259" i="2" s="1"/>
  <c r="O258" i="2"/>
  <c r="L258" i="2"/>
  <c r="H258" i="2"/>
  <c r="I258" i="2" s="1"/>
  <c r="O257" i="2"/>
  <c r="L257" i="2"/>
  <c r="H257" i="2"/>
  <c r="I257" i="2" s="1"/>
  <c r="O256" i="2"/>
  <c r="L256" i="2"/>
  <c r="H256" i="2"/>
  <c r="I256" i="2" s="1"/>
  <c r="O255" i="2"/>
  <c r="L255" i="2"/>
  <c r="H255" i="2"/>
  <c r="I255" i="2" s="1"/>
  <c r="O254" i="2"/>
  <c r="L254" i="2"/>
  <c r="H254" i="2"/>
  <c r="I254" i="2" s="1"/>
  <c r="O253" i="2"/>
  <c r="L253" i="2"/>
  <c r="H253" i="2"/>
  <c r="I253" i="2" s="1"/>
  <c r="O252" i="2"/>
  <c r="L252" i="2"/>
  <c r="H252" i="2"/>
  <c r="I252" i="2" s="1"/>
  <c r="O251" i="2"/>
  <c r="L251" i="2"/>
  <c r="H251" i="2"/>
  <c r="I251" i="2" s="1"/>
  <c r="O250" i="2"/>
  <c r="L250" i="2"/>
  <c r="H250" i="2"/>
  <c r="I250" i="2" s="1"/>
  <c r="O249" i="2"/>
  <c r="L249" i="2"/>
  <c r="H249" i="2"/>
  <c r="I249" i="2" s="1"/>
  <c r="O248" i="2"/>
  <c r="L248" i="2"/>
  <c r="H248" i="2"/>
  <c r="I248" i="2" s="1"/>
  <c r="O247" i="2"/>
  <c r="L247" i="2"/>
  <c r="H247" i="2"/>
  <c r="I247" i="2" s="1"/>
  <c r="O246" i="2"/>
  <c r="L246" i="2"/>
  <c r="H246" i="2"/>
  <c r="I246" i="2" s="1"/>
  <c r="O245" i="2"/>
  <c r="L245" i="2"/>
  <c r="H245" i="2"/>
  <c r="I245" i="2" s="1"/>
  <c r="O244" i="2"/>
  <c r="L244" i="2"/>
  <c r="H244" i="2"/>
  <c r="I244" i="2" s="1"/>
  <c r="O243" i="2"/>
  <c r="L243" i="2"/>
  <c r="H243" i="2"/>
  <c r="I243" i="2" s="1"/>
  <c r="O242" i="2"/>
  <c r="L242" i="2"/>
  <c r="H242" i="2"/>
  <c r="I242" i="2" s="1"/>
  <c r="O241" i="2"/>
  <c r="L241" i="2"/>
  <c r="H241" i="2"/>
  <c r="I241" i="2" s="1"/>
  <c r="O240" i="2"/>
  <c r="L240" i="2"/>
  <c r="H240" i="2"/>
  <c r="I240" i="2" s="1"/>
  <c r="O239" i="2"/>
  <c r="L239" i="2"/>
  <c r="H239" i="2"/>
  <c r="I239" i="2" s="1"/>
  <c r="O238" i="2"/>
  <c r="L238" i="2"/>
  <c r="H238" i="2"/>
  <c r="I238" i="2" s="1"/>
  <c r="O237" i="2"/>
  <c r="L237" i="2"/>
  <c r="H237" i="2"/>
  <c r="I237" i="2" s="1"/>
  <c r="O236" i="2"/>
  <c r="L236" i="2"/>
  <c r="H236" i="2"/>
  <c r="I236" i="2" s="1"/>
  <c r="O235" i="2"/>
  <c r="L235" i="2"/>
  <c r="H235" i="2"/>
  <c r="I235" i="2" s="1"/>
  <c r="O234" i="2"/>
  <c r="L234" i="2"/>
  <c r="H234" i="2"/>
  <c r="I234" i="2" s="1"/>
  <c r="O233" i="2"/>
  <c r="L233" i="2"/>
  <c r="H233" i="2"/>
  <c r="I233" i="2" s="1"/>
  <c r="O232" i="2"/>
  <c r="L232" i="2"/>
  <c r="H232" i="2"/>
  <c r="I232" i="2" s="1"/>
  <c r="O231" i="2"/>
  <c r="L231" i="2"/>
  <c r="H231" i="2"/>
  <c r="I231" i="2" s="1"/>
  <c r="O230" i="2"/>
  <c r="L230" i="2"/>
  <c r="H230" i="2"/>
  <c r="I230" i="2" s="1"/>
  <c r="O229" i="2"/>
  <c r="L229" i="2"/>
  <c r="H229" i="2"/>
  <c r="I229" i="2" s="1"/>
  <c r="O228" i="2"/>
  <c r="L228" i="2"/>
  <c r="H228" i="2"/>
  <c r="I228" i="2" s="1"/>
  <c r="O227" i="2"/>
  <c r="L227" i="2"/>
  <c r="H227" i="2"/>
  <c r="I227" i="2" s="1"/>
  <c r="O226" i="2"/>
  <c r="L226" i="2"/>
  <c r="H226" i="2"/>
  <c r="I226" i="2" s="1"/>
  <c r="O225" i="2"/>
  <c r="L225" i="2"/>
  <c r="H225" i="2"/>
  <c r="I225" i="2" s="1"/>
  <c r="O224" i="2"/>
  <c r="L224" i="2"/>
  <c r="H224" i="2"/>
  <c r="I224" i="2" s="1"/>
  <c r="O223" i="2"/>
  <c r="L223" i="2"/>
  <c r="H223" i="2"/>
  <c r="I223" i="2" s="1"/>
  <c r="O222" i="2"/>
  <c r="L222" i="2"/>
  <c r="H222" i="2"/>
  <c r="I222" i="2" s="1"/>
  <c r="O221" i="2"/>
  <c r="L221" i="2"/>
  <c r="H221" i="2"/>
  <c r="I221" i="2" s="1"/>
  <c r="O220" i="2"/>
  <c r="L220" i="2"/>
  <c r="H220" i="2"/>
  <c r="I220" i="2" s="1"/>
  <c r="O219" i="2"/>
  <c r="L219" i="2"/>
  <c r="H219" i="2"/>
  <c r="I219" i="2" s="1"/>
  <c r="O218" i="2"/>
  <c r="L218" i="2"/>
  <c r="H218" i="2"/>
  <c r="I218" i="2" s="1"/>
  <c r="O217" i="2"/>
  <c r="L217" i="2"/>
  <c r="H217" i="2"/>
  <c r="I217" i="2" s="1"/>
  <c r="O216" i="2"/>
  <c r="L216" i="2"/>
  <c r="H216" i="2"/>
  <c r="I216" i="2" s="1"/>
  <c r="O215" i="2"/>
  <c r="L215" i="2"/>
  <c r="H215" i="2"/>
  <c r="I215" i="2" s="1"/>
  <c r="O214" i="2"/>
  <c r="L214" i="2"/>
  <c r="H214" i="2"/>
  <c r="I214" i="2" s="1"/>
  <c r="O213" i="2"/>
  <c r="L213" i="2"/>
  <c r="H213" i="2"/>
  <c r="I213" i="2" s="1"/>
  <c r="O212" i="2"/>
  <c r="L212" i="2"/>
  <c r="H212" i="2"/>
  <c r="I212" i="2" s="1"/>
  <c r="O211" i="2"/>
  <c r="L211" i="2"/>
  <c r="H211" i="2"/>
  <c r="I211" i="2" s="1"/>
  <c r="O210" i="2"/>
  <c r="L210" i="2"/>
  <c r="H210" i="2"/>
  <c r="I210" i="2" s="1"/>
  <c r="O209" i="2"/>
  <c r="L209" i="2"/>
  <c r="H209" i="2"/>
  <c r="I209" i="2" s="1"/>
  <c r="O208" i="2"/>
  <c r="L208" i="2"/>
  <c r="H208" i="2"/>
  <c r="I208" i="2" s="1"/>
  <c r="O207" i="2"/>
  <c r="L207" i="2"/>
  <c r="H207" i="2"/>
  <c r="I207" i="2" s="1"/>
  <c r="O206" i="2"/>
  <c r="L206" i="2"/>
  <c r="H206" i="2"/>
  <c r="I206" i="2" s="1"/>
  <c r="O205" i="2"/>
  <c r="L205" i="2"/>
  <c r="H205" i="2"/>
  <c r="I205" i="2" s="1"/>
  <c r="O204" i="2"/>
  <c r="L204" i="2"/>
  <c r="H204" i="2"/>
  <c r="I204" i="2" s="1"/>
  <c r="O203" i="2"/>
  <c r="L203" i="2"/>
  <c r="H203" i="2"/>
  <c r="I203" i="2" s="1"/>
  <c r="O202" i="2"/>
  <c r="L202" i="2"/>
  <c r="H202" i="2"/>
  <c r="I202" i="2" s="1"/>
  <c r="O201" i="2"/>
  <c r="L201" i="2"/>
  <c r="H201" i="2"/>
  <c r="I201" i="2" s="1"/>
  <c r="O200" i="2"/>
  <c r="L200" i="2"/>
  <c r="H200" i="2"/>
  <c r="I200" i="2" s="1"/>
  <c r="O199" i="2"/>
  <c r="L199" i="2"/>
  <c r="H199" i="2"/>
  <c r="I199" i="2" s="1"/>
  <c r="O198" i="2"/>
  <c r="L198" i="2"/>
  <c r="H198" i="2"/>
  <c r="I198" i="2" s="1"/>
  <c r="O197" i="2"/>
  <c r="L197" i="2"/>
  <c r="H197" i="2"/>
  <c r="I197" i="2" s="1"/>
  <c r="O196" i="2"/>
  <c r="L196" i="2"/>
  <c r="H196" i="2"/>
  <c r="I196" i="2" s="1"/>
  <c r="O195" i="2"/>
  <c r="L195" i="2"/>
  <c r="H195" i="2"/>
  <c r="I195" i="2" s="1"/>
  <c r="O194" i="2"/>
  <c r="L194" i="2"/>
  <c r="H194" i="2"/>
  <c r="I194" i="2" s="1"/>
  <c r="O193" i="2"/>
  <c r="L193" i="2"/>
  <c r="H193" i="2"/>
  <c r="I193" i="2" s="1"/>
  <c r="O192" i="2"/>
  <c r="L192" i="2"/>
  <c r="H192" i="2"/>
  <c r="I192" i="2" s="1"/>
  <c r="O191" i="2"/>
  <c r="L191" i="2"/>
  <c r="H191" i="2"/>
  <c r="I191" i="2" s="1"/>
  <c r="O190" i="2"/>
  <c r="L190" i="2"/>
  <c r="H190" i="2"/>
  <c r="I190" i="2" s="1"/>
  <c r="O189" i="2"/>
  <c r="L189" i="2"/>
  <c r="H189" i="2"/>
  <c r="I189" i="2" s="1"/>
  <c r="O188" i="2"/>
  <c r="L188" i="2"/>
  <c r="H188" i="2"/>
  <c r="I188" i="2" s="1"/>
  <c r="O187" i="2"/>
  <c r="L187" i="2"/>
  <c r="H187" i="2"/>
  <c r="I187" i="2" s="1"/>
  <c r="O186" i="2"/>
  <c r="L186" i="2"/>
  <c r="H186" i="2"/>
  <c r="I186" i="2" s="1"/>
  <c r="O185" i="2"/>
  <c r="L185" i="2"/>
  <c r="H185" i="2"/>
  <c r="I185" i="2" s="1"/>
  <c r="O184" i="2"/>
  <c r="L184" i="2"/>
  <c r="H184" i="2"/>
  <c r="I184" i="2" s="1"/>
  <c r="O183" i="2"/>
  <c r="L183" i="2"/>
  <c r="H183" i="2"/>
  <c r="I183" i="2" s="1"/>
  <c r="O182" i="2"/>
  <c r="L182" i="2"/>
  <c r="H182" i="2"/>
  <c r="I182" i="2" s="1"/>
  <c r="O181" i="2"/>
  <c r="L181" i="2"/>
  <c r="H181" i="2"/>
  <c r="I181" i="2" s="1"/>
  <c r="O180" i="2"/>
  <c r="L180" i="2"/>
  <c r="H180" i="2"/>
  <c r="I180" i="2" s="1"/>
  <c r="O179" i="2"/>
  <c r="L179" i="2"/>
  <c r="H179" i="2"/>
  <c r="I179" i="2" s="1"/>
  <c r="O178" i="2"/>
  <c r="L178" i="2"/>
  <c r="H178" i="2"/>
  <c r="I178" i="2" s="1"/>
  <c r="O177" i="2"/>
  <c r="L177" i="2"/>
  <c r="H177" i="2"/>
  <c r="I177" i="2" s="1"/>
  <c r="O176" i="2"/>
  <c r="L176" i="2"/>
  <c r="H176" i="2"/>
  <c r="I176" i="2" s="1"/>
  <c r="O175" i="2"/>
  <c r="L175" i="2"/>
  <c r="H175" i="2"/>
  <c r="I175" i="2" s="1"/>
  <c r="O174" i="2"/>
  <c r="L174" i="2"/>
  <c r="H174" i="2"/>
  <c r="I174" i="2" s="1"/>
  <c r="O173" i="2"/>
  <c r="L173" i="2"/>
  <c r="H173" i="2"/>
  <c r="I173" i="2" s="1"/>
  <c r="O172" i="2"/>
  <c r="L172" i="2"/>
  <c r="H172" i="2"/>
  <c r="I172" i="2" s="1"/>
  <c r="O171" i="2"/>
  <c r="L171" i="2"/>
  <c r="H171" i="2"/>
  <c r="I171" i="2" s="1"/>
  <c r="O170" i="2"/>
  <c r="L170" i="2"/>
  <c r="H170" i="2"/>
  <c r="I170" i="2" s="1"/>
  <c r="O169" i="2"/>
  <c r="L169" i="2"/>
  <c r="H169" i="2"/>
  <c r="I169" i="2" s="1"/>
  <c r="O168" i="2"/>
  <c r="L168" i="2"/>
  <c r="H168" i="2"/>
  <c r="I168" i="2" s="1"/>
  <c r="O167" i="2"/>
  <c r="L167" i="2"/>
  <c r="H167" i="2"/>
  <c r="I167" i="2" s="1"/>
  <c r="O166" i="2"/>
  <c r="L166" i="2"/>
  <c r="H166" i="2"/>
  <c r="I166" i="2" s="1"/>
  <c r="O165" i="2"/>
  <c r="L165" i="2"/>
  <c r="H165" i="2"/>
  <c r="I165" i="2" s="1"/>
  <c r="O164" i="2"/>
  <c r="L164" i="2"/>
  <c r="H164" i="2"/>
  <c r="I164" i="2" s="1"/>
  <c r="O163" i="2"/>
  <c r="L163" i="2"/>
  <c r="H163" i="2"/>
  <c r="I163" i="2" s="1"/>
  <c r="O162" i="2"/>
  <c r="L162" i="2"/>
  <c r="H162" i="2"/>
  <c r="I162" i="2" s="1"/>
  <c r="O161" i="2"/>
  <c r="L161" i="2"/>
  <c r="H161" i="2"/>
  <c r="I161" i="2" s="1"/>
  <c r="O160" i="2"/>
  <c r="L160" i="2"/>
  <c r="H160" i="2"/>
  <c r="I160" i="2" s="1"/>
  <c r="O159" i="2"/>
  <c r="L159" i="2"/>
  <c r="H159" i="2"/>
  <c r="I159" i="2" s="1"/>
  <c r="O158" i="2"/>
  <c r="L158" i="2"/>
  <c r="H158" i="2"/>
  <c r="I158" i="2" s="1"/>
  <c r="O157" i="2"/>
  <c r="L157" i="2"/>
  <c r="H157" i="2"/>
  <c r="I157" i="2" s="1"/>
  <c r="O156" i="2"/>
  <c r="L156" i="2"/>
  <c r="H156" i="2"/>
  <c r="I156" i="2" s="1"/>
  <c r="O155" i="2"/>
  <c r="L155" i="2"/>
  <c r="H155" i="2"/>
  <c r="I155" i="2" s="1"/>
  <c r="O154" i="2"/>
  <c r="L154" i="2"/>
  <c r="H154" i="2"/>
  <c r="I154" i="2" s="1"/>
  <c r="O153" i="2"/>
  <c r="L153" i="2"/>
  <c r="H153" i="2"/>
  <c r="I153" i="2" s="1"/>
  <c r="O152" i="2"/>
  <c r="L152" i="2"/>
  <c r="H152" i="2"/>
  <c r="I152" i="2" s="1"/>
  <c r="O151" i="2"/>
  <c r="L151" i="2"/>
  <c r="H151" i="2"/>
  <c r="I151" i="2" s="1"/>
  <c r="O150" i="2"/>
  <c r="L150" i="2"/>
  <c r="H150" i="2"/>
  <c r="I150" i="2" s="1"/>
  <c r="O149" i="2"/>
  <c r="L149" i="2"/>
  <c r="H149" i="2"/>
  <c r="I149" i="2" s="1"/>
  <c r="O148" i="2"/>
  <c r="L148" i="2"/>
  <c r="H148" i="2"/>
  <c r="I148" i="2" s="1"/>
  <c r="O147" i="2"/>
  <c r="L147" i="2"/>
  <c r="H147" i="2"/>
  <c r="I147" i="2" s="1"/>
  <c r="O146" i="2"/>
  <c r="L146" i="2"/>
  <c r="H146" i="2"/>
  <c r="I146" i="2" s="1"/>
  <c r="O145" i="2"/>
  <c r="L145" i="2"/>
  <c r="H145" i="2"/>
  <c r="I145" i="2" s="1"/>
  <c r="O144" i="2"/>
  <c r="L144" i="2"/>
  <c r="H144" i="2"/>
  <c r="I144" i="2" s="1"/>
  <c r="O143" i="2"/>
  <c r="L143" i="2"/>
  <c r="H143" i="2"/>
  <c r="I143" i="2" s="1"/>
  <c r="O142" i="2"/>
  <c r="L142" i="2"/>
  <c r="H142" i="2"/>
  <c r="I142" i="2" s="1"/>
  <c r="O141" i="2"/>
  <c r="L141" i="2"/>
  <c r="H141" i="2"/>
  <c r="I141" i="2" s="1"/>
  <c r="O140" i="2"/>
  <c r="L140" i="2"/>
  <c r="H140" i="2"/>
  <c r="I140" i="2" s="1"/>
  <c r="O139" i="2"/>
  <c r="L139" i="2"/>
  <c r="H139" i="2"/>
  <c r="I139" i="2" s="1"/>
  <c r="O138" i="2"/>
  <c r="L138" i="2"/>
  <c r="H138" i="2"/>
  <c r="I138" i="2" s="1"/>
  <c r="O137" i="2"/>
  <c r="L137" i="2"/>
  <c r="H137" i="2"/>
  <c r="I137" i="2" s="1"/>
  <c r="O136" i="2"/>
  <c r="L136" i="2"/>
  <c r="H136" i="2"/>
  <c r="I136" i="2" s="1"/>
  <c r="O135" i="2"/>
  <c r="L135" i="2"/>
  <c r="H135" i="2"/>
  <c r="I135" i="2" s="1"/>
  <c r="O134" i="2"/>
  <c r="L134" i="2"/>
  <c r="H134" i="2"/>
  <c r="I134" i="2" s="1"/>
  <c r="O133" i="2"/>
  <c r="L133" i="2"/>
  <c r="H133" i="2"/>
  <c r="I133" i="2" s="1"/>
  <c r="O132" i="2"/>
  <c r="L132" i="2"/>
  <c r="H132" i="2"/>
  <c r="I132" i="2" s="1"/>
  <c r="O131" i="2"/>
  <c r="L131" i="2"/>
  <c r="H131" i="2"/>
  <c r="I131" i="2" s="1"/>
  <c r="O130" i="2"/>
  <c r="L130" i="2"/>
  <c r="H130" i="2"/>
  <c r="I130" i="2" s="1"/>
  <c r="O129" i="2"/>
  <c r="L129" i="2"/>
  <c r="H129" i="2"/>
  <c r="I129" i="2" s="1"/>
  <c r="O128" i="2"/>
  <c r="L128" i="2"/>
  <c r="H128" i="2"/>
  <c r="I128" i="2" s="1"/>
  <c r="O127" i="2"/>
  <c r="L127" i="2"/>
  <c r="H127" i="2"/>
  <c r="I127" i="2" s="1"/>
  <c r="O126" i="2"/>
  <c r="L126" i="2"/>
  <c r="H126" i="2"/>
  <c r="I126" i="2" s="1"/>
  <c r="O125" i="2"/>
  <c r="L125" i="2"/>
  <c r="H125" i="2"/>
  <c r="I125" i="2" s="1"/>
  <c r="O124" i="2"/>
  <c r="L124" i="2"/>
  <c r="H124" i="2"/>
  <c r="I124" i="2" s="1"/>
  <c r="O123" i="2"/>
  <c r="L123" i="2"/>
  <c r="H123" i="2"/>
  <c r="I123" i="2" s="1"/>
  <c r="O122" i="2"/>
  <c r="L122" i="2"/>
  <c r="H122" i="2"/>
  <c r="I122" i="2" s="1"/>
  <c r="O121" i="2"/>
  <c r="L121" i="2"/>
  <c r="H121" i="2"/>
  <c r="I121" i="2" s="1"/>
  <c r="O120" i="2"/>
  <c r="L120" i="2"/>
  <c r="H120" i="2"/>
  <c r="I120" i="2" s="1"/>
  <c r="O119" i="2"/>
  <c r="L119" i="2"/>
  <c r="H119" i="2"/>
  <c r="I119" i="2" s="1"/>
  <c r="O118" i="2"/>
  <c r="L118" i="2"/>
  <c r="H118" i="2"/>
  <c r="I118" i="2" s="1"/>
  <c r="O117" i="2"/>
  <c r="L117" i="2"/>
  <c r="H117" i="2"/>
  <c r="I117" i="2" s="1"/>
  <c r="O116" i="2"/>
  <c r="L116" i="2"/>
  <c r="H116" i="2"/>
  <c r="I116" i="2" s="1"/>
  <c r="O115" i="2"/>
  <c r="L115" i="2"/>
  <c r="H115" i="2"/>
  <c r="I115" i="2" s="1"/>
  <c r="O114" i="2"/>
  <c r="L114" i="2"/>
  <c r="H114" i="2"/>
  <c r="I114" i="2" s="1"/>
  <c r="O113" i="2"/>
  <c r="L113" i="2"/>
  <c r="H113" i="2"/>
  <c r="I113" i="2" s="1"/>
  <c r="O112" i="2"/>
  <c r="L112" i="2"/>
  <c r="H112" i="2"/>
  <c r="I112" i="2" s="1"/>
  <c r="O111" i="2"/>
  <c r="L111" i="2"/>
  <c r="H111" i="2"/>
  <c r="I111" i="2" s="1"/>
  <c r="O110" i="2"/>
  <c r="L110" i="2"/>
  <c r="H110" i="2"/>
  <c r="I110" i="2" s="1"/>
  <c r="O109" i="2"/>
  <c r="L109" i="2"/>
  <c r="H109" i="2"/>
  <c r="I109" i="2" s="1"/>
  <c r="O108" i="2"/>
  <c r="L108" i="2"/>
  <c r="H108" i="2"/>
  <c r="I108" i="2" s="1"/>
  <c r="O107" i="2"/>
  <c r="L107" i="2"/>
  <c r="H107" i="2"/>
  <c r="I107" i="2" s="1"/>
  <c r="O106" i="2"/>
  <c r="L106" i="2"/>
  <c r="H106" i="2"/>
  <c r="I106" i="2" s="1"/>
  <c r="O105" i="2"/>
  <c r="L105" i="2"/>
  <c r="H105" i="2"/>
  <c r="I105" i="2" s="1"/>
  <c r="O104" i="2"/>
  <c r="L104" i="2"/>
  <c r="H104" i="2"/>
  <c r="I104" i="2" s="1"/>
  <c r="O103" i="2"/>
  <c r="L103" i="2"/>
  <c r="H103" i="2"/>
  <c r="I103" i="2" s="1"/>
  <c r="O102" i="2"/>
  <c r="L102" i="2"/>
  <c r="H102" i="2"/>
  <c r="I102" i="2" s="1"/>
  <c r="O101" i="2"/>
  <c r="L101" i="2"/>
  <c r="H101" i="2"/>
  <c r="I101" i="2" s="1"/>
  <c r="O100" i="2"/>
  <c r="L100" i="2"/>
  <c r="H100" i="2"/>
  <c r="I100" i="2" s="1"/>
  <c r="O99" i="2"/>
  <c r="L99" i="2"/>
  <c r="H99" i="2"/>
  <c r="I99" i="2" s="1"/>
  <c r="O98" i="2"/>
  <c r="L98" i="2"/>
  <c r="H98" i="2"/>
  <c r="I98" i="2" s="1"/>
  <c r="O97" i="2"/>
  <c r="L97" i="2"/>
  <c r="H97" i="2"/>
  <c r="I97" i="2" s="1"/>
  <c r="O96" i="2"/>
  <c r="L96" i="2"/>
  <c r="H96" i="2"/>
  <c r="I96" i="2" s="1"/>
  <c r="O95" i="2"/>
  <c r="L95" i="2"/>
  <c r="H95" i="2"/>
  <c r="I95" i="2" s="1"/>
  <c r="O94" i="2"/>
  <c r="L94" i="2"/>
  <c r="H94" i="2"/>
  <c r="I94" i="2" s="1"/>
  <c r="O93" i="2"/>
  <c r="L93" i="2"/>
  <c r="H93" i="2"/>
  <c r="I93" i="2" s="1"/>
  <c r="O92" i="2"/>
  <c r="L92" i="2"/>
  <c r="H92" i="2"/>
  <c r="I92" i="2" s="1"/>
  <c r="O91" i="2"/>
  <c r="L91" i="2"/>
  <c r="H91" i="2"/>
  <c r="I91" i="2" s="1"/>
  <c r="O90" i="2"/>
  <c r="L90" i="2"/>
  <c r="H90" i="2"/>
  <c r="I90" i="2" s="1"/>
  <c r="O89" i="2"/>
  <c r="L89" i="2"/>
  <c r="H89" i="2"/>
  <c r="I89" i="2" s="1"/>
  <c r="O88" i="2"/>
  <c r="L88" i="2"/>
  <c r="H88" i="2"/>
  <c r="I88" i="2" s="1"/>
  <c r="O87" i="2"/>
  <c r="L87" i="2"/>
  <c r="H87" i="2"/>
  <c r="I87" i="2" s="1"/>
  <c r="O86" i="2"/>
  <c r="L86" i="2"/>
  <c r="H86" i="2"/>
  <c r="I86" i="2" s="1"/>
  <c r="O85" i="2"/>
  <c r="L85" i="2"/>
  <c r="H85" i="2"/>
  <c r="I85" i="2" s="1"/>
  <c r="O84" i="2"/>
  <c r="L84" i="2"/>
  <c r="H84" i="2"/>
  <c r="I84" i="2" s="1"/>
  <c r="O83" i="2"/>
  <c r="L83" i="2"/>
  <c r="H83" i="2"/>
  <c r="I83" i="2" s="1"/>
  <c r="O82" i="2"/>
  <c r="L82" i="2"/>
  <c r="H82" i="2"/>
  <c r="I82" i="2" s="1"/>
  <c r="O81" i="2"/>
  <c r="L81" i="2"/>
  <c r="H81" i="2"/>
  <c r="I81" i="2" s="1"/>
  <c r="O80" i="2"/>
  <c r="L80" i="2"/>
  <c r="H80" i="2"/>
  <c r="I80" i="2" s="1"/>
  <c r="O79" i="2"/>
  <c r="L79" i="2"/>
  <c r="H79" i="2"/>
  <c r="I79" i="2" s="1"/>
  <c r="O78" i="2"/>
  <c r="L78" i="2"/>
  <c r="H78" i="2"/>
  <c r="I78" i="2" s="1"/>
  <c r="O77" i="2"/>
  <c r="L77" i="2"/>
  <c r="H77" i="2"/>
  <c r="I77" i="2" s="1"/>
  <c r="O76" i="2"/>
  <c r="L76" i="2"/>
  <c r="H76" i="2"/>
  <c r="I76" i="2" s="1"/>
  <c r="O75" i="2"/>
  <c r="L75" i="2"/>
  <c r="H75" i="2"/>
  <c r="I75" i="2" s="1"/>
  <c r="O74" i="2"/>
  <c r="L74" i="2"/>
  <c r="H74" i="2"/>
  <c r="I74" i="2" s="1"/>
  <c r="O73" i="2"/>
  <c r="L73" i="2"/>
  <c r="H73" i="2"/>
  <c r="I73" i="2" s="1"/>
  <c r="O72" i="2"/>
  <c r="L72" i="2"/>
  <c r="H72" i="2"/>
  <c r="I72" i="2" s="1"/>
  <c r="O71" i="2"/>
  <c r="L71" i="2"/>
  <c r="H71" i="2"/>
  <c r="I71" i="2" s="1"/>
  <c r="O70" i="2"/>
  <c r="L70" i="2"/>
  <c r="H70" i="2"/>
  <c r="I70" i="2" s="1"/>
  <c r="O69" i="2"/>
  <c r="L69" i="2"/>
  <c r="H69" i="2"/>
  <c r="I69" i="2" s="1"/>
  <c r="O68" i="2"/>
  <c r="L68" i="2"/>
  <c r="H68" i="2"/>
  <c r="I68" i="2" s="1"/>
  <c r="O67" i="2"/>
  <c r="L67" i="2"/>
  <c r="H67" i="2"/>
  <c r="I67" i="2" s="1"/>
  <c r="O66" i="2"/>
  <c r="L66" i="2"/>
  <c r="H66" i="2"/>
  <c r="I66" i="2" s="1"/>
  <c r="O65" i="2"/>
  <c r="L65" i="2"/>
  <c r="H65" i="2"/>
  <c r="I65" i="2" s="1"/>
  <c r="O64" i="2"/>
  <c r="L64" i="2"/>
  <c r="H64" i="2"/>
  <c r="I64" i="2" s="1"/>
  <c r="O63" i="2"/>
  <c r="L63" i="2"/>
  <c r="H63" i="2"/>
  <c r="I63" i="2" s="1"/>
  <c r="O62" i="2"/>
  <c r="L62" i="2"/>
  <c r="H62" i="2"/>
  <c r="I62" i="2" s="1"/>
  <c r="O61" i="2"/>
  <c r="L61" i="2"/>
  <c r="H61" i="2"/>
  <c r="I61" i="2" s="1"/>
  <c r="O60" i="2"/>
  <c r="L60" i="2"/>
  <c r="H60" i="2"/>
  <c r="I60" i="2" s="1"/>
  <c r="O59" i="2"/>
  <c r="L59" i="2"/>
  <c r="H59" i="2"/>
  <c r="I59" i="2" s="1"/>
  <c r="O58" i="2"/>
  <c r="L58" i="2"/>
  <c r="H58" i="2"/>
  <c r="I58" i="2" s="1"/>
  <c r="O57" i="2"/>
  <c r="L57" i="2"/>
  <c r="H57" i="2"/>
  <c r="I57" i="2" s="1"/>
  <c r="O56" i="2"/>
  <c r="L56" i="2"/>
  <c r="H56" i="2"/>
  <c r="I56" i="2" s="1"/>
  <c r="O55" i="2"/>
  <c r="L55" i="2"/>
  <c r="H55" i="2"/>
  <c r="I55" i="2" s="1"/>
  <c r="O54" i="2"/>
  <c r="L54" i="2"/>
  <c r="H54" i="2"/>
  <c r="I54" i="2" s="1"/>
  <c r="O53" i="2"/>
  <c r="L53" i="2"/>
  <c r="H53" i="2"/>
  <c r="I53" i="2" s="1"/>
  <c r="O52" i="2"/>
  <c r="L52" i="2"/>
  <c r="H52" i="2"/>
  <c r="I52" i="2" s="1"/>
  <c r="O51" i="2"/>
  <c r="L51" i="2"/>
  <c r="H51" i="2"/>
  <c r="I51" i="2" s="1"/>
  <c r="O50" i="2"/>
  <c r="L50" i="2"/>
  <c r="H50" i="2"/>
  <c r="I50" i="2" s="1"/>
  <c r="O49" i="2"/>
  <c r="L49" i="2"/>
  <c r="H49" i="2"/>
  <c r="I49" i="2" s="1"/>
  <c r="O48" i="2"/>
  <c r="L48" i="2"/>
  <c r="H48" i="2"/>
  <c r="I48" i="2" s="1"/>
  <c r="O47" i="2"/>
  <c r="L47" i="2"/>
  <c r="H47" i="2"/>
  <c r="I47" i="2" s="1"/>
  <c r="O46" i="2"/>
  <c r="L46" i="2"/>
  <c r="H46" i="2"/>
  <c r="I46" i="2" s="1"/>
  <c r="O45" i="2"/>
  <c r="L45" i="2"/>
  <c r="H45" i="2"/>
  <c r="I45" i="2" s="1"/>
  <c r="O44" i="2"/>
  <c r="L44" i="2"/>
  <c r="H44" i="2"/>
  <c r="I44" i="2" s="1"/>
  <c r="O43" i="2"/>
  <c r="L43" i="2"/>
  <c r="H43" i="2"/>
  <c r="I43" i="2" s="1"/>
  <c r="O42" i="2"/>
  <c r="L42" i="2"/>
  <c r="H42" i="2"/>
  <c r="I42" i="2" s="1"/>
  <c r="O41" i="2"/>
  <c r="L41" i="2"/>
  <c r="H41" i="2"/>
  <c r="I41" i="2" s="1"/>
  <c r="O40" i="2"/>
  <c r="L40" i="2"/>
  <c r="H40" i="2"/>
  <c r="I40" i="2" s="1"/>
  <c r="O39" i="2"/>
  <c r="L39" i="2"/>
  <c r="H39" i="2"/>
  <c r="I39" i="2" s="1"/>
  <c r="O38" i="2"/>
  <c r="L38" i="2"/>
  <c r="H38" i="2"/>
  <c r="I38" i="2" s="1"/>
  <c r="O37" i="2"/>
  <c r="L37" i="2"/>
  <c r="H37" i="2"/>
  <c r="I37" i="2" s="1"/>
  <c r="O36" i="2"/>
  <c r="L36" i="2"/>
  <c r="H36" i="2"/>
  <c r="I36" i="2" s="1"/>
  <c r="O35" i="2"/>
  <c r="L35" i="2"/>
  <c r="H35" i="2"/>
  <c r="I35" i="2" s="1"/>
  <c r="O34" i="2"/>
  <c r="L34" i="2"/>
  <c r="H34" i="2"/>
  <c r="I34" i="2" s="1"/>
  <c r="O33" i="2"/>
  <c r="L33" i="2"/>
  <c r="H33" i="2"/>
  <c r="I33" i="2" s="1"/>
  <c r="O32" i="2"/>
  <c r="L32" i="2"/>
  <c r="H32" i="2"/>
  <c r="I32" i="2" s="1"/>
  <c r="O31" i="2"/>
  <c r="L31" i="2"/>
  <c r="H31" i="2"/>
  <c r="I31" i="2" s="1"/>
  <c r="O30" i="2"/>
  <c r="L30" i="2"/>
  <c r="H30" i="2"/>
  <c r="I30" i="2" s="1"/>
  <c r="O29" i="2"/>
  <c r="L29" i="2"/>
  <c r="H29" i="2"/>
  <c r="I29" i="2" s="1"/>
  <c r="O28" i="2"/>
  <c r="L28" i="2"/>
  <c r="H28" i="2"/>
  <c r="I28" i="2" s="1"/>
  <c r="O27" i="2"/>
  <c r="L27" i="2"/>
  <c r="H27" i="2"/>
  <c r="I27" i="2" s="1"/>
  <c r="O26" i="2"/>
  <c r="L26" i="2"/>
  <c r="H26" i="2"/>
  <c r="I26" i="2" s="1"/>
  <c r="O25" i="2"/>
  <c r="L25" i="2"/>
  <c r="H25" i="2"/>
  <c r="I25" i="2" s="1"/>
  <c r="O24" i="2"/>
  <c r="L24" i="2"/>
  <c r="H24" i="2"/>
  <c r="I24" i="2" s="1"/>
  <c r="O23" i="2"/>
  <c r="L23" i="2"/>
  <c r="H23" i="2"/>
  <c r="I23" i="2" s="1"/>
  <c r="O22" i="2"/>
  <c r="L22" i="2"/>
  <c r="H22" i="2"/>
  <c r="I22" i="2" s="1"/>
  <c r="O21" i="2"/>
  <c r="L21" i="2"/>
  <c r="H21" i="2"/>
  <c r="I21" i="2" s="1"/>
  <c r="O20" i="2"/>
  <c r="L20" i="2"/>
  <c r="H20" i="2"/>
  <c r="I20" i="2" s="1"/>
  <c r="O19" i="2"/>
  <c r="L19" i="2"/>
  <c r="H19" i="2"/>
  <c r="I19" i="2" s="1"/>
  <c r="O18" i="2"/>
  <c r="L18" i="2"/>
  <c r="H18" i="2"/>
  <c r="I18" i="2" s="1"/>
  <c r="O17" i="2"/>
  <c r="L17" i="2"/>
  <c r="H17" i="2"/>
  <c r="I17" i="2" s="1"/>
  <c r="O16" i="2"/>
  <c r="L16" i="2"/>
  <c r="H16" i="2"/>
  <c r="I16" i="2" s="1"/>
  <c r="O15" i="2"/>
  <c r="L15" i="2"/>
  <c r="H15" i="2"/>
  <c r="I15" i="2" s="1"/>
  <c r="O14" i="2"/>
  <c r="L14" i="2"/>
  <c r="H14" i="2"/>
  <c r="I14" i="2" s="1"/>
  <c r="O13" i="2"/>
  <c r="L13" i="2"/>
  <c r="H13" i="2"/>
  <c r="I13" i="2" s="1"/>
  <c r="O12" i="2"/>
  <c r="L12" i="2"/>
  <c r="H12" i="2"/>
  <c r="I12" i="2" s="1"/>
  <c r="O11" i="2"/>
  <c r="L11" i="2"/>
  <c r="H11" i="2"/>
  <c r="I11" i="2" s="1"/>
  <c r="O10" i="2"/>
  <c r="L10" i="2"/>
  <c r="H10" i="2"/>
  <c r="I10" i="2" s="1"/>
  <c r="O9" i="2"/>
  <c r="L9" i="2"/>
  <c r="H9" i="2"/>
  <c r="I9" i="2" s="1"/>
  <c r="O8" i="2"/>
  <c r="L8" i="2"/>
  <c r="H8" i="2"/>
  <c r="I8" i="2" s="1"/>
  <c r="O7" i="2"/>
  <c r="L7" i="2"/>
  <c r="H7" i="2"/>
  <c r="I7" i="2" s="1"/>
  <c r="O6" i="2"/>
  <c r="L6" i="2"/>
  <c r="H6" i="2"/>
  <c r="I6" i="2" s="1"/>
  <c r="O5" i="2"/>
  <c r="L5" i="2"/>
  <c r="H5" i="2"/>
  <c r="I5" i="2" s="1"/>
  <c r="Q522" i="3" l="1"/>
  <c r="P504" i="2"/>
  <c r="Q502" i="2"/>
  <c r="P525" i="2"/>
  <c r="Q501" i="3"/>
  <c r="I479" i="3"/>
  <c r="P338" i="2"/>
  <c r="Q338" i="2" s="1"/>
  <c r="P58" i="2"/>
  <c r="Q58" i="2" s="1"/>
  <c r="P468" i="3"/>
  <c r="Q468" i="3" s="1"/>
  <c r="P472" i="3"/>
  <c r="Q472" i="3" s="1"/>
  <c r="Q519" i="2"/>
  <c r="P372" i="2"/>
  <c r="Q372" i="2" s="1"/>
  <c r="K526" i="3"/>
  <c r="P98" i="2"/>
  <c r="Q98" i="2" s="1"/>
  <c r="P154" i="2"/>
  <c r="Q154" i="2" s="1"/>
  <c r="P172" i="2"/>
  <c r="Q172" i="2" s="1"/>
  <c r="P186" i="2"/>
  <c r="Q186" i="2" s="1"/>
  <c r="P210" i="2"/>
  <c r="Q210" i="2" s="1"/>
  <c r="P214" i="2"/>
  <c r="Q214" i="2" s="1"/>
  <c r="P236" i="2"/>
  <c r="Q236" i="2" s="1"/>
  <c r="P358" i="2"/>
  <c r="Q358" i="2" s="1"/>
  <c r="P404" i="2"/>
  <c r="Q404" i="2" s="1"/>
  <c r="P414" i="2"/>
  <c r="Q414" i="2" s="1"/>
  <c r="Q496" i="2"/>
  <c r="Q501" i="2"/>
  <c r="Q518" i="2"/>
  <c r="Q522" i="2"/>
  <c r="Q524" i="2"/>
  <c r="P210" i="3"/>
  <c r="Q210" i="3" s="1"/>
  <c r="P222" i="3"/>
  <c r="Q222" i="3" s="1"/>
  <c r="P226" i="3"/>
  <c r="Q226" i="3" s="1"/>
  <c r="P230" i="3"/>
  <c r="Q230" i="3" s="1"/>
  <c r="P259" i="3"/>
  <c r="Q259" i="3" s="1"/>
  <c r="P271" i="3"/>
  <c r="Q271" i="3" s="1"/>
  <c r="P357" i="3"/>
  <c r="Q357" i="3" s="1"/>
  <c r="P431" i="3"/>
  <c r="Q431" i="3" s="1"/>
  <c r="P450" i="3"/>
  <c r="Q450" i="3" s="1"/>
  <c r="P469" i="3"/>
  <c r="Q469" i="3" s="1"/>
  <c r="P174" i="2"/>
  <c r="Q174" i="2" s="1"/>
  <c r="P175" i="2"/>
  <c r="Q175" i="2" s="1"/>
  <c r="P204" i="2"/>
  <c r="Q204" i="2" s="1"/>
  <c r="P278" i="2"/>
  <c r="Q278" i="2" s="1"/>
  <c r="P301" i="2"/>
  <c r="Q301" i="2" s="1"/>
  <c r="P343" i="2"/>
  <c r="Q343" i="2" s="1"/>
  <c r="N526" i="2"/>
  <c r="Q497" i="2"/>
  <c r="Q500" i="2"/>
  <c r="Q517" i="2"/>
  <c r="Q521" i="2"/>
  <c r="Q523" i="2"/>
  <c r="P250" i="3"/>
  <c r="Q250" i="3" s="1"/>
  <c r="P254" i="3"/>
  <c r="Q254" i="3" s="1"/>
  <c r="P262" i="3"/>
  <c r="Q262" i="3" s="1"/>
  <c r="P266" i="3"/>
  <c r="Q266" i="3" s="1"/>
  <c r="P274" i="3"/>
  <c r="Q274" i="3" s="1"/>
  <c r="P467" i="3"/>
  <c r="Q467" i="3" s="1"/>
  <c r="P471" i="3"/>
  <c r="Q471" i="3" s="1"/>
  <c r="P525" i="3"/>
  <c r="Q496" i="3"/>
  <c r="Q517" i="3"/>
  <c r="Q519" i="3"/>
  <c r="Q521" i="3"/>
  <c r="K526" i="2"/>
  <c r="J526" i="2"/>
  <c r="P295" i="2"/>
  <c r="Q295" i="2" s="1"/>
  <c r="P5" i="2"/>
  <c r="Q5" i="2" s="1"/>
  <c r="P279" i="3"/>
  <c r="Q279" i="3" s="1"/>
  <c r="P320" i="3"/>
  <c r="Q320" i="3" s="1"/>
  <c r="P324" i="3"/>
  <c r="Q324" i="3" s="1"/>
  <c r="P332" i="3"/>
  <c r="Q332" i="3" s="1"/>
  <c r="P68" i="3"/>
  <c r="Q68" i="3" s="1"/>
  <c r="P84" i="3"/>
  <c r="Q84" i="3" s="1"/>
  <c r="P104" i="3"/>
  <c r="Q104" i="3" s="1"/>
  <c r="P116" i="3"/>
  <c r="Q116" i="3" s="1"/>
  <c r="P281" i="3"/>
  <c r="Q281" i="3" s="1"/>
  <c r="P290" i="3"/>
  <c r="Q290" i="3" s="1"/>
  <c r="P299" i="3"/>
  <c r="Q299" i="3" s="1"/>
  <c r="P303" i="3"/>
  <c r="Q303" i="3" s="1"/>
  <c r="P305" i="3"/>
  <c r="Q305" i="3" s="1"/>
  <c r="P311" i="3"/>
  <c r="Q311" i="3" s="1"/>
  <c r="P355" i="3"/>
  <c r="Q355" i="3" s="1"/>
  <c r="P440" i="3"/>
  <c r="Q440" i="3" s="1"/>
  <c r="P26" i="2"/>
  <c r="Q26" i="2" s="1"/>
  <c r="P63" i="2"/>
  <c r="Q63" i="2" s="1"/>
  <c r="P64" i="2"/>
  <c r="Q64" i="2" s="1"/>
  <c r="P70" i="2"/>
  <c r="Q70" i="2" s="1"/>
  <c r="P71" i="2"/>
  <c r="Q71" i="2" s="1"/>
  <c r="P72" i="2"/>
  <c r="Q72" i="2" s="1"/>
  <c r="P94" i="2"/>
  <c r="Q94" i="2" s="1"/>
  <c r="P95" i="2"/>
  <c r="Q95" i="2" s="1"/>
  <c r="P96" i="2"/>
  <c r="Q96" i="2" s="1"/>
  <c r="P106" i="2"/>
  <c r="Q106" i="2" s="1"/>
  <c r="P212" i="2"/>
  <c r="Q212" i="2" s="1"/>
  <c r="P299" i="2"/>
  <c r="Q299" i="2" s="1"/>
  <c r="P340" i="2"/>
  <c r="Q340" i="2" s="1"/>
  <c r="P348" i="2"/>
  <c r="Q348" i="2" s="1"/>
  <c r="P354" i="2"/>
  <c r="Q354" i="2" s="1"/>
  <c r="P355" i="2"/>
  <c r="Q355" i="2" s="1"/>
  <c r="P363" i="2"/>
  <c r="Q363" i="2" s="1"/>
  <c r="P364" i="2"/>
  <c r="Q364" i="2" s="1"/>
  <c r="P422" i="2"/>
  <c r="Q422" i="2" s="1"/>
  <c r="P366" i="2"/>
  <c r="Q366" i="2" s="1"/>
  <c r="P382" i="2"/>
  <c r="Q382" i="2" s="1"/>
  <c r="P438" i="2"/>
  <c r="Q438" i="2" s="1"/>
  <c r="P146" i="2"/>
  <c r="Q146" i="2" s="1"/>
  <c r="P276" i="2"/>
  <c r="Q276" i="2" s="1"/>
  <c r="P445" i="2"/>
  <c r="Q445" i="2" s="1"/>
  <c r="P470" i="3"/>
  <c r="Q470" i="3" s="1"/>
  <c r="H525" i="2"/>
  <c r="P7" i="2"/>
  <c r="Q7" i="2" s="1"/>
  <c r="P6" i="2"/>
  <c r="Q6" i="2" s="1"/>
  <c r="P188" i="2"/>
  <c r="Q188" i="2" s="1"/>
  <c r="P262" i="2"/>
  <c r="Q262" i="2" s="1"/>
  <c r="P390" i="2"/>
  <c r="Q390" i="2" s="1"/>
  <c r="P450" i="2"/>
  <c r="Q450" i="2" s="1"/>
  <c r="P58" i="3"/>
  <c r="Q58" i="3" s="1"/>
  <c r="P223" i="3"/>
  <c r="Q223" i="3" s="1"/>
  <c r="P236" i="3"/>
  <c r="Q236" i="3" s="1"/>
  <c r="P248" i="3"/>
  <c r="Q248" i="3" s="1"/>
  <c r="P252" i="3"/>
  <c r="Q252" i="3" s="1"/>
  <c r="P34" i="2"/>
  <c r="Q34" i="2" s="1"/>
  <c r="P42" i="2"/>
  <c r="Q42" i="2" s="1"/>
  <c r="P102" i="2"/>
  <c r="Q102" i="2" s="1"/>
  <c r="P103" i="2"/>
  <c r="Q103" i="2" s="1"/>
  <c r="P104" i="2"/>
  <c r="Q104" i="2" s="1"/>
  <c r="P134" i="2"/>
  <c r="Q134" i="2" s="1"/>
  <c r="P135" i="2"/>
  <c r="Q135" i="2" s="1"/>
  <c r="P136" i="2"/>
  <c r="Q136" i="2" s="1"/>
  <c r="P138" i="2"/>
  <c r="Q138" i="2" s="1"/>
  <c r="P142" i="2"/>
  <c r="Q142" i="2" s="1"/>
  <c r="P252" i="2"/>
  <c r="Q252" i="2" s="1"/>
  <c r="P258" i="2"/>
  <c r="Q258" i="2" s="1"/>
  <c r="P259" i="2"/>
  <c r="Q259" i="2" s="1"/>
  <c r="P260" i="2"/>
  <c r="Q260" i="2" s="1"/>
  <c r="P266" i="2"/>
  <c r="Q266" i="2" s="1"/>
  <c r="P267" i="2"/>
  <c r="Q267" i="2" s="1"/>
  <c r="P268" i="2"/>
  <c r="Q268" i="2" s="1"/>
  <c r="P302" i="2"/>
  <c r="Q302" i="2" s="1"/>
  <c r="P320" i="2"/>
  <c r="Q320" i="2" s="1"/>
  <c r="P324" i="2"/>
  <c r="Q324" i="2" s="1"/>
  <c r="P380" i="2"/>
  <c r="Q380" i="2" s="1"/>
  <c r="Q495" i="2"/>
  <c r="Q520" i="2"/>
  <c r="P199" i="3"/>
  <c r="Q199" i="3" s="1"/>
  <c r="P209" i="3"/>
  <c r="Q209" i="3" s="1"/>
  <c r="P218" i="2"/>
  <c r="Q218" i="2" s="1"/>
  <c r="P223" i="2"/>
  <c r="Q223" i="2" s="1"/>
  <c r="P224" i="2"/>
  <c r="Q224" i="2" s="1"/>
  <c r="P239" i="2"/>
  <c r="Q239" i="2" s="1"/>
  <c r="P379" i="2"/>
  <c r="Q379" i="2" s="1"/>
  <c r="H504" i="2"/>
  <c r="I494" i="2"/>
  <c r="Q494" i="2" s="1"/>
  <c r="Q499" i="2"/>
  <c r="Q516" i="2"/>
  <c r="P241" i="3"/>
  <c r="Q241" i="3" s="1"/>
  <c r="P245" i="3"/>
  <c r="Q245" i="3" s="1"/>
  <c r="P273" i="3"/>
  <c r="Q273" i="3" s="1"/>
  <c r="P337" i="3"/>
  <c r="Q337" i="3" s="1"/>
  <c r="P345" i="3"/>
  <c r="Q345" i="3" s="1"/>
  <c r="P358" i="3"/>
  <c r="Q358" i="3" s="1"/>
  <c r="P367" i="3"/>
  <c r="Q367" i="3" s="1"/>
  <c r="P392" i="3"/>
  <c r="Q392" i="3" s="1"/>
  <c r="P396" i="3"/>
  <c r="Q396" i="3" s="1"/>
  <c r="P409" i="3"/>
  <c r="Q409" i="3" s="1"/>
  <c r="P410" i="3"/>
  <c r="Q410" i="3" s="1"/>
  <c r="P414" i="3"/>
  <c r="Q414" i="3" s="1"/>
  <c r="P433" i="3"/>
  <c r="Q433" i="3" s="1"/>
  <c r="P442" i="3"/>
  <c r="Q442" i="3" s="1"/>
  <c r="P443" i="3"/>
  <c r="Q443" i="3" s="1"/>
  <c r="J526" i="3"/>
  <c r="N526" i="3"/>
  <c r="P383" i="2"/>
  <c r="Q383" i="2" s="1"/>
  <c r="M526" i="2"/>
  <c r="P331" i="3"/>
  <c r="Q331" i="3" s="1"/>
  <c r="P335" i="3"/>
  <c r="Q335" i="3" s="1"/>
  <c r="P343" i="3"/>
  <c r="Q343" i="3" s="1"/>
  <c r="P347" i="3"/>
  <c r="Q347" i="3" s="1"/>
  <c r="P351" i="3"/>
  <c r="Q351" i="3" s="1"/>
  <c r="P356" i="3"/>
  <c r="Q356" i="3" s="1"/>
  <c r="P360" i="3"/>
  <c r="Q360" i="3" s="1"/>
  <c r="P364" i="3"/>
  <c r="Q364" i="3" s="1"/>
  <c r="P382" i="3"/>
  <c r="Q382" i="3" s="1"/>
  <c r="P386" i="3"/>
  <c r="Q386" i="3" s="1"/>
  <c r="Q498" i="3"/>
  <c r="Q518" i="3"/>
  <c r="Q520" i="3"/>
  <c r="Q524" i="3"/>
  <c r="P41" i="3"/>
  <c r="Q41" i="3" s="1"/>
  <c r="P45" i="3"/>
  <c r="Q45" i="3" s="1"/>
  <c r="P89" i="3"/>
  <c r="Q89" i="3" s="1"/>
  <c r="P97" i="3"/>
  <c r="Q97" i="3" s="1"/>
  <c r="P101" i="3"/>
  <c r="Q101" i="3" s="1"/>
  <c r="P141" i="3"/>
  <c r="Q141" i="3" s="1"/>
  <c r="P149" i="3"/>
  <c r="Q149" i="3" s="1"/>
  <c r="P154" i="3"/>
  <c r="Q154" i="3" s="1"/>
  <c r="P160" i="3"/>
  <c r="Q160" i="3" s="1"/>
  <c r="P164" i="3"/>
  <c r="Q164" i="3" s="1"/>
  <c r="P182" i="3"/>
  <c r="Q182" i="3" s="1"/>
  <c r="P23" i="3"/>
  <c r="Q23" i="3" s="1"/>
  <c r="P27" i="3"/>
  <c r="Q27" i="3" s="1"/>
  <c r="P48" i="3"/>
  <c r="Q48" i="3" s="1"/>
  <c r="P61" i="3"/>
  <c r="Q61" i="3" s="1"/>
  <c r="P87" i="3"/>
  <c r="Q87" i="3" s="1"/>
  <c r="P151" i="3"/>
  <c r="Q151" i="3" s="1"/>
  <c r="P155" i="3"/>
  <c r="Q155" i="3" s="1"/>
  <c r="P192" i="3"/>
  <c r="Q192" i="3" s="1"/>
  <c r="P46" i="2"/>
  <c r="Q46" i="2" s="1"/>
  <c r="P47" i="2"/>
  <c r="Q47" i="2" s="1"/>
  <c r="P48" i="2"/>
  <c r="Q48" i="2" s="1"/>
  <c r="P54" i="2"/>
  <c r="Q54" i="2" s="1"/>
  <c r="P122" i="2"/>
  <c r="Q122" i="2" s="1"/>
  <c r="P130" i="2"/>
  <c r="Q130" i="2" s="1"/>
  <c r="P166" i="2"/>
  <c r="Q166" i="2" s="1"/>
  <c r="P167" i="2"/>
  <c r="Q167" i="2" s="1"/>
  <c r="P168" i="2"/>
  <c r="Q168" i="2" s="1"/>
  <c r="P191" i="2"/>
  <c r="Q191" i="2" s="1"/>
  <c r="P192" i="2"/>
  <c r="Q192" i="2" s="1"/>
  <c r="P198" i="2"/>
  <c r="Q198" i="2" s="1"/>
  <c r="P199" i="2"/>
  <c r="Q199" i="2" s="1"/>
  <c r="P200" i="2"/>
  <c r="Q200" i="2" s="1"/>
  <c r="P242" i="2"/>
  <c r="Q242" i="2" s="1"/>
  <c r="P243" i="2"/>
  <c r="Q243" i="2" s="1"/>
  <c r="P244" i="2"/>
  <c r="Q244" i="2" s="1"/>
  <c r="P270" i="2"/>
  <c r="Q270" i="2" s="1"/>
  <c r="P279" i="2"/>
  <c r="Q279" i="2" s="1"/>
  <c r="P300" i="2"/>
  <c r="Q300" i="2" s="1"/>
  <c r="P305" i="2"/>
  <c r="Q305" i="2" s="1"/>
  <c r="P306" i="2"/>
  <c r="Q306" i="2" s="1"/>
  <c r="P329" i="2"/>
  <c r="Q329" i="2" s="1"/>
  <c r="P371" i="2"/>
  <c r="Q371" i="2" s="1"/>
  <c r="P385" i="2"/>
  <c r="Q385" i="2" s="1"/>
  <c r="P386" i="2"/>
  <c r="Q386" i="2" s="1"/>
  <c r="P387" i="2"/>
  <c r="Q387" i="2" s="1"/>
  <c r="P392" i="2"/>
  <c r="Q392" i="2" s="1"/>
  <c r="P428" i="2"/>
  <c r="Q428" i="2" s="1"/>
  <c r="P432" i="2"/>
  <c r="Q432" i="2" s="1"/>
  <c r="P435" i="2"/>
  <c r="Q435" i="2" s="1"/>
  <c r="P446" i="2"/>
  <c r="Q446" i="2" s="1"/>
  <c r="P453" i="2"/>
  <c r="Q453" i="2" s="1"/>
  <c r="P17" i="2"/>
  <c r="Q17" i="2" s="1"/>
  <c r="P84" i="2"/>
  <c r="Q84" i="2" s="1"/>
  <c r="P150" i="2"/>
  <c r="Q150" i="2" s="1"/>
  <c r="P159" i="2"/>
  <c r="Q159" i="2" s="1"/>
  <c r="P160" i="2"/>
  <c r="Q160" i="2" s="1"/>
  <c r="P162" i="2"/>
  <c r="Q162" i="2" s="1"/>
  <c r="P164" i="2"/>
  <c r="Q164" i="2" s="1"/>
  <c r="P227" i="2"/>
  <c r="Q227" i="2" s="1"/>
  <c r="P238" i="2"/>
  <c r="Q238" i="2" s="1"/>
  <c r="P255" i="2"/>
  <c r="Q255" i="2" s="1"/>
  <c r="P292" i="2"/>
  <c r="Q292" i="2" s="1"/>
  <c r="P296" i="2"/>
  <c r="Q296" i="2" s="1"/>
  <c r="P297" i="2"/>
  <c r="Q297" i="2" s="1"/>
  <c r="P360" i="2"/>
  <c r="Q360" i="2" s="1"/>
  <c r="P15" i="2"/>
  <c r="Q15" i="2" s="1"/>
  <c r="P74" i="2"/>
  <c r="Q74" i="2" s="1"/>
  <c r="P82" i="2"/>
  <c r="Q82" i="2" s="1"/>
  <c r="P90" i="2"/>
  <c r="Q90" i="2" s="1"/>
  <c r="P108" i="2"/>
  <c r="Q108" i="2" s="1"/>
  <c r="P116" i="2"/>
  <c r="Q116" i="2" s="1"/>
  <c r="P124" i="2"/>
  <c r="Q124" i="2" s="1"/>
  <c r="P178" i="2"/>
  <c r="Q178" i="2" s="1"/>
  <c r="P182" i="2"/>
  <c r="Q182" i="2" s="1"/>
  <c r="P254" i="2"/>
  <c r="Q254" i="2" s="1"/>
  <c r="P271" i="2"/>
  <c r="Q271" i="2" s="1"/>
  <c r="P283" i="2"/>
  <c r="Q283" i="2" s="1"/>
  <c r="P284" i="2"/>
  <c r="Q284" i="2" s="1"/>
  <c r="P285" i="2"/>
  <c r="Q285" i="2" s="1"/>
  <c r="P307" i="2"/>
  <c r="Q307" i="2" s="1"/>
  <c r="P311" i="2"/>
  <c r="Q311" i="2" s="1"/>
  <c r="P313" i="2"/>
  <c r="Q313" i="2" s="1"/>
  <c r="P314" i="2"/>
  <c r="Q314" i="2" s="1"/>
  <c r="P330" i="2"/>
  <c r="Q330" i="2" s="1"/>
  <c r="P359" i="2"/>
  <c r="Q359" i="2" s="1"/>
  <c r="P408" i="2"/>
  <c r="Q408" i="2" s="1"/>
  <c r="P411" i="2"/>
  <c r="Q411" i="2" s="1"/>
  <c r="P412" i="2"/>
  <c r="Q412" i="2" s="1"/>
  <c r="P415" i="2"/>
  <c r="Q415" i="2" s="1"/>
  <c r="P430" i="2"/>
  <c r="Q430" i="2" s="1"/>
  <c r="P443" i="2"/>
  <c r="Q443" i="2" s="1"/>
  <c r="P170" i="2"/>
  <c r="Q170" i="2" s="1"/>
  <c r="P56" i="2"/>
  <c r="Q56" i="2" s="1"/>
  <c r="P76" i="2"/>
  <c r="Q76" i="2" s="1"/>
  <c r="P396" i="2"/>
  <c r="Q396" i="2" s="1"/>
  <c r="P344" i="2"/>
  <c r="Q344" i="2" s="1"/>
  <c r="P282" i="2"/>
  <c r="Q282" i="2" s="1"/>
  <c r="P180" i="2"/>
  <c r="Q180" i="2" s="1"/>
  <c r="P406" i="2"/>
  <c r="Q406" i="2" s="1"/>
  <c r="P114" i="2"/>
  <c r="Q114" i="2" s="1"/>
  <c r="P156" i="2"/>
  <c r="Q156" i="2" s="1"/>
  <c r="P246" i="2"/>
  <c r="Q246" i="2" s="1"/>
  <c r="P220" i="2"/>
  <c r="Q220" i="2" s="1"/>
  <c r="P375" i="3"/>
  <c r="Q375" i="3" s="1"/>
  <c r="P434" i="3"/>
  <c r="Q434" i="3" s="1"/>
  <c r="P81" i="3"/>
  <c r="Q81" i="3" s="1"/>
  <c r="P261" i="3"/>
  <c r="Q261" i="3" s="1"/>
  <c r="P44" i="3"/>
  <c r="Q44" i="3" s="1"/>
  <c r="P135" i="3"/>
  <c r="Q135" i="3" s="1"/>
  <c r="P144" i="3"/>
  <c r="Q144" i="3" s="1"/>
  <c r="P148" i="3"/>
  <c r="Q148" i="3" s="1"/>
  <c r="P181" i="3"/>
  <c r="Q181" i="3" s="1"/>
  <c r="P204" i="3"/>
  <c r="Q204" i="3" s="1"/>
  <c r="P205" i="3"/>
  <c r="Q205" i="3" s="1"/>
  <c r="P249" i="3"/>
  <c r="Q249" i="3" s="1"/>
  <c r="P293" i="3"/>
  <c r="Q293" i="3" s="1"/>
  <c r="P317" i="3"/>
  <c r="Q317" i="3" s="1"/>
  <c r="P329" i="3"/>
  <c r="Q329" i="3" s="1"/>
  <c r="P338" i="3"/>
  <c r="Q338" i="3" s="1"/>
  <c r="P342" i="3"/>
  <c r="Q342" i="3" s="1"/>
  <c r="P377" i="3"/>
  <c r="Q377" i="3" s="1"/>
  <c r="P381" i="3"/>
  <c r="Q381" i="3" s="1"/>
  <c r="P397" i="3"/>
  <c r="Q397" i="3" s="1"/>
  <c r="P415" i="3"/>
  <c r="Q415" i="3" s="1"/>
  <c r="P22" i="3"/>
  <c r="Q22" i="3" s="1"/>
  <c r="P26" i="3"/>
  <c r="Q26" i="3" s="1"/>
  <c r="P142" i="3"/>
  <c r="Q142" i="3" s="1"/>
  <c r="P189" i="3"/>
  <c r="Q189" i="3" s="1"/>
  <c r="P201" i="3"/>
  <c r="Q201" i="3" s="1"/>
  <c r="P214" i="3"/>
  <c r="Q214" i="3" s="1"/>
  <c r="P242" i="3"/>
  <c r="Q242" i="3" s="1"/>
  <c r="P246" i="3"/>
  <c r="Q246" i="3" s="1"/>
  <c r="P251" i="3"/>
  <c r="Q251" i="3" s="1"/>
  <c r="P336" i="3"/>
  <c r="Q336" i="3" s="1"/>
  <c r="P313" i="3"/>
  <c r="Q313" i="3" s="1"/>
  <c r="P318" i="3"/>
  <c r="Q318" i="3" s="1"/>
  <c r="P379" i="3"/>
  <c r="Q379" i="3" s="1"/>
  <c r="P402" i="3"/>
  <c r="Q402" i="3" s="1"/>
  <c r="P418" i="3"/>
  <c r="Q418" i="3" s="1"/>
  <c r="P426" i="3"/>
  <c r="Q426" i="3" s="1"/>
  <c r="P464" i="3"/>
  <c r="Q464" i="3" s="1"/>
  <c r="P466" i="3"/>
  <c r="Q466" i="3" s="1"/>
  <c r="P18" i="2"/>
  <c r="Q18" i="2" s="1"/>
  <c r="P19" i="2"/>
  <c r="Q19" i="2" s="1"/>
  <c r="P21" i="2"/>
  <c r="Q21" i="2" s="1"/>
  <c r="P38" i="2"/>
  <c r="Q38" i="2" s="1"/>
  <c r="P39" i="2"/>
  <c r="Q39" i="2" s="1"/>
  <c r="P66" i="2"/>
  <c r="Q66" i="2" s="1"/>
  <c r="P86" i="2"/>
  <c r="Q86" i="2" s="1"/>
  <c r="P87" i="2"/>
  <c r="Q87" i="2" s="1"/>
  <c r="P88" i="2"/>
  <c r="Q88" i="2" s="1"/>
  <c r="P127" i="2"/>
  <c r="Q127" i="2" s="1"/>
  <c r="P128" i="2"/>
  <c r="Q128" i="2" s="1"/>
  <c r="P194" i="2"/>
  <c r="Q194" i="2" s="1"/>
  <c r="P247" i="2"/>
  <c r="Q247" i="2" s="1"/>
  <c r="P263" i="2"/>
  <c r="Q263" i="2" s="1"/>
  <c r="P274" i="2"/>
  <c r="Q274" i="2" s="1"/>
  <c r="P275" i="2"/>
  <c r="Q275" i="2" s="1"/>
  <c r="P288" i="2"/>
  <c r="Q288" i="2" s="1"/>
  <c r="P289" i="2"/>
  <c r="Q289" i="2" s="1"/>
  <c r="P334" i="2"/>
  <c r="Q334" i="2" s="1"/>
  <c r="P375" i="2"/>
  <c r="Q375" i="2" s="1"/>
  <c r="P376" i="2"/>
  <c r="Q376" i="2" s="1"/>
  <c r="P403" i="2"/>
  <c r="Q403" i="2" s="1"/>
  <c r="P440" i="2"/>
  <c r="Q440" i="2" s="1"/>
  <c r="P448" i="2"/>
  <c r="Q448" i="2" s="1"/>
  <c r="P24" i="2"/>
  <c r="Q24" i="2" s="1"/>
  <c r="P44" i="2"/>
  <c r="Q44" i="2" s="1"/>
  <c r="P92" i="2"/>
  <c r="Q92" i="2" s="1"/>
  <c r="P132" i="2"/>
  <c r="Q132" i="2" s="1"/>
  <c r="P230" i="2"/>
  <c r="Q230" i="2" s="1"/>
  <c r="P287" i="2"/>
  <c r="Q287" i="2" s="1"/>
  <c r="P293" i="2"/>
  <c r="Q293" i="2" s="1"/>
  <c r="P326" i="2"/>
  <c r="Q326" i="2" s="1"/>
  <c r="P332" i="2"/>
  <c r="Q332" i="2" s="1"/>
  <c r="P336" i="2"/>
  <c r="Q336" i="2" s="1"/>
  <c r="P374" i="2"/>
  <c r="Q374" i="2" s="1"/>
  <c r="P388" i="2"/>
  <c r="Q388" i="2" s="1"/>
  <c r="P395" i="2"/>
  <c r="Q395" i="2" s="1"/>
  <c r="P400" i="2"/>
  <c r="Q400" i="2" s="1"/>
  <c r="P416" i="2"/>
  <c r="Q416" i="2" s="1"/>
  <c r="P417" i="2"/>
  <c r="Q417" i="2" s="1"/>
  <c r="P418" i="2"/>
  <c r="Q418" i="2" s="1"/>
  <c r="P419" i="2"/>
  <c r="Q419" i="2" s="1"/>
  <c r="P420" i="2"/>
  <c r="Q420" i="2" s="1"/>
  <c r="P455" i="2"/>
  <c r="Q455" i="2" s="1"/>
  <c r="P457" i="2"/>
  <c r="Q457" i="2" s="1"/>
  <c r="P460" i="2"/>
  <c r="Q460" i="2" s="1"/>
  <c r="P462" i="2"/>
  <c r="Q462" i="2" s="1"/>
  <c r="P463" i="2"/>
  <c r="Q463" i="2" s="1"/>
  <c r="P471" i="2"/>
  <c r="Q471" i="2" s="1"/>
  <c r="P10" i="2"/>
  <c r="Q10" i="2" s="1"/>
  <c r="P11" i="2"/>
  <c r="Q11" i="2" s="1"/>
  <c r="P12" i="2"/>
  <c r="Q12" i="2" s="1"/>
  <c r="P13" i="2"/>
  <c r="Q13" i="2" s="1"/>
  <c r="P27" i="2"/>
  <c r="Q27" i="2" s="1"/>
  <c r="P31" i="2"/>
  <c r="Q31" i="2" s="1"/>
  <c r="P32" i="2"/>
  <c r="Q32" i="2" s="1"/>
  <c r="P50" i="2"/>
  <c r="Q50" i="2" s="1"/>
  <c r="P60" i="2"/>
  <c r="Q60" i="2" s="1"/>
  <c r="P68" i="2"/>
  <c r="Q68" i="2" s="1"/>
  <c r="P78" i="2"/>
  <c r="Q78" i="2" s="1"/>
  <c r="P79" i="2"/>
  <c r="Q79" i="2" s="1"/>
  <c r="P80" i="2"/>
  <c r="Q80" i="2" s="1"/>
  <c r="P100" i="2"/>
  <c r="Q100" i="2" s="1"/>
  <c r="P110" i="2"/>
  <c r="Q110" i="2" s="1"/>
  <c r="P111" i="2"/>
  <c r="Q111" i="2" s="1"/>
  <c r="P112" i="2"/>
  <c r="Q112" i="2" s="1"/>
  <c r="P118" i="2"/>
  <c r="Q118" i="2" s="1"/>
  <c r="P119" i="2"/>
  <c r="Q119" i="2" s="1"/>
  <c r="P120" i="2"/>
  <c r="Q120" i="2" s="1"/>
  <c r="P140" i="2"/>
  <c r="Q140" i="2" s="1"/>
  <c r="P148" i="2"/>
  <c r="Q148" i="2" s="1"/>
  <c r="P158" i="2"/>
  <c r="Q158" i="2" s="1"/>
  <c r="P190" i="2"/>
  <c r="Q190" i="2" s="1"/>
  <c r="P206" i="2"/>
  <c r="Q206" i="2" s="1"/>
  <c r="P207" i="2"/>
  <c r="Q207" i="2" s="1"/>
  <c r="P208" i="2"/>
  <c r="Q208" i="2" s="1"/>
  <c r="P226" i="2"/>
  <c r="Q226" i="2" s="1"/>
  <c r="P232" i="2"/>
  <c r="Q232" i="2" s="1"/>
  <c r="P235" i="2"/>
  <c r="Q235" i="2" s="1"/>
  <c r="P250" i="2"/>
  <c r="Q250" i="2" s="1"/>
  <c r="P251" i="2"/>
  <c r="Q251" i="2" s="1"/>
  <c r="P298" i="2"/>
  <c r="Q298" i="2" s="1"/>
  <c r="P322" i="2"/>
  <c r="Q322" i="2" s="1"/>
  <c r="P346" i="2"/>
  <c r="Q346" i="2" s="1"/>
  <c r="P368" i="2"/>
  <c r="Q368" i="2" s="1"/>
  <c r="P349" i="3"/>
  <c r="Q349" i="3" s="1"/>
  <c r="P294" i="3"/>
  <c r="Q294" i="3" s="1"/>
  <c r="P228" i="3"/>
  <c r="Q228" i="3" s="1"/>
  <c r="P55" i="3"/>
  <c r="Q55" i="3" s="1"/>
  <c r="P429" i="3"/>
  <c r="Q429" i="3" s="1"/>
  <c r="P187" i="3"/>
  <c r="Q187" i="3" s="1"/>
  <c r="P253" i="3"/>
  <c r="Q253" i="3" s="1"/>
  <c r="P176" i="3"/>
  <c r="Q176" i="3" s="1"/>
  <c r="P175" i="3"/>
  <c r="Q175" i="3" s="1"/>
  <c r="P102" i="3"/>
  <c r="Q102" i="3" s="1"/>
  <c r="P72" i="3"/>
  <c r="Q72" i="3" s="1"/>
  <c r="P29" i="3"/>
  <c r="Q29" i="3" s="1"/>
  <c r="P465" i="3"/>
  <c r="Q465" i="3" s="1"/>
  <c r="P378" i="3"/>
  <c r="Q378" i="3" s="1"/>
  <c r="P373" i="3"/>
  <c r="Q373" i="3" s="1"/>
  <c r="P295" i="3"/>
  <c r="Q295" i="3" s="1"/>
  <c r="P434" i="2"/>
  <c r="Q434" i="2" s="1"/>
  <c r="P315" i="2"/>
  <c r="Q315" i="2" s="1"/>
  <c r="P228" i="2"/>
  <c r="Q228" i="2" s="1"/>
  <c r="P126" i="2"/>
  <c r="Q126" i="2" s="1"/>
  <c r="P55" i="2"/>
  <c r="Q55" i="2" s="1"/>
  <c r="P36" i="2"/>
  <c r="Q36" i="2" s="1"/>
  <c r="Q474" i="2"/>
  <c r="P468" i="2"/>
  <c r="Q468" i="2" s="1"/>
  <c r="P353" i="2"/>
  <c r="Q353" i="2" s="1"/>
  <c r="P222" i="2"/>
  <c r="Q222" i="2" s="1"/>
  <c r="P319" i="2"/>
  <c r="Q319" i="2" s="1"/>
  <c r="P30" i="2"/>
  <c r="Q30" i="2" s="1"/>
  <c r="P427" i="2"/>
  <c r="Q427" i="2" s="1"/>
  <c r="P196" i="2"/>
  <c r="Q196" i="2" s="1"/>
  <c r="P290" i="2"/>
  <c r="Q290" i="2" s="1"/>
  <c r="P176" i="2"/>
  <c r="Q176" i="2" s="1"/>
  <c r="P9" i="2"/>
  <c r="Q9" i="2" s="1"/>
  <c r="P398" i="2"/>
  <c r="Q398" i="2" s="1"/>
  <c r="P52" i="2"/>
  <c r="Q52" i="2" s="1"/>
  <c r="P473" i="2"/>
  <c r="Q473" i="2" s="1"/>
  <c r="P465" i="2"/>
  <c r="Q465" i="2" s="1"/>
  <c r="P452" i="2"/>
  <c r="Q452" i="2" s="1"/>
  <c r="P424" i="2"/>
  <c r="Q424" i="2" s="1"/>
  <c r="P378" i="2"/>
  <c r="Q378" i="2" s="1"/>
  <c r="P202" i="2"/>
  <c r="Q202" i="2" s="1"/>
  <c r="P62" i="2"/>
  <c r="Q62" i="2" s="1"/>
  <c r="P40" i="2"/>
  <c r="Q40" i="2" s="1"/>
  <c r="P20" i="2"/>
  <c r="Q20" i="2" s="1"/>
  <c r="P436" i="2"/>
  <c r="Q436" i="2" s="1"/>
  <c r="P8" i="2"/>
  <c r="Q8" i="2" s="1"/>
  <c r="P16" i="2"/>
  <c r="Q16" i="2" s="1"/>
  <c r="P25" i="2"/>
  <c r="Q25" i="2" s="1"/>
  <c r="P35" i="2"/>
  <c r="Q35" i="2" s="1"/>
  <c r="P43" i="2"/>
  <c r="Q43" i="2" s="1"/>
  <c r="P51" i="2"/>
  <c r="Q51" i="2" s="1"/>
  <c r="P59" i="2"/>
  <c r="Q59" i="2" s="1"/>
  <c r="P67" i="2"/>
  <c r="Q67" i="2" s="1"/>
  <c r="P75" i="2"/>
  <c r="Q75" i="2" s="1"/>
  <c r="P83" i="2"/>
  <c r="Q83" i="2" s="1"/>
  <c r="P91" i="2"/>
  <c r="Q91" i="2" s="1"/>
  <c r="P99" i="2"/>
  <c r="Q99" i="2" s="1"/>
  <c r="P107" i="2"/>
  <c r="Q107" i="2" s="1"/>
  <c r="P115" i="2"/>
  <c r="Q115" i="2" s="1"/>
  <c r="P123" i="2"/>
  <c r="Q123" i="2" s="1"/>
  <c r="P131" i="2"/>
  <c r="Q131" i="2" s="1"/>
  <c r="P151" i="2"/>
  <c r="Q151" i="2" s="1"/>
  <c r="P152" i="2"/>
  <c r="Q152" i="2" s="1"/>
  <c r="P183" i="2"/>
  <c r="Q183" i="2" s="1"/>
  <c r="P184" i="2"/>
  <c r="Q184" i="2" s="1"/>
  <c r="P215" i="2"/>
  <c r="Q215" i="2" s="1"/>
  <c r="P216" i="2"/>
  <c r="Q216" i="2" s="1"/>
  <c r="P240" i="2"/>
  <c r="Q240" i="2" s="1"/>
  <c r="P256" i="2"/>
  <c r="Q256" i="2" s="1"/>
  <c r="P272" i="2"/>
  <c r="Q272" i="2" s="1"/>
  <c r="P303" i="2"/>
  <c r="Q303" i="2" s="1"/>
  <c r="P28" i="2"/>
  <c r="Q28" i="2" s="1"/>
  <c r="P14" i="2"/>
  <c r="Q14" i="2" s="1"/>
  <c r="P22" i="2"/>
  <c r="Q22" i="2" s="1"/>
  <c r="P23" i="2"/>
  <c r="Q23" i="2" s="1"/>
  <c r="P143" i="2"/>
  <c r="Q143" i="2" s="1"/>
  <c r="P144" i="2"/>
  <c r="Q144" i="2" s="1"/>
  <c r="P347" i="2"/>
  <c r="Q347" i="2" s="1"/>
  <c r="P351" i="2"/>
  <c r="Q351" i="2" s="1"/>
  <c r="P139" i="2"/>
  <c r="Q139" i="2" s="1"/>
  <c r="P147" i="2"/>
  <c r="Q147" i="2" s="1"/>
  <c r="P155" i="2"/>
  <c r="Q155" i="2" s="1"/>
  <c r="P163" i="2"/>
  <c r="Q163" i="2" s="1"/>
  <c r="P171" i="2"/>
  <c r="Q171" i="2" s="1"/>
  <c r="P179" i="2"/>
  <c r="Q179" i="2" s="1"/>
  <c r="P187" i="2"/>
  <c r="Q187" i="2" s="1"/>
  <c r="P195" i="2"/>
  <c r="Q195" i="2" s="1"/>
  <c r="P203" i="2"/>
  <c r="Q203" i="2" s="1"/>
  <c r="P211" i="2"/>
  <c r="Q211" i="2" s="1"/>
  <c r="P219" i="2"/>
  <c r="Q219" i="2" s="1"/>
  <c r="P231" i="2"/>
  <c r="Q231" i="2" s="1"/>
  <c r="P234" i="2"/>
  <c r="Q234" i="2" s="1"/>
  <c r="P248" i="2"/>
  <c r="Q248" i="2" s="1"/>
  <c r="P264" i="2"/>
  <c r="Q264" i="2" s="1"/>
  <c r="P280" i="2"/>
  <c r="Q280" i="2" s="1"/>
  <c r="P304" i="2"/>
  <c r="Q304" i="2" s="1"/>
  <c r="P384" i="2"/>
  <c r="Q384" i="2" s="1"/>
  <c r="P407" i="2"/>
  <c r="Q407" i="2" s="1"/>
  <c r="P410" i="2"/>
  <c r="Q410" i="2" s="1"/>
  <c r="P454" i="2"/>
  <c r="Q454" i="2" s="1"/>
  <c r="P469" i="2"/>
  <c r="Q469" i="2" s="1"/>
  <c r="P286" i="2"/>
  <c r="Q286" i="2" s="1"/>
  <c r="P294" i="2"/>
  <c r="Q294" i="2" s="1"/>
  <c r="P308" i="2"/>
  <c r="Q308" i="2" s="1"/>
  <c r="P310" i="2"/>
  <c r="Q310" i="2" s="1"/>
  <c r="P312" i="2"/>
  <c r="Q312" i="2" s="1"/>
  <c r="P323" i="2"/>
  <c r="Q323" i="2" s="1"/>
  <c r="P327" i="2"/>
  <c r="Q327" i="2" s="1"/>
  <c r="P337" i="2"/>
  <c r="Q337" i="2" s="1"/>
  <c r="P339" i="2"/>
  <c r="Q339" i="2" s="1"/>
  <c r="P367" i="2"/>
  <c r="Q367" i="2" s="1"/>
  <c r="P369" i="2"/>
  <c r="Q369" i="2" s="1"/>
  <c r="P370" i="2"/>
  <c r="Q370" i="2" s="1"/>
  <c r="P399" i="2"/>
  <c r="Q399" i="2" s="1"/>
  <c r="P401" i="2"/>
  <c r="Q401" i="2" s="1"/>
  <c r="P402" i="2"/>
  <c r="Q402" i="2" s="1"/>
  <c r="P431" i="2"/>
  <c r="Q431" i="2" s="1"/>
  <c r="P437" i="2"/>
  <c r="Q437" i="2" s="1"/>
  <c r="P439" i="2"/>
  <c r="Q439" i="2" s="1"/>
  <c r="P441" i="2"/>
  <c r="Q441" i="2" s="1"/>
  <c r="P451" i="2"/>
  <c r="Q451" i="2" s="1"/>
  <c r="P467" i="2"/>
  <c r="Q467" i="2" s="1"/>
  <c r="P470" i="2"/>
  <c r="Q470" i="2" s="1"/>
  <c r="P472" i="2"/>
  <c r="Q472" i="2" s="1"/>
  <c r="P350" i="2"/>
  <c r="Q350" i="2" s="1"/>
  <c r="P352" i="2"/>
  <c r="Q352" i="2" s="1"/>
  <c r="P362" i="2"/>
  <c r="Q362" i="2" s="1"/>
  <c r="P391" i="2"/>
  <c r="Q391" i="2" s="1"/>
  <c r="P394" i="2"/>
  <c r="Q394" i="2" s="1"/>
  <c r="P423" i="2"/>
  <c r="Q423" i="2" s="1"/>
  <c r="P426" i="2"/>
  <c r="Q426" i="2" s="1"/>
  <c r="P456" i="2"/>
  <c r="Q456" i="2" s="1"/>
  <c r="P316" i="2"/>
  <c r="Q316" i="2" s="1"/>
  <c r="P318" i="2"/>
  <c r="Q318" i="2" s="1"/>
  <c r="P321" i="2"/>
  <c r="Q321" i="2" s="1"/>
  <c r="P328" i="2"/>
  <c r="Q328" i="2" s="1"/>
  <c r="P331" i="2"/>
  <c r="Q331" i="2" s="1"/>
  <c r="P335" i="2"/>
  <c r="Q335" i="2" s="1"/>
  <c r="P342" i="2"/>
  <c r="Q342" i="2" s="1"/>
  <c r="P345" i="2"/>
  <c r="Q345" i="2" s="1"/>
  <c r="P356" i="2"/>
  <c r="Q356" i="2" s="1"/>
  <c r="P365" i="2"/>
  <c r="Q365" i="2" s="1"/>
  <c r="P381" i="2"/>
  <c r="Q381" i="2" s="1"/>
  <c r="P389" i="2"/>
  <c r="Q389" i="2" s="1"/>
  <c r="P397" i="2"/>
  <c r="Q397" i="2" s="1"/>
  <c r="P413" i="2"/>
  <c r="Q413" i="2" s="1"/>
  <c r="P421" i="2"/>
  <c r="Q421" i="2" s="1"/>
  <c r="P429" i="2"/>
  <c r="Q429" i="2" s="1"/>
  <c r="P442" i="2"/>
  <c r="Q442" i="2" s="1"/>
  <c r="P444" i="2"/>
  <c r="Q444" i="2" s="1"/>
  <c r="P447" i="2"/>
  <c r="Q447" i="2" s="1"/>
  <c r="P449" i="2"/>
  <c r="Q449" i="2" s="1"/>
  <c r="P458" i="2"/>
  <c r="Q458" i="2" s="1"/>
  <c r="P461" i="2"/>
  <c r="Q461" i="2" s="1"/>
  <c r="P464" i="2"/>
  <c r="Q464" i="2" s="1"/>
  <c r="P466" i="2"/>
  <c r="Q466" i="2" s="1"/>
  <c r="P12" i="3"/>
  <c r="Q12" i="3" s="1"/>
  <c r="P16" i="3"/>
  <c r="Q16" i="3" s="1"/>
  <c r="P32" i="3"/>
  <c r="Q32" i="3" s="1"/>
  <c r="P34" i="3"/>
  <c r="Q34" i="3" s="1"/>
  <c r="P36" i="3"/>
  <c r="Q36" i="3" s="1"/>
  <c r="P196" i="3"/>
  <c r="Q196" i="3" s="1"/>
  <c r="P265" i="3"/>
  <c r="Q265" i="3" s="1"/>
  <c r="P269" i="3"/>
  <c r="Q269" i="3" s="1"/>
  <c r="P277" i="3"/>
  <c r="Q277" i="3" s="1"/>
  <c r="P309" i="3"/>
  <c r="Q309" i="3" s="1"/>
  <c r="P432" i="3"/>
  <c r="Q432" i="3" s="1"/>
  <c r="P441" i="3"/>
  <c r="Q441" i="3" s="1"/>
  <c r="P7" i="3"/>
  <c r="Q7" i="3" s="1"/>
  <c r="P19" i="3"/>
  <c r="Q19" i="3" s="1"/>
  <c r="P157" i="3"/>
  <c r="Q157" i="3" s="1"/>
  <c r="P168" i="3"/>
  <c r="Q168" i="3" s="1"/>
  <c r="P195" i="3"/>
  <c r="Q195" i="3" s="1"/>
  <c r="P217" i="3"/>
  <c r="Q217" i="3" s="1"/>
  <c r="P221" i="3"/>
  <c r="Q221" i="3" s="1"/>
  <c r="P256" i="3"/>
  <c r="Q256" i="3" s="1"/>
  <c r="P264" i="3"/>
  <c r="Q264" i="3" s="1"/>
  <c r="P268" i="3"/>
  <c r="Q268" i="3" s="1"/>
  <c r="P272" i="3"/>
  <c r="Q272" i="3" s="1"/>
  <c r="P333" i="3"/>
  <c r="Q333" i="3" s="1"/>
  <c r="P398" i="3"/>
  <c r="Q398" i="3" s="1"/>
  <c r="P412" i="3"/>
  <c r="Q412" i="3" s="1"/>
  <c r="P416" i="3"/>
  <c r="Q416" i="3" s="1"/>
  <c r="P421" i="3"/>
  <c r="Q421" i="3" s="1"/>
  <c r="P430" i="3"/>
  <c r="Q430" i="3" s="1"/>
  <c r="P439" i="3"/>
  <c r="Q439" i="3" s="1"/>
  <c r="P13" i="3"/>
  <c r="Q13" i="3" s="1"/>
  <c r="P17" i="3"/>
  <c r="Q17" i="3" s="1"/>
  <c r="P75" i="3"/>
  <c r="Q75" i="3" s="1"/>
  <c r="P88" i="3"/>
  <c r="Q88" i="3" s="1"/>
  <c r="P92" i="3"/>
  <c r="Q92" i="3" s="1"/>
  <c r="P96" i="3"/>
  <c r="Q96" i="3" s="1"/>
  <c r="P105" i="3"/>
  <c r="Q105" i="3" s="1"/>
  <c r="P106" i="3"/>
  <c r="Q106" i="3" s="1"/>
  <c r="P110" i="3"/>
  <c r="Q110" i="3" s="1"/>
  <c r="P122" i="3"/>
  <c r="Q122" i="3" s="1"/>
  <c r="P123" i="3"/>
  <c r="Q123" i="3" s="1"/>
  <c r="P132" i="3"/>
  <c r="Q132" i="3" s="1"/>
  <c r="P134" i="3"/>
  <c r="Q134" i="3" s="1"/>
  <c r="P152" i="3"/>
  <c r="Q152" i="3" s="1"/>
  <c r="P327" i="3"/>
  <c r="Q327" i="3" s="1"/>
  <c r="P361" i="3"/>
  <c r="Q361" i="3" s="1"/>
  <c r="P370" i="3"/>
  <c r="Q370" i="3" s="1"/>
  <c r="P389" i="3"/>
  <c r="Q389" i="3" s="1"/>
  <c r="P393" i="3"/>
  <c r="Q393" i="3" s="1"/>
  <c r="P411" i="3"/>
  <c r="Q411" i="3" s="1"/>
  <c r="P38" i="3"/>
  <c r="Q38" i="3" s="1"/>
  <c r="P42" i="3"/>
  <c r="Q42" i="3" s="1"/>
  <c r="P49" i="3"/>
  <c r="Q49" i="3" s="1"/>
  <c r="P66" i="3"/>
  <c r="Q66" i="3" s="1"/>
  <c r="P82" i="3"/>
  <c r="Q82" i="3" s="1"/>
  <c r="P86" i="3"/>
  <c r="Q86" i="3" s="1"/>
  <c r="P94" i="3"/>
  <c r="Q94" i="3" s="1"/>
  <c r="P98" i="3"/>
  <c r="Q98" i="3" s="1"/>
  <c r="P99" i="3"/>
  <c r="Q99" i="3" s="1"/>
  <c r="P103" i="3"/>
  <c r="Q103" i="3" s="1"/>
  <c r="P108" i="3"/>
  <c r="Q108" i="3" s="1"/>
  <c r="P111" i="3"/>
  <c r="Q111" i="3" s="1"/>
  <c r="P136" i="3"/>
  <c r="Q136" i="3" s="1"/>
  <c r="P145" i="3"/>
  <c r="Q145" i="3" s="1"/>
  <c r="P146" i="3"/>
  <c r="Q146" i="3" s="1"/>
  <c r="P150" i="3"/>
  <c r="Q150" i="3" s="1"/>
  <c r="P170" i="3"/>
  <c r="Q170" i="3" s="1"/>
  <c r="P172" i="3"/>
  <c r="Q172" i="3" s="1"/>
  <c r="P179" i="3"/>
  <c r="Q179" i="3" s="1"/>
  <c r="P184" i="3"/>
  <c r="Q184" i="3" s="1"/>
  <c r="P198" i="3"/>
  <c r="Q198" i="3" s="1"/>
  <c r="P219" i="3"/>
  <c r="Q219" i="3" s="1"/>
  <c r="P220" i="3"/>
  <c r="Q220" i="3" s="1"/>
  <c r="P224" i="3"/>
  <c r="Q224" i="3" s="1"/>
  <c r="P227" i="3"/>
  <c r="Q227" i="3" s="1"/>
  <c r="P231" i="3"/>
  <c r="Q231" i="3" s="1"/>
  <c r="P240" i="3"/>
  <c r="Q240" i="3" s="1"/>
  <c r="P244" i="3"/>
  <c r="Q244" i="3" s="1"/>
  <c r="P263" i="3"/>
  <c r="Q263" i="3" s="1"/>
  <c r="P267" i="3"/>
  <c r="Q267" i="3" s="1"/>
  <c r="P275" i="3"/>
  <c r="Q275" i="3" s="1"/>
  <c r="P285" i="3"/>
  <c r="Q285" i="3" s="1"/>
  <c r="P291" i="3"/>
  <c r="Q291" i="3" s="1"/>
  <c r="P296" i="3"/>
  <c r="Q296" i="3" s="1"/>
  <c r="P297" i="3"/>
  <c r="Q297" i="3" s="1"/>
  <c r="P300" i="3"/>
  <c r="Q300" i="3" s="1"/>
  <c r="P302" i="3"/>
  <c r="Q302" i="3" s="1"/>
  <c r="P304" i="3"/>
  <c r="Q304" i="3" s="1"/>
  <c r="P306" i="3"/>
  <c r="Q306" i="3" s="1"/>
  <c r="P307" i="3"/>
  <c r="Q307" i="3" s="1"/>
  <c r="P321" i="3"/>
  <c r="Q321" i="3" s="1"/>
  <c r="P325" i="3"/>
  <c r="Q325" i="3" s="1"/>
  <c r="P330" i="3"/>
  <c r="Q330" i="3" s="1"/>
  <c r="P339" i="3"/>
  <c r="Q339" i="3" s="1"/>
  <c r="P340" i="3"/>
  <c r="Q340" i="3" s="1"/>
  <c r="P344" i="3"/>
  <c r="Q344" i="3" s="1"/>
  <c r="P350" i="3"/>
  <c r="Q350" i="3" s="1"/>
  <c r="P359" i="3"/>
  <c r="Q359" i="3" s="1"/>
  <c r="P363" i="3"/>
  <c r="Q363" i="3" s="1"/>
  <c r="P376" i="3"/>
  <c r="Q376" i="3" s="1"/>
  <c r="P380" i="3"/>
  <c r="Q380" i="3" s="1"/>
  <c r="P383" i="3"/>
  <c r="Q383" i="3" s="1"/>
  <c r="P384" i="3"/>
  <c r="Q384" i="3" s="1"/>
  <c r="P387" i="3"/>
  <c r="Q387" i="3" s="1"/>
  <c r="P391" i="3"/>
  <c r="Q391" i="3" s="1"/>
  <c r="P395" i="3"/>
  <c r="Q395" i="3" s="1"/>
  <c r="P403" i="3"/>
  <c r="Q403" i="3" s="1"/>
  <c r="P408" i="3"/>
  <c r="Q408" i="3" s="1"/>
  <c r="P413" i="3"/>
  <c r="Q413" i="3" s="1"/>
  <c r="P422" i="3"/>
  <c r="Q422" i="3" s="1"/>
  <c r="P435" i="3"/>
  <c r="Q435" i="3" s="1"/>
  <c r="P444" i="3"/>
  <c r="Q444" i="3" s="1"/>
  <c r="P445" i="3"/>
  <c r="Q445" i="3" s="1"/>
  <c r="P446" i="3"/>
  <c r="Q446" i="3" s="1"/>
  <c r="P452" i="3"/>
  <c r="Q452" i="3" s="1"/>
  <c r="P453" i="3"/>
  <c r="Q453" i="3" s="1"/>
  <c r="P458" i="3"/>
  <c r="Q458" i="3" s="1"/>
  <c r="P462" i="3"/>
  <c r="Q462" i="3" s="1"/>
  <c r="P463" i="3"/>
  <c r="Q463" i="3" s="1"/>
  <c r="I525" i="2"/>
  <c r="P29" i="2"/>
  <c r="Q29" i="2" s="1"/>
  <c r="P33" i="2"/>
  <c r="Q33" i="2" s="1"/>
  <c r="P37" i="2"/>
  <c r="Q37" i="2" s="1"/>
  <c r="P41" i="2"/>
  <c r="Q41" i="2" s="1"/>
  <c r="P45" i="2"/>
  <c r="Q45" i="2" s="1"/>
  <c r="P49" i="2"/>
  <c r="Q49" i="2" s="1"/>
  <c r="P53" i="2"/>
  <c r="Q53" i="2" s="1"/>
  <c r="P57" i="2"/>
  <c r="Q57" i="2" s="1"/>
  <c r="P61" i="2"/>
  <c r="Q61" i="2" s="1"/>
  <c r="P65" i="2"/>
  <c r="Q65" i="2" s="1"/>
  <c r="P69" i="2"/>
  <c r="Q69" i="2" s="1"/>
  <c r="P73" i="2"/>
  <c r="Q73" i="2" s="1"/>
  <c r="P77" i="2"/>
  <c r="Q77" i="2" s="1"/>
  <c r="P81" i="2"/>
  <c r="Q81" i="2" s="1"/>
  <c r="P85" i="2"/>
  <c r="Q85" i="2" s="1"/>
  <c r="P89" i="2"/>
  <c r="Q89" i="2" s="1"/>
  <c r="P93" i="2"/>
  <c r="Q93" i="2" s="1"/>
  <c r="P97" i="2"/>
  <c r="Q97" i="2" s="1"/>
  <c r="P101" i="2"/>
  <c r="Q101" i="2" s="1"/>
  <c r="P105" i="2"/>
  <c r="Q105" i="2" s="1"/>
  <c r="P109" i="2"/>
  <c r="Q109" i="2" s="1"/>
  <c r="P113" i="2"/>
  <c r="Q113" i="2" s="1"/>
  <c r="P117" i="2"/>
  <c r="Q117" i="2" s="1"/>
  <c r="P121" i="2"/>
  <c r="Q121" i="2" s="1"/>
  <c r="P125" i="2"/>
  <c r="Q125" i="2" s="1"/>
  <c r="P129" i="2"/>
  <c r="Q129" i="2" s="1"/>
  <c r="P133" i="2"/>
  <c r="Q133" i="2" s="1"/>
  <c r="P137" i="2"/>
  <c r="Q137" i="2" s="1"/>
  <c r="P141" i="2"/>
  <c r="Q141" i="2" s="1"/>
  <c r="P145" i="2"/>
  <c r="Q145" i="2" s="1"/>
  <c r="P149" i="2"/>
  <c r="Q149" i="2" s="1"/>
  <c r="P153" i="2"/>
  <c r="Q153" i="2" s="1"/>
  <c r="P157" i="2"/>
  <c r="Q157" i="2" s="1"/>
  <c r="P161" i="2"/>
  <c r="Q161" i="2" s="1"/>
  <c r="P165" i="2"/>
  <c r="Q165" i="2" s="1"/>
  <c r="P169" i="2"/>
  <c r="Q169" i="2" s="1"/>
  <c r="P173" i="2"/>
  <c r="Q173" i="2" s="1"/>
  <c r="P177" i="2"/>
  <c r="Q177" i="2" s="1"/>
  <c r="P181" i="2"/>
  <c r="Q181" i="2" s="1"/>
  <c r="P185" i="2"/>
  <c r="Q185" i="2" s="1"/>
  <c r="P189" i="2"/>
  <c r="Q189" i="2" s="1"/>
  <c r="P193" i="2"/>
  <c r="Q193" i="2" s="1"/>
  <c r="P197" i="2"/>
  <c r="Q197" i="2" s="1"/>
  <c r="P201" i="2"/>
  <c r="Q201" i="2" s="1"/>
  <c r="P205" i="2"/>
  <c r="Q205" i="2" s="1"/>
  <c r="P209" i="2"/>
  <c r="Q209" i="2" s="1"/>
  <c r="P213" i="2"/>
  <c r="Q213" i="2" s="1"/>
  <c r="P217" i="2"/>
  <c r="Q217" i="2" s="1"/>
  <c r="P221" i="2"/>
  <c r="Q221" i="2" s="1"/>
  <c r="P225" i="2"/>
  <c r="Q225" i="2" s="1"/>
  <c r="P229" i="2"/>
  <c r="Q229" i="2" s="1"/>
  <c r="P233" i="2"/>
  <c r="Q233" i="2" s="1"/>
  <c r="P237" i="2"/>
  <c r="Q237" i="2" s="1"/>
  <c r="P241" i="2"/>
  <c r="Q241" i="2" s="1"/>
  <c r="P245" i="2"/>
  <c r="Q245" i="2" s="1"/>
  <c r="P249" i="2"/>
  <c r="Q249" i="2" s="1"/>
  <c r="P253" i="2"/>
  <c r="Q253" i="2" s="1"/>
  <c r="P257" i="2"/>
  <c r="Q257" i="2" s="1"/>
  <c r="P261" i="2"/>
  <c r="Q261" i="2" s="1"/>
  <c r="P265" i="2"/>
  <c r="Q265" i="2" s="1"/>
  <c r="P269" i="2"/>
  <c r="Q269" i="2" s="1"/>
  <c r="P273" i="2"/>
  <c r="Q273" i="2" s="1"/>
  <c r="P277" i="2"/>
  <c r="Q277" i="2" s="1"/>
  <c r="P281" i="2"/>
  <c r="Q281" i="2" s="1"/>
  <c r="P291" i="2"/>
  <c r="Q291" i="2" s="1"/>
  <c r="P373" i="2"/>
  <c r="Q373" i="2" s="1"/>
  <c r="P405" i="2"/>
  <c r="Q405" i="2" s="1"/>
  <c r="P361" i="2"/>
  <c r="Q361" i="2" s="1"/>
  <c r="P377" i="2"/>
  <c r="Q377" i="2" s="1"/>
  <c r="P393" i="2"/>
  <c r="Q393" i="2" s="1"/>
  <c r="P409" i="2"/>
  <c r="Q409" i="2" s="1"/>
  <c r="P425" i="2"/>
  <c r="Q425" i="2" s="1"/>
  <c r="P309" i="2"/>
  <c r="Q309" i="2" s="1"/>
  <c r="P317" i="2"/>
  <c r="Q317" i="2" s="1"/>
  <c r="P325" i="2"/>
  <c r="Q325" i="2" s="1"/>
  <c r="P333" i="2"/>
  <c r="Q333" i="2" s="1"/>
  <c r="P341" i="2"/>
  <c r="Q341" i="2" s="1"/>
  <c r="P349" i="2"/>
  <c r="Q349" i="2" s="1"/>
  <c r="P357" i="2"/>
  <c r="Q357" i="2" s="1"/>
  <c r="E526" i="3"/>
  <c r="P124" i="3"/>
  <c r="Q124" i="3" s="1"/>
  <c r="P10" i="3"/>
  <c r="Q10" i="3" s="1"/>
  <c r="P14" i="3"/>
  <c r="Q14" i="3" s="1"/>
  <c r="P18" i="3"/>
  <c r="Q18" i="3" s="1"/>
  <c r="P64" i="3"/>
  <c r="Q64" i="3" s="1"/>
  <c r="P112" i="3"/>
  <c r="Q112" i="3" s="1"/>
  <c r="P125" i="3"/>
  <c r="Q125" i="3" s="1"/>
  <c r="P159" i="3"/>
  <c r="Q159" i="3" s="1"/>
  <c r="P161" i="3"/>
  <c r="Q161" i="3" s="1"/>
  <c r="P258" i="3"/>
  <c r="Q258" i="3" s="1"/>
  <c r="P260" i="3"/>
  <c r="Q260" i="3" s="1"/>
  <c r="P372" i="3"/>
  <c r="Q372" i="3" s="1"/>
  <c r="P399" i="3"/>
  <c r="Q399" i="3" s="1"/>
  <c r="P400" i="3"/>
  <c r="Q400" i="3" s="1"/>
  <c r="P404" i="3"/>
  <c r="Q404" i="3" s="1"/>
  <c r="P405" i="3"/>
  <c r="Q405" i="3" s="1"/>
  <c r="P406" i="3"/>
  <c r="Q406" i="3" s="1"/>
  <c r="P4" i="3"/>
  <c r="Q4" i="3" s="1"/>
  <c r="P8" i="3"/>
  <c r="Q8" i="3" s="1"/>
  <c r="P20" i="3"/>
  <c r="Q20" i="3" s="1"/>
  <c r="P25" i="3"/>
  <c r="Q25" i="3" s="1"/>
  <c r="P39" i="3"/>
  <c r="Q39" i="3" s="1"/>
  <c r="P47" i="3"/>
  <c r="Q47" i="3" s="1"/>
  <c r="P50" i="3"/>
  <c r="Q50" i="3" s="1"/>
  <c r="P51" i="3"/>
  <c r="Q51" i="3" s="1"/>
  <c r="P53" i="3"/>
  <c r="Q53" i="3" s="1"/>
  <c r="P54" i="3"/>
  <c r="Q54" i="3" s="1"/>
  <c r="P70" i="3"/>
  <c r="Q70" i="3" s="1"/>
  <c r="P74" i="3"/>
  <c r="Q74" i="3" s="1"/>
  <c r="P95" i="3"/>
  <c r="Q95" i="3" s="1"/>
  <c r="P115" i="3"/>
  <c r="Q115" i="3" s="1"/>
  <c r="P117" i="3"/>
  <c r="Q117" i="3" s="1"/>
  <c r="P131" i="3"/>
  <c r="Q131" i="3" s="1"/>
  <c r="P138" i="3"/>
  <c r="Q138" i="3" s="1"/>
  <c r="P143" i="3"/>
  <c r="Q143" i="3" s="1"/>
  <c r="P178" i="3"/>
  <c r="Q178" i="3" s="1"/>
  <c r="P183" i="3"/>
  <c r="Q183" i="3" s="1"/>
  <c r="P185" i="3"/>
  <c r="Q185" i="3" s="1"/>
  <c r="P186" i="3"/>
  <c r="Q186" i="3" s="1"/>
  <c r="P288" i="3"/>
  <c r="Q288" i="3" s="1"/>
  <c r="P292" i="3"/>
  <c r="Q292" i="3" s="1"/>
  <c r="P316" i="3"/>
  <c r="Q316" i="3" s="1"/>
  <c r="P322" i="3"/>
  <c r="Q322" i="3" s="1"/>
  <c r="P326" i="3"/>
  <c r="Q326" i="3" s="1"/>
  <c r="P11" i="3"/>
  <c r="Q11" i="3" s="1"/>
  <c r="P15" i="3"/>
  <c r="Q15" i="3" s="1"/>
  <c r="P24" i="3"/>
  <c r="Q24" i="3" s="1"/>
  <c r="P43" i="3"/>
  <c r="Q43" i="3" s="1"/>
  <c r="P46" i="3"/>
  <c r="Q46" i="3" s="1"/>
  <c r="P65" i="3"/>
  <c r="Q65" i="3" s="1"/>
  <c r="P69" i="3"/>
  <c r="Q69" i="3" s="1"/>
  <c r="P73" i="3"/>
  <c r="Q73" i="3" s="1"/>
  <c r="P90" i="3"/>
  <c r="Q90" i="3" s="1"/>
  <c r="P130" i="3"/>
  <c r="Q130" i="3" s="1"/>
  <c r="P137" i="3"/>
  <c r="Q137" i="3" s="1"/>
  <c r="P153" i="3"/>
  <c r="Q153" i="3" s="1"/>
  <c r="P177" i="3"/>
  <c r="Q177" i="3" s="1"/>
  <c r="P280" i="3"/>
  <c r="Q280" i="3" s="1"/>
  <c r="P283" i="3"/>
  <c r="Q283" i="3" s="1"/>
  <c r="P312" i="3"/>
  <c r="Q312" i="3" s="1"/>
  <c r="P314" i="3"/>
  <c r="Q314" i="3" s="1"/>
  <c r="P346" i="3"/>
  <c r="Q346" i="3" s="1"/>
  <c r="P352" i="3"/>
  <c r="Q352" i="3" s="1"/>
  <c r="P366" i="3"/>
  <c r="Q366" i="3" s="1"/>
  <c r="P388" i="3"/>
  <c r="Q388" i="3" s="1"/>
  <c r="P417" i="3"/>
  <c r="Q417" i="3" s="1"/>
  <c r="P232" i="3"/>
  <c r="Q232" i="3" s="1"/>
  <c r="P284" i="3"/>
  <c r="Q284" i="3" s="1"/>
  <c r="P287" i="3"/>
  <c r="Q287" i="3" s="1"/>
  <c r="P301" i="3"/>
  <c r="Q301" i="3" s="1"/>
  <c r="P315" i="3"/>
  <c r="Q315" i="3" s="1"/>
  <c r="P21" i="3"/>
  <c r="Q21" i="3" s="1"/>
  <c r="P28" i="3"/>
  <c r="Q28" i="3" s="1"/>
  <c r="P31" i="3"/>
  <c r="Q31" i="3" s="1"/>
  <c r="P33" i="3"/>
  <c r="Q33" i="3" s="1"/>
  <c r="P37" i="3"/>
  <c r="Q37" i="3" s="1"/>
  <c r="P56" i="3"/>
  <c r="Q56" i="3" s="1"/>
  <c r="P57" i="3"/>
  <c r="Q57" i="3" s="1"/>
  <c r="P62" i="3"/>
  <c r="Q62" i="3" s="1"/>
  <c r="P63" i="3"/>
  <c r="Q63" i="3" s="1"/>
  <c r="P67" i="3"/>
  <c r="Q67" i="3" s="1"/>
  <c r="P71" i="3"/>
  <c r="Q71" i="3" s="1"/>
  <c r="P79" i="3"/>
  <c r="Q79" i="3" s="1"/>
  <c r="P85" i="3"/>
  <c r="Q85" i="3" s="1"/>
  <c r="P100" i="3"/>
  <c r="Q100" i="3" s="1"/>
  <c r="P107" i="3"/>
  <c r="Q107" i="3" s="1"/>
  <c r="P119" i="3"/>
  <c r="Q119" i="3" s="1"/>
  <c r="P126" i="3"/>
  <c r="Q126" i="3" s="1"/>
  <c r="P127" i="3"/>
  <c r="Q127" i="3" s="1"/>
  <c r="P133" i="3"/>
  <c r="Q133" i="3" s="1"/>
  <c r="P140" i="3"/>
  <c r="Q140" i="3" s="1"/>
  <c r="P147" i="3"/>
  <c r="Q147" i="3" s="1"/>
  <c r="P163" i="3"/>
  <c r="Q163" i="3" s="1"/>
  <c r="P166" i="3"/>
  <c r="Q166" i="3" s="1"/>
  <c r="P169" i="3"/>
  <c r="Q169" i="3" s="1"/>
  <c r="P171" i="3"/>
  <c r="Q171" i="3" s="1"/>
  <c r="P173" i="3"/>
  <c r="Q173" i="3" s="1"/>
  <c r="P180" i="3"/>
  <c r="Q180" i="3" s="1"/>
  <c r="P190" i="3"/>
  <c r="Q190" i="3" s="1"/>
  <c r="P193" i="3"/>
  <c r="Q193" i="3" s="1"/>
  <c r="P194" i="3"/>
  <c r="Q194" i="3" s="1"/>
  <c r="P206" i="3"/>
  <c r="Q206" i="3" s="1"/>
  <c r="P212" i="3"/>
  <c r="Q212" i="3" s="1"/>
  <c r="P215" i="3"/>
  <c r="Q215" i="3" s="1"/>
  <c r="P216" i="3"/>
  <c r="Q216" i="3" s="1"/>
  <c r="P225" i="3"/>
  <c r="Q225" i="3" s="1"/>
  <c r="P229" i="3"/>
  <c r="Q229" i="3" s="1"/>
  <c r="P234" i="3"/>
  <c r="Q234" i="3" s="1"/>
  <c r="P239" i="3"/>
  <c r="Q239" i="3" s="1"/>
  <c r="P243" i="3"/>
  <c r="Q243" i="3" s="1"/>
  <c r="P255" i="3"/>
  <c r="Q255" i="3" s="1"/>
  <c r="P257" i="3"/>
  <c r="Q257" i="3" s="1"/>
  <c r="P270" i="3"/>
  <c r="Q270" i="3" s="1"/>
  <c r="P276" i="3"/>
  <c r="Q276" i="3" s="1"/>
  <c r="P278" i="3"/>
  <c r="Q278" i="3" s="1"/>
  <c r="P289" i="3"/>
  <c r="Q289" i="3" s="1"/>
  <c r="P298" i="3"/>
  <c r="Q298" i="3" s="1"/>
  <c r="P308" i="3"/>
  <c r="Q308" i="3" s="1"/>
  <c r="P310" i="3"/>
  <c r="Q310" i="3" s="1"/>
  <c r="P323" i="3"/>
  <c r="Q323" i="3" s="1"/>
  <c r="P328" i="3"/>
  <c r="Q328" i="3" s="1"/>
  <c r="P334" i="3"/>
  <c r="Q334" i="3" s="1"/>
  <c r="P341" i="3"/>
  <c r="Q341" i="3" s="1"/>
  <c r="P348" i="3"/>
  <c r="Q348" i="3" s="1"/>
  <c r="P354" i="3"/>
  <c r="Q354" i="3" s="1"/>
  <c r="P362" i="3"/>
  <c r="Q362" i="3" s="1"/>
  <c r="P368" i="3"/>
  <c r="Q368" i="3" s="1"/>
  <c r="P369" i="3"/>
  <c r="Q369" i="3" s="1"/>
  <c r="P371" i="3"/>
  <c r="Q371" i="3" s="1"/>
  <c r="P374" i="3"/>
  <c r="Q374" i="3" s="1"/>
  <c r="P385" i="3"/>
  <c r="Q385" i="3" s="1"/>
  <c r="P390" i="3"/>
  <c r="Q390" i="3" s="1"/>
  <c r="P419" i="3"/>
  <c r="Q419" i="3" s="1"/>
  <c r="P420" i="3"/>
  <c r="Q420" i="3" s="1"/>
  <c r="P427" i="3"/>
  <c r="Q427" i="3" s="1"/>
  <c r="P428" i="3"/>
  <c r="Q428" i="3" s="1"/>
  <c r="P436" i="3"/>
  <c r="Q436" i="3" s="1"/>
  <c r="P437" i="3"/>
  <c r="Q437" i="3" s="1"/>
  <c r="P438" i="3"/>
  <c r="Q438" i="3" s="1"/>
  <c r="P447" i="3"/>
  <c r="Q447" i="3" s="1"/>
  <c r="P448" i="3"/>
  <c r="Q448" i="3" s="1"/>
  <c r="P456" i="3"/>
  <c r="Q456" i="3" s="1"/>
  <c r="P30" i="3"/>
  <c r="Q30" i="3" s="1"/>
  <c r="P35" i="3"/>
  <c r="Q35" i="3" s="1"/>
  <c r="P59" i="3"/>
  <c r="Q59" i="3" s="1"/>
  <c r="P60" i="3"/>
  <c r="Q60" i="3" s="1"/>
  <c r="P77" i="3"/>
  <c r="Q77" i="3" s="1"/>
  <c r="P83" i="3"/>
  <c r="Q83" i="3" s="1"/>
  <c r="P109" i="3"/>
  <c r="Q109" i="3" s="1"/>
  <c r="P121" i="3"/>
  <c r="Q121" i="3" s="1"/>
  <c r="P129" i="3"/>
  <c r="Q129" i="3" s="1"/>
  <c r="P158" i="3"/>
  <c r="Q158" i="3" s="1"/>
  <c r="P167" i="3"/>
  <c r="Q167" i="3" s="1"/>
  <c r="H479" i="3"/>
  <c r="P5" i="3"/>
  <c r="Q5" i="3" s="1"/>
  <c r="P9" i="3"/>
  <c r="Q9" i="3" s="1"/>
  <c r="P80" i="3"/>
  <c r="Q80" i="3" s="1"/>
  <c r="P113" i="3"/>
  <c r="Q113" i="3" s="1"/>
  <c r="P162" i="3"/>
  <c r="Q162" i="3" s="1"/>
  <c r="P174" i="3"/>
  <c r="Q174" i="3" s="1"/>
  <c r="P188" i="3"/>
  <c r="Q188" i="3" s="1"/>
  <c r="P40" i="3"/>
  <c r="Q40" i="3" s="1"/>
  <c r="P52" i="3"/>
  <c r="Q52" i="3" s="1"/>
  <c r="P78" i="3"/>
  <c r="Q78" i="3" s="1"/>
  <c r="P91" i="3"/>
  <c r="Q91" i="3" s="1"/>
  <c r="P114" i="3"/>
  <c r="Q114" i="3" s="1"/>
  <c r="P156" i="3"/>
  <c r="Q156" i="3" s="1"/>
  <c r="P165" i="3"/>
  <c r="Q165" i="3" s="1"/>
  <c r="P197" i="3"/>
  <c r="Q197" i="3" s="1"/>
  <c r="P207" i="3"/>
  <c r="Q207" i="3" s="1"/>
  <c r="P208" i="3"/>
  <c r="Q208" i="3" s="1"/>
  <c r="P233" i="3"/>
  <c r="Q233" i="3" s="1"/>
  <c r="P238" i="3"/>
  <c r="Q238" i="3" s="1"/>
  <c r="P76" i="3"/>
  <c r="Q76" i="3" s="1"/>
  <c r="P93" i="3"/>
  <c r="Q93" i="3" s="1"/>
  <c r="P118" i="3"/>
  <c r="Q118" i="3" s="1"/>
  <c r="P120" i="3"/>
  <c r="Q120" i="3" s="1"/>
  <c r="P128" i="3"/>
  <c r="Q128" i="3" s="1"/>
  <c r="P139" i="3"/>
  <c r="Q139" i="3" s="1"/>
  <c r="P191" i="3"/>
  <c r="Q191" i="3" s="1"/>
  <c r="P202" i="3"/>
  <c r="Q202" i="3" s="1"/>
  <c r="P203" i="3"/>
  <c r="Q203" i="3" s="1"/>
  <c r="P213" i="3"/>
  <c r="Q213" i="3" s="1"/>
  <c r="P235" i="3"/>
  <c r="Q235" i="3" s="1"/>
  <c r="P200" i="3"/>
  <c r="Q200" i="3" s="1"/>
  <c r="P211" i="3"/>
  <c r="Q211" i="3" s="1"/>
  <c r="P286" i="3"/>
  <c r="Q286" i="3" s="1"/>
  <c r="P407" i="3"/>
  <c r="Q407" i="3" s="1"/>
  <c r="P449" i="3"/>
  <c r="Q449" i="3" s="1"/>
  <c r="Q495" i="3"/>
  <c r="P218" i="3"/>
  <c r="Q218" i="3" s="1"/>
  <c r="P237" i="3"/>
  <c r="Q237" i="3" s="1"/>
  <c r="P247" i="3"/>
  <c r="Q247" i="3" s="1"/>
  <c r="P282" i="3"/>
  <c r="Q282" i="3" s="1"/>
  <c r="P319" i="3"/>
  <c r="Q319" i="3" s="1"/>
  <c r="P353" i="3"/>
  <c r="Q353" i="3" s="1"/>
  <c r="P365" i="3"/>
  <c r="Q365" i="3" s="1"/>
  <c r="P394" i="3"/>
  <c r="Q394" i="3" s="1"/>
  <c r="P401" i="3"/>
  <c r="Q401" i="3" s="1"/>
  <c r="P455" i="3"/>
  <c r="Q455" i="3" s="1"/>
  <c r="P504" i="3"/>
  <c r="H504" i="3"/>
  <c r="M526" i="3"/>
  <c r="P451" i="3"/>
  <c r="Q451" i="3" s="1"/>
  <c r="P454" i="3"/>
  <c r="Q454" i="3" s="1"/>
  <c r="P457" i="3"/>
  <c r="Q457" i="3" s="1"/>
  <c r="P473" i="3"/>
  <c r="Q473" i="3" s="1"/>
  <c r="Q497" i="3"/>
  <c r="H525" i="3"/>
  <c r="P423" i="3"/>
  <c r="Q423" i="3" s="1"/>
  <c r="P424" i="3"/>
  <c r="Q424" i="3" s="1"/>
  <c r="P425" i="3"/>
  <c r="Q425" i="3" s="1"/>
  <c r="P460" i="3"/>
  <c r="Q460" i="3" s="1"/>
  <c r="P461" i="3"/>
  <c r="Q461" i="3" s="1"/>
  <c r="I504" i="3"/>
  <c r="I525" i="3"/>
  <c r="D526" i="3"/>
  <c r="Q516" i="3"/>
  <c r="O479" i="3"/>
  <c r="O526" i="3" s="1"/>
  <c r="L479" i="3"/>
  <c r="L526" i="3" s="1"/>
  <c r="P6" i="3"/>
  <c r="Q525" i="2" l="1"/>
  <c r="Q504" i="2"/>
  <c r="Q504" i="3"/>
  <c r="Q525" i="3"/>
  <c r="I504" i="2"/>
  <c r="P479" i="3"/>
  <c r="P526" i="3" s="1"/>
  <c r="H526" i="3"/>
  <c r="I526" i="3"/>
  <c r="Q6" i="3"/>
  <c r="Q479" i="3" s="1"/>
  <c r="Q526" i="3" l="1"/>
  <c r="O4" i="2"/>
  <c r="O479" i="2" s="1"/>
  <c r="O526" i="2" s="1"/>
  <c r="L4" i="2"/>
  <c r="L479" i="2" s="1"/>
  <c r="L526" i="2" s="1"/>
  <c r="D479" i="2"/>
  <c r="D526" i="2" s="1"/>
  <c r="P4" i="2" l="1"/>
  <c r="P479" i="2" s="1"/>
  <c r="P526" i="2" s="1"/>
  <c r="H4" i="2"/>
  <c r="I4" i="2" s="1"/>
  <c r="H479" i="2" l="1"/>
  <c r="H526" i="2" s="1"/>
  <c r="I479" i="2"/>
  <c r="I526" i="2" s="1"/>
  <c r="Q4" i="2"/>
  <c r="Q479" i="2" s="1"/>
  <c r="Q526" i="2" s="1"/>
</calcChain>
</file>

<file path=xl/sharedStrings.xml><?xml version="1.0" encoding="utf-8"?>
<sst xmlns="http://schemas.openxmlformats.org/spreadsheetml/2006/main" count="3081" uniqueCount="474">
  <si>
    <t>BAGIAN PROCESSING</t>
  </si>
  <si>
    <t>BAGIAN KANTOR TU</t>
  </si>
  <si>
    <t>aggt</t>
  </si>
  <si>
    <t>Nama</t>
  </si>
  <si>
    <t>Alamat</t>
  </si>
  <si>
    <t>jml susu</t>
  </si>
  <si>
    <t>jml harga</t>
  </si>
  <si>
    <t>Tunggakan</t>
  </si>
  <si>
    <t>Sp.Feed</t>
  </si>
  <si>
    <t>Smp wajib</t>
  </si>
  <si>
    <t>USP</t>
  </si>
  <si>
    <t>SHR</t>
  </si>
  <si>
    <t>Juml Pot</t>
  </si>
  <si>
    <t>Sisa diterima</t>
  </si>
  <si>
    <t>TTD</t>
  </si>
  <si>
    <t>SUWOTO</t>
  </si>
  <si>
    <t>TRECEH</t>
  </si>
  <si>
    <t>PETAK</t>
  </si>
  <si>
    <t>SUKIS</t>
  </si>
  <si>
    <t>KEMIRI</t>
  </si>
  <si>
    <t>P. SAMAT</t>
  </si>
  <si>
    <t>MLIGI</t>
  </si>
  <si>
    <t>ROSADI</t>
  </si>
  <si>
    <t>WRGUNUNG</t>
  </si>
  <si>
    <t>GUNARSO</t>
  </si>
  <si>
    <t>CLAKET</t>
  </si>
  <si>
    <t>SUPARLAN</t>
  </si>
  <si>
    <t>H. DOLLAH</t>
  </si>
  <si>
    <t>SUNARDI</t>
  </si>
  <si>
    <t>KAMED</t>
  </si>
  <si>
    <t>BARAAN</t>
  </si>
  <si>
    <t>SUPARMAN</t>
  </si>
  <si>
    <t>PRAYIT</t>
  </si>
  <si>
    <t>BAMB/KASLIM</t>
  </si>
  <si>
    <t>DIONO</t>
  </si>
  <si>
    <t>KASLAN</t>
  </si>
  <si>
    <t>CEMBOR</t>
  </si>
  <si>
    <t>H.SAMADI</t>
  </si>
  <si>
    <t>DAIM</t>
  </si>
  <si>
    <t>TARKIM</t>
  </si>
  <si>
    <t>SAMAD</t>
  </si>
  <si>
    <t>SAURI</t>
  </si>
  <si>
    <t>LASEM</t>
  </si>
  <si>
    <t>SOSO</t>
  </si>
  <si>
    <t>PURWANTO</t>
  </si>
  <si>
    <t>POYO</t>
  </si>
  <si>
    <t>JUWARI</t>
  </si>
  <si>
    <t>KAMBENGAN</t>
  </si>
  <si>
    <t>SLAMET</t>
  </si>
  <si>
    <t>WAWAN</t>
  </si>
  <si>
    <t>JUMADI</t>
  </si>
  <si>
    <t>WARSIM</t>
  </si>
  <si>
    <t>CEP.LIMO</t>
  </si>
  <si>
    <t>BUARI</t>
  </si>
  <si>
    <t>PASINAN</t>
  </si>
  <si>
    <t>DAIB</t>
  </si>
  <si>
    <t>PONIDI</t>
  </si>
  <si>
    <t>MAHFUT</t>
  </si>
  <si>
    <t>JUKARTONO</t>
  </si>
  <si>
    <t>PONIMAN</t>
  </si>
  <si>
    <t xml:space="preserve">SUPARNO </t>
  </si>
  <si>
    <t>DARMO</t>
  </si>
  <si>
    <t>ALI</t>
  </si>
  <si>
    <t>LASMADI</t>
  </si>
  <si>
    <t>H. IMAM ASNANI</t>
  </si>
  <si>
    <t>SHOLIKIN</t>
  </si>
  <si>
    <t>H. AMIEN</t>
  </si>
  <si>
    <t>SUPARDI</t>
  </si>
  <si>
    <t>YAHDI</t>
  </si>
  <si>
    <t>KASDI</t>
  </si>
  <si>
    <t>PUJI</t>
  </si>
  <si>
    <t>S.ARIF</t>
  </si>
  <si>
    <t>KATAMAN</t>
  </si>
  <si>
    <t>RUSMAN</t>
  </si>
  <si>
    <t>WARNO</t>
  </si>
  <si>
    <t>RUMAN</t>
  </si>
  <si>
    <t>RHOKIM</t>
  </si>
  <si>
    <t>SAIIN</t>
  </si>
  <si>
    <t>KARTONO</t>
  </si>
  <si>
    <t>P. SAMEN</t>
  </si>
  <si>
    <t>P. HUDI</t>
  </si>
  <si>
    <t>BUNALI</t>
  </si>
  <si>
    <t>PACET</t>
  </si>
  <si>
    <t>TARJAN</t>
  </si>
  <si>
    <t>LULUK</t>
  </si>
  <si>
    <t>KARMA'I</t>
  </si>
  <si>
    <t>WASIR</t>
  </si>
  <si>
    <t>NASKAT</t>
  </si>
  <si>
    <t>SUDAR</t>
  </si>
  <si>
    <t>YATMAN</t>
  </si>
  <si>
    <t>MURKAN</t>
  </si>
  <si>
    <t>WARSITO</t>
  </si>
  <si>
    <t>M. SYAIPUDIN</t>
  </si>
  <si>
    <t>MAS DUKI</t>
  </si>
  <si>
    <t>TA'IB</t>
  </si>
  <si>
    <t>WULYADI</t>
  </si>
  <si>
    <t>LANJONO</t>
  </si>
  <si>
    <t>NURALI</t>
  </si>
  <si>
    <t>ASPAR</t>
  </si>
  <si>
    <t>SAMAN</t>
  </si>
  <si>
    <t>IMAM .M</t>
  </si>
  <si>
    <t>JITO</t>
  </si>
  <si>
    <t>KASTAMI</t>
  </si>
  <si>
    <t>SARMAN</t>
  </si>
  <si>
    <t>KASEMAN</t>
  </si>
  <si>
    <t>SUNARIYO</t>
  </si>
  <si>
    <t>SALIYO</t>
  </si>
  <si>
    <t>DONO</t>
  </si>
  <si>
    <t>SUWITO</t>
  </si>
  <si>
    <t>SUMONO</t>
  </si>
  <si>
    <t>SHOLIKAN</t>
  </si>
  <si>
    <t>SAFAAT</t>
  </si>
  <si>
    <t>WARDI</t>
  </si>
  <si>
    <t xml:space="preserve">PONIMIN </t>
  </si>
  <si>
    <t>YUDI</t>
  </si>
  <si>
    <t>PARLAN/P.WIT</t>
  </si>
  <si>
    <t>HERI</t>
  </si>
  <si>
    <t>WAHAB</t>
  </si>
  <si>
    <t>SAIFUL</t>
  </si>
  <si>
    <t>DARMAJI</t>
  </si>
  <si>
    <t>SAUNTUNG</t>
  </si>
  <si>
    <t>RIANTO</t>
  </si>
  <si>
    <t>SUMADI</t>
  </si>
  <si>
    <t>KOJIN/SUHER</t>
  </si>
  <si>
    <t>SA`I</t>
  </si>
  <si>
    <t>SAMPIYO</t>
  </si>
  <si>
    <t>SUMALI</t>
  </si>
  <si>
    <t>KASMAN</t>
  </si>
  <si>
    <t>SOLEH</t>
  </si>
  <si>
    <t>SURAT</t>
  </si>
  <si>
    <t>SUTONO</t>
  </si>
  <si>
    <t>GIMIN</t>
  </si>
  <si>
    <t>NGARI</t>
  </si>
  <si>
    <t>KASBI</t>
  </si>
  <si>
    <t>MISTAR</t>
  </si>
  <si>
    <t>JAYUS</t>
  </si>
  <si>
    <t>DARTO</t>
  </si>
  <si>
    <t>TAKIM</t>
  </si>
  <si>
    <t>SEMBUNG</t>
  </si>
  <si>
    <t>TAYIB</t>
  </si>
  <si>
    <t>PURNADI</t>
  </si>
  <si>
    <t>MATASAN</t>
  </si>
  <si>
    <t>SUPRIYO</t>
  </si>
  <si>
    <t>KARJONO</t>
  </si>
  <si>
    <t>NGATMINAH</t>
  </si>
  <si>
    <t>SUPARTONO</t>
  </si>
  <si>
    <t>NARIAMAN</t>
  </si>
  <si>
    <t>KUSWANTO</t>
  </si>
  <si>
    <t>SARNAWI</t>
  </si>
  <si>
    <t>KASIR</t>
  </si>
  <si>
    <t>SUWAJI</t>
  </si>
  <si>
    <t>WULYONO</t>
  </si>
  <si>
    <t>B. LADI</t>
  </si>
  <si>
    <t>NGATEMEN</t>
  </si>
  <si>
    <t>AGUNG</t>
  </si>
  <si>
    <t>KUSWARI</t>
  </si>
  <si>
    <t>LASMARI</t>
  </si>
  <si>
    <t>KUSNADI</t>
  </si>
  <si>
    <t>JIKAN</t>
  </si>
  <si>
    <t>PIYANTO</t>
  </si>
  <si>
    <t>RIDUAN</t>
  </si>
  <si>
    <t>KARIANI</t>
  </si>
  <si>
    <t>TISNI/P. KAMIN</t>
  </si>
  <si>
    <t>ROKIM</t>
  </si>
  <si>
    <t xml:space="preserve">KASAN </t>
  </si>
  <si>
    <t>NYAMAT</t>
  </si>
  <si>
    <t>KARNITI</t>
  </si>
  <si>
    <t>GIRIN</t>
  </si>
  <si>
    <t>SUPADI</t>
  </si>
  <si>
    <t>SUROSO</t>
  </si>
  <si>
    <t>SUYAT</t>
  </si>
  <si>
    <t>WAGIMIN</t>
  </si>
  <si>
    <t>NUR HADI</t>
  </si>
  <si>
    <t>SONI</t>
  </si>
  <si>
    <t>SADI</t>
  </si>
  <si>
    <t>MISLAN</t>
  </si>
  <si>
    <t>PARNO</t>
  </si>
  <si>
    <t>SULIYAN</t>
  </si>
  <si>
    <t>NUR KOLIS</t>
  </si>
  <si>
    <t>KASNAWI</t>
  </si>
  <si>
    <t>KASIALI</t>
  </si>
  <si>
    <t>SUTARNO</t>
  </si>
  <si>
    <t>WARDOYO</t>
  </si>
  <si>
    <t>GIMAN</t>
  </si>
  <si>
    <t>JAMUR</t>
  </si>
  <si>
    <t>SUWARNO</t>
  </si>
  <si>
    <t>MRASEH</t>
  </si>
  <si>
    <t>WULIONO</t>
  </si>
  <si>
    <t>KUCUR</t>
  </si>
  <si>
    <t>KHOIRUL M</t>
  </si>
  <si>
    <t>KAULAN</t>
  </si>
  <si>
    <t>SUMARNO</t>
  </si>
  <si>
    <t>IMRON</t>
  </si>
  <si>
    <t>SOKIB</t>
  </si>
  <si>
    <t>KARANGSARI</t>
  </si>
  <si>
    <t>SUTRISNO</t>
  </si>
  <si>
    <t>PROBO</t>
  </si>
  <si>
    <t>SAMPORNO</t>
  </si>
  <si>
    <t>DARNO</t>
  </si>
  <si>
    <t>KAMIN</t>
  </si>
  <si>
    <t>PURNOMO</t>
  </si>
  <si>
    <t>NGADIYO PANUT</t>
  </si>
  <si>
    <t>PRIYADI</t>
  </si>
  <si>
    <t>RAJI</t>
  </si>
  <si>
    <t>JOKO</t>
  </si>
  <si>
    <t>HADI UTOMO</t>
  </si>
  <si>
    <t>SUIL</t>
  </si>
  <si>
    <t>MURYADI</t>
  </si>
  <si>
    <t>LAIMIN</t>
  </si>
  <si>
    <t>ULIATI</t>
  </si>
  <si>
    <t>AMAT</t>
  </si>
  <si>
    <t>WARJI</t>
  </si>
  <si>
    <t>PARMAN</t>
  </si>
  <si>
    <t>MUSTAKIM</t>
  </si>
  <si>
    <t>SUKARI</t>
  </si>
  <si>
    <t>SUWARI</t>
  </si>
  <si>
    <t>SAIMAN</t>
  </si>
  <si>
    <t>WARSAN</t>
  </si>
  <si>
    <t>KUSNANTO</t>
  </si>
  <si>
    <t>SULIK</t>
  </si>
  <si>
    <t>SUKIR</t>
  </si>
  <si>
    <t>TONIFUL</t>
  </si>
  <si>
    <t>SUWANDI</t>
  </si>
  <si>
    <t>TISNI</t>
  </si>
  <si>
    <t>KAIMAN</t>
  </si>
  <si>
    <t>PURWNTO</t>
  </si>
  <si>
    <t>NURIL</t>
  </si>
  <si>
    <t>KARJI</t>
  </si>
  <si>
    <t>B. SUKADI</t>
  </si>
  <si>
    <t>SUKADI</t>
  </si>
  <si>
    <t>SODIK</t>
  </si>
  <si>
    <t>KASMADI</t>
  </si>
  <si>
    <t>SUPRI</t>
  </si>
  <si>
    <t xml:space="preserve">NGADI </t>
  </si>
  <si>
    <t>JAMIL</t>
  </si>
  <si>
    <t>SUWADI</t>
  </si>
  <si>
    <t>KASNAN</t>
  </si>
  <si>
    <t>KASNALI</t>
  </si>
  <si>
    <t>SUGI</t>
  </si>
  <si>
    <t>KARDI</t>
  </si>
  <si>
    <t>KASERI</t>
  </si>
  <si>
    <t>KHOIRUL</t>
  </si>
  <si>
    <t>SUKIYONO</t>
  </si>
  <si>
    <t>SA'IMAN</t>
  </si>
  <si>
    <t>NGADI</t>
  </si>
  <si>
    <t>WARTO</t>
  </si>
  <si>
    <t>JUMAIN</t>
  </si>
  <si>
    <t>H. JAMAL</t>
  </si>
  <si>
    <t>WINANTO</t>
  </si>
  <si>
    <t>TAJIB</t>
  </si>
  <si>
    <t>KASBU</t>
  </si>
  <si>
    <t>SUMANTRI</t>
  </si>
  <si>
    <t>PAIDI</t>
  </si>
  <si>
    <t>MULIYONO</t>
  </si>
  <si>
    <t>SAPA`I</t>
  </si>
  <si>
    <t>JA'I</t>
  </si>
  <si>
    <t>SUNYOTO</t>
  </si>
  <si>
    <t>SALI</t>
  </si>
  <si>
    <t>CEMP.LIMO</t>
  </si>
  <si>
    <t>PONADI</t>
  </si>
  <si>
    <t>KOHAR</t>
  </si>
  <si>
    <t>JOYO</t>
  </si>
  <si>
    <t>SANPURI</t>
  </si>
  <si>
    <t>BUDI</t>
  </si>
  <si>
    <t>NANANG</t>
  </si>
  <si>
    <t>KASPAN</t>
  </si>
  <si>
    <t>KARMUDI</t>
  </si>
  <si>
    <t>SOPI'I</t>
  </si>
  <si>
    <t>KADERI</t>
  </si>
  <si>
    <t>IRWANTO</t>
  </si>
  <si>
    <t>PARIANTO</t>
  </si>
  <si>
    <t>SOKIEB</t>
  </si>
  <si>
    <t>IMAM</t>
  </si>
  <si>
    <t>SAUN</t>
  </si>
  <si>
    <t>TAJI</t>
  </si>
  <si>
    <t>PAIMIN</t>
  </si>
  <si>
    <t>KUSNAN</t>
  </si>
  <si>
    <t>MISDIONO</t>
  </si>
  <si>
    <t>TARUMAN</t>
  </si>
  <si>
    <t>ANTO</t>
  </si>
  <si>
    <t>KHOLIK</t>
  </si>
  <si>
    <t>WINARTO</t>
  </si>
  <si>
    <t>KARIMAN</t>
  </si>
  <si>
    <t>PATEMAN</t>
  </si>
  <si>
    <t>PAIMAN</t>
  </si>
  <si>
    <t>KAWI</t>
  </si>
  <si>
    <t>YUNUS</t>
  </si>
  <si>
    <t>H. TARMUJI</t>
  </si>
  <si>
    <t>SAPARTO</t>
  </si>
  <si>
    <t>SAMPUN</t>
  </si>
  <si>
    <t>MADE</t>
  </si>
  <si>
    <t>KASPIN</t>
  </si>
  <si>
    <t>MISKAN</t>
  </si>
  <si>
    <t>JUMERI</t>
  </si>
  <si>
    <t>USMAN</t>
  </si>
  <si>
    <t>PINGI</t>
  </si>
  <si>
    <t>H. SULIONO</t>
  </si>
  <si>
    <t>SUMANTO</t>
  </si>
  <si>
    <t>SAMAT</t>
  </si>
  <si>
    <t>ANANG</t>
  </si>
  <si>
    <t>TUMEN</t>
  </si>
  <si>
    <t>BUDIMAN</t>
  </si>
  <si>
    <t>FAUZAN</t>
  </si>
  <si>
    <t>SUNARLI</t>
  </si>
  <si>
    <t>SHOLEH</t>
  </si>
  <si>
    <t>KAMID</t>
  </si>
  <si>
    <t>ACHMADI</t>
  </si>
  <si>
    <t>LIDA ARINI</t>
  </si>
  <si>
    <t>YANUAR</t>
  </si>
  <si>
    <t>SUTIKNO</t>
  </si>
  <si>
    <t>ROHIB</t>
  </si>
  <si>
    <t>SAMI'AN</t>
  </si>
  <si>
    <t>BAGYO</t>
  </si>
  <si>
    <t>NURHADI</t>
  </si>
  <si>
    <t>LUKMAN</t>
  </si>
  <si>
    <t>MUALIM</t>
  </si>
  <si>
    <t>HUDA</t>
  </si>
  <si>
    <t>ASKAT</t>
  </si>
  <si>
    <t>KARSONO</t>
  </si>
  <si>
    <t>KARTO</t>
  </si>
  <si>
    <t>SUGIK</t>
  </si>
  <si>
    <t>SO'IM</t>
  </si>
  <si>
    <t>MUNIROH</t>
  </si>
  <si>
    <t>DAI</t>
  </si>
  <si>
    <t>KARLIN</t>
  </si>
  <si>
    <t>SARJAN</t>
  </si>
  <si>
    <t>SUYONO</t>
  </si>
  <si>
    <t>IMAM NARTO</t>
  </si>
  <si>
    <t>TASLEM</t>
  </si>
  <si>
    <t>UNTUNG</t>
  </si>
  <si>
    <t>KHOIRON</t>
  </si>
  <si>
    <t>JONI</t>
  </si>
  <si>
    <t>ISNANTO</t>
  </si>
  <si>
    <t>SAMPURNIATI</t>
  </si>
  <si>
    <t>WIYONO</t>
  </si>
  <si>
    <t>M.DJAENAL A</t>
  </si>
  <si>
    <t>SUYANTO</t>
  </si>
  <si>
    <t>SRIANAH</t>
  </si>
  <si>
    <t>BUAMIN</t>
  </si>
  <si>
    <t>MISDI</t>
  </si>
  <si>
    <t>KRISNA</t>
  </si>
  <si>
    <t>SUYITNO</t>
  </si>
  <si>
    <t>SAMAJI</t>
  </si>
  <si>
    <t>DODIK. S</t>
  </si>
  <si>
    <t>ULUM</t>
  </si>
  <si>
    <t>SUTANI</t>
  </si>
  <si>
    <t>ENI</t>
  </si>
  <si>
    <t>RUMADI</t>
  </si>
  <si>
    <t>P. PRAS</t>
  </si>
  <si>
    <t xml:space="preserve">ACHMADI </t>
  </si>
  <si>
    <t>SUGENG</t>
  </si>
  <si>
    <t>ARIS SISWANT</t>
  </si>
  <si>
    <t>SARDI</t>
  </si>
  <si>
    <t>SATEMAN</t>
  </si>
  <si>
    <t>M.ANWAR</t>
  </si>
  <si>
    <t>PRATONO</t>
  </si>
  <si>
    <t>SUHARTONO</t>
  </si>
  <si>
    <t>MUHLASON</t>
  </si>
  <si>
    <t>NGATEMAN</t>
  </si>
  <si>
    <t>TOYIB</t>
  </si>
  <si>
    <t>MOJOKEMB</t>
  </si>
  <si>
    <t>LASMANU</t>
  </si>
  <si>
    <t>GLEWO</t>
  </si>
  <si>
    <t>HERU HARYN</t>
  </si>
  <si>
    <t>PUJIANTOKO</t>
  </si>
  <si>
    <t>HENDRIK</t>
  </si>
  <si>
    <t>WARMIN</t>
  </si>
  <si>
    <t>KATIRAN</t>
  </si>
  <si>
    <t>DURIANTO</t>
  </si>
  <si>
    <t>KASNITI</t>
  </si>
  <si>
    <t>MUJIANTO</t>
  </si>
  <si>
    <t>SURATMAN</t>
  </si>
  <si>
    <t>TRIONO</t>
  </si>
  <si>
    <t>KEMI</t>
  </si>
  <si>
    <t>KARMAN</t>
  </si>
  <si>
    <t xml:space="preserve">PAIMIN </t>
  </si>
  <si>
    <t>SAJEN</t>
  </si>
  <si>
    <t>ARDI SUSANTO</t>
  </si>
  <si>
    <t>DEWI YULIANA</t>
  </si>
  <si>
    <t>LADIANTO</t>
  </si>
  <si>
    <t>RISA ARIS.B</t>
  </si>
  <si>
    <t>SHOIM</t>
  </si>
  <si>
    <t>NUR M. ALI</t>
  </si>
  <si>
    <t>PURBONOTO</t>
  </si>
  <si>
    <t>MARNO</t>
  </si>
  <si>
    <t>NUR KHOLIS</t>
  </si>
  <si>
    <t>DIDIK</t>
  </si>
  <si>
    <t>SULISWANTO</t>
  </si>
  <si>
    <t>RIYADI</t>
  </si>
  <si>
    <t>CIPTO</t>
  </si>
  <si>
    <t>JUMLAH 1</t>
  </si>
  <si>
    <t xml:space="preserve">                                                                  </t>
  </si>
  <si>
    <t>WR GUNUNG</t>
  </si>
  <si>
    <t>JUMLAH 2</t>
  </si>
  <si>
    <t>H.ISWAHYUDI</t>
  </si>
  <si>
    <t>H.JAMARI</t>
  </si>
  <si>
    <t>P.TOMY</t>
  </si>
  <si>
    <t>P.SYAMSUL</t>
  </si>
  <si>
    <t>H.AMIN</t>
  </si>
  <si>
    <t>JUMLAH  3</t>
  </si>
  <si>
    <t xml:space="preserve"> TOTAL 1 + 2 + 3</t>
  </si>
  <si>
    <t xml:space="preserve"> KOPERASI AGRIBISNIS DANA MULYA </t>
  </si>
  <si>
    <t xml:space="preserve"> PENGURUS </t>
  </si>
  <si>
    <t xml:space="preserve"> Hj.HERTANTI </t>
  </si>
  <si>
    <t xml:space="preserve"> BENDAHARA </t>
  </si>
  <si>
    <t>HARTO</t>
  </si>
  <si>
    <t>PEREODE II</t>
  </si>
  <si>
    <t>LOGISTIK</t>
  </si>
  <si>
    <t>P LILIK</t>
  </si>
  <si>
    <t>EDI</t>
  </si>
  <si>
    <t>RULY</t>
  </si>
  <si>
    <t>MUKHLISIN</t>
  </si>
  <si>
    <t>ANDIK</t>
  </si>
  <si>
    <t>K TANI</t>
  </si>
  <si>
    <t>ROZI</t>
  </si>
  <si>
    <t>MISNAN</t>
  </si>
  <si>
    <t>PRAMBON</t>
  </si>
  <si>
    <t>M. SURYA</t>
  </si>
  <si>
    <t>UMAR</t>
  </si>
  <si>
    <t>WARTONO</t>
  </si>
  <si>
    <t>S0S0</t>
  </si>
  <si>
    <t>ROSIDIN</t>
  </si>
  <si>
    <t>YANTO</t>
  </si>
  <si>
    <t>RANDEGAN</t>
  </si>
  <si>
    <t>SAMU'IN</t>
  </si>
  <si>
    <t>P0D0REJO</t>
  </si>
  <si>
    <t xml:space="preserve">SUHARTO </t>
  </si>
  <si>
    <t>BNI</t>
  </si>
  <si>
    <t>Harga dasar</t>
  </si>
  <si>
    <t>BJ/TS</t>
  </si>
  <si>
    <t>MBRT/TPC</t>
  </si>
  <si>
    <t>Jumlah harga</t>
  </si>
  <si>
    <t>Total harga</t>
  </si>
  <si>
    <t>PRASTOWO</t>
  </si>
  <si>
    <t>Total Harga</t>
  </si>
  <si>
    <t>M.YUSUP</t>
  </si>
  <si>
    <t>M.DWI DAYU.N.I</t>
  </si>
  <si>
    <t>YOYOK.P</t>
  </si>
  <si>
    <t>ARIF.F</t>
  </si>
  <si>
    <t>SAIFUL IKHWAN</t>
  </si>
  <si>
    <t>M.RIYANTO</t>
  </si>
  <si>
    <t>ARIS</t>
  </si>
  <si>
    <t>PURNAJI</t>
  </si>
  <si>
    <t>SAMSUDIN</t>
  </si>
  <si>
    <t>ANDRIK</t>
  </si>
  <si>
    <t>TAWAR</t>
  </si>
  <si>
    <t>UDIN</t>
  </si>
  <si>
    <t>WARIMAN</t>
  </si>
  <si>
    <t>SUNAJI</t>
  </si>
  <si>
    <t>BIMA</t>
  </si>
  <si>
    <t>YUSUF</t>
  </si>
  <si>
    <t>PEREODE III</t>
  </si>
  <si>
    <t>DEVI</t>
  </si>
  <si>
    <t>.</t>
  </si>
  <si>
    <t>BARHORI</t>
  </si>
  <si>
    <t>SULIYONO</t>
  </si>
  <si>
    <t>ABDI</t>
  </si>
  <si>
    <t>PEREODE I</t>
  </si>
  <si>
    <t>BASHORI</t>
  </si>
  <si>
    <t>YULI S</t>
  </si>
  <si>
    <t>HAMDI</t>
  </si>
  <si>
    <t>YULI</t>
  </si>
  <si>
    <t>HANDI</t>
  </si>
  <si>
    <t>WONOAYU</t>
  </si>
  <si>
    <t>BRANGKAL</t>
  </si>
  <si>
    <t>KRIAN</t>
  </si>
  <si>
    <t>FARID</t>
  </si>
  <si>
    <t>IDA</t>
  </si>
  <si>
    <t xml:space="preserve"> Pacet,  : 25 JANUARI 2026</t>
  </si>
  <si>
    <t xml:space="preserve"> Pacet,  : 5 FEBRUARI  2026</t>
  </si>
  <si>
    <t xml:space="preserve"> Pacet,  : 15 FEBRUARI 2026</t>
  </si>
  <si>
    <t>PEMBAYARAN SETORAN SUSU  PADA PETERNAK BAGIAN TANGGAL :  01 S / D 10 FEBRUARI 2026</t>
  </si>
  <si>
    <t>PEMBAYARAN SETORAN SUSU  PADA PETERNAK BAGIAN TANGGAL :  11 S / D 20 FEBRUARI 2026</t>
  </si>
  <si>
    <t>PEMBAYARAN SETORAN SUSU  PADA PETERNAK BAGIAN TANGGAL :  21 S / D 31 FEBRUARI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</si>
</sst>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9" x14ac:knownFonts="1">
    <font>
      <sz val="11"/>
      <name val="Calibri"/>
    </font>
    <font>
      <sz val="11"/>
      <color rgb="FF000000"/>
      <name val="Calibri"/>
    </font>
    <font>
      <b/>
      <sz val="14"/>
      <color rgb="FF000000"/>
      <name val="Arial Narrow"/>
    </font>
    <font>
      <sz val="14"/>
      <color rgb="FF000000"/>
      <name val="Arial Narrow"/>
    </font>
    <font>
      <i/>
      <sz val="14"/>
      <color rgb="FF000000"/>
      <name val="Arial Narrow"/>
    </font>
    <font>
      <sz val="10"/>
      <color rgb="FF000000"/>
      <name val="Arial Narrow"/>
    </font>
    <font>
      <sz val="11"/>
      <name val="Arial Narrow"/>
    </font>
    <font>
      <sz val="11"/>
      <color rgb="FF000000"/>
      <name val="Arial Narrow"/>
    </font>
    <font>
      <sz val="10"/>
      <name val="Arial Narrow"/>
    </font>
    <font>
      <sz val="12"/>
      <color rgb="FF000000"/>
      <name val="Arial Narrow"/>
    </font>
    <font>
      <u val="singleAccounting"/>
      <sz val="11"/>
      <name val="Arial Narrow"/>
    </font>
    <font>
      <sz val="11"/>
      <color rgb="FF000000"/>
      <name val="Calibri"/>
      <charset val="1"/>
    </font>
    <font>
      <sz val="11"/>
      <color rgb="FFFF0000"/>
      <name val="Arial Narrow"/>
    </font>
    <font>
      <b/>
      <i/>
      <sz val="11"/>
      <name val="Arial Narrow"/>
    </font>
    <font>
      <sz val="14"/>
      <name val="Arial Narrow"/>
    </font>
    <font>
      <b/>
      <i/>
      <sz val="11"/>
      <color rgb="FF000000"/>
      <name val="Arial Narrow"/>
    </font>
    <font>
      <sz val="11"/>
      <color rgb="FF000000"/>
      <name val="Calibri"/>
    </font>
    <font>
      <i/>
      <sz val="10"/>
      <name val="Arial Narrow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8EB4E2"/>
        <bgColor indexed="64"/>
      </patternFill>
    </fill>
    <fill>
      <patternFill patternType="solid">
        <fgColor rgb="FF948A53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6" fillId="0" borderId="0">
      <protection locked="0"/>
    </xf>
    <xf numFmtId="0" fontId="18" fillId="0" borderId="0">
      <protection locked="0"/>
    </xf>
    <xf numFmtId="41" fontId="16" fillId="0" borderId="0">
      <protection locked="0"/>
    </xf>
    <xf numFmtId="0" fontId="11" fillId="0" borderId="0">
      <protection locked="0"/>
    </xf>
  </cellStyleXfs>
  <cellXfs count="88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3" fillId="0" borderId="0" xfId="1" applyFont="1" applyFill="1" applyBorder="1" applyAlignment="1" applyProtection="1">
      <alignment horizontal="center"/>
    </xf>
    <xf numFmtId="0" fontId="3" fillId="3" borderId="3" xfId="1" applyFont="1" applyFill="1" applyBorder="1" applyAlignment="1" applyProtection="1">
      <alignment horizontal="center"/>
    </xf>
    <xf numFmtId="0" fontId="5" fillId="0" borderId="0" xfId="1" applyFont="1" applyFill="1" applyAlignment="1" applyProtection="1">
      <alignment horizontal="left"/>
    </xf>
    <xf numFmtId="0" fontId="6" fillId="6" borderId="6" xfId="2" applyFont="1" applyFill="1" applyBorder="1" applyAlignment="1" applyProtection="1">
      <alignment horizontal="center" vertical="center"/>
    </xf>
    <xf numFmtId="0" fontId="6" fillId="6" borderId="6" xfId="2" applyFont="1" applyFill="1" applyBorder="1" applyAlignment="1" applyProtection="1">
      <alignment horizontal="left" vertical="center" indent="1"/>
    </xf>
    <xf numFmtId="0" fontId="6" fillId="6" borderId="7" xfId="2" applyFont="1" applyFill="1" applyBorder="1" applyAlignment="1" applyProtection="1">
      <alignment horizontal="left" vertical="center"/>
    </xf>
    <xf numFmtId="0" fontId="7" fillId="6" borderId="7" xfId="1" applyFont="1" applyFill="1" applyBorder="1" applyAlignment="1" applyProtection="1">
      <alignment horizontal="center" vertical="center"/>
    </xf>
    <xf numFmtId="0" fontId="7" fillId="7" borderId="6" xfId="1" applyFont="1" applyFill="1" applyBorder="1" applyAlignment="1" applyProtection="1">
      <alignment horizontal="center" vertical="center"/>
    </xf>
    <xf numFmtId="0" fontId="7" fillId="8" borderId="6" xfId="1" applyFont="1" applyFill="1" applyBorder="1" applyAlignment="1" applyProtection="1">
      <alignment horizontal="center" vertical="center"/>
    </xf>
    <xf numFmtId="0" fontId="7" fillId="2" borderId="6" xfId="1" applyFont="1" applyFill="1" applyBorder="1" applyAlignment="1" applyProtection="1">
      <alignment horizontal="left" vertical="center"/>
    </xf>
    <xf numFmtId="0" fontId="6" fillId="0" borderId="6" xfId="2" applyFont="1" applyFill="1" applyBorder="1" applyAlignment="1" applyProtection="1">
      <alignment horizontal="center" vertical="center"/>
    </xf>
    <xf numFmtId="0" fontId="8" fillId="0" borderId="6" xfId="2" applyFont="1" applyFill="1" applyBorder="1" applyAlignment="1" applyProtection="1">
      <alignment horizontal="left" vertical="center" indent="1"/>
    </xf>
    <xf numFmtId="41" fontId="6" fillId="0" borderId="6" xfId="3" applyFont="1" applyFill="1" applyBorder="1" applyAlignment="1">
      <alignment vertical="center"/>
      <protection locked="0"/>
    </xf>
    <xf numFmtId="41" fontId="7" fillId="0" borderId="6" xfId="3" applyFont="1" applyFill="1" applyBorder="1" applyAlignment="1" applyProtection="1">
      <alignment vertical="center"/>
    </xf>
    <xf numFmtId="41" fontId="7" fillId="0" borderId="6" xfId="3" applyFont="1" applyFill="1" applyBorder="1" applyAlignment="1">
      <alignment vertical="center"/>
      <protection locked="0"/>
    </xf>
    <xf numFmtId="0" fontId="6" fillId="0" borderId="6" xfId="2" applyFont="1" applyFill="1" applyBorder="1" applyAlignment="1" applyProtection="1">
      <alignment horizontal="left" vertical="center"/>
    </xf>
    <xf numFmtId="41" fontId="6" fillId="9" borderId="6" xfId="3" applyFont="1" applyFill="1" applyBorder="1" applyAlignment="1">
      <alignment vertical="center"/>
      <protection locked="0"/>
    </xf>
    <xf numFmtId="41" fontId="6" fillId="0" borderId="6" xfId="3" applyFont="1" applyFill="1" applyBorder="1" applyAlignment="1">
      <alignment horizontal="center" vertical="center"/>
      <protection locked="0"/>
    </xf>
    <xf numFmtId="41" fontId="7" fillId="0" borderId="6" xfId="3" applyFont="1" applyFill="1" applyBorder="1" applyAlignment="1">
      <alignment horizontal="center" vertical="center"/>
      <protection locked="0"/>
    </xf>
    <xf numFmtId="41" fontId="6" fillId="9" borderId="6" xfId="3" applyFont="1" applyFill="1" applyBorder="1" applyAlignment="1">
      <alignment horizontal="center" vertical="center"/>
      <protection locked="0"/>
    </xf>
    <xf numFmtId="41" fontId="7" fillId="0" borderId="6" xfId="3" applyFont="1" applyFill="1" applyBorder="1" applyAlignment="1" applyProtection="1">
      <alignment horizontal="center" vertical="center"/>
    </xf>
    <xf numFmtId="41" fontId="7" fillId="0" borderId="0" xfId="3" applyFont="1" applyFill="1" applyBorder="1" applyAlignment="1">
      <alignment horizontal="center" vertical="center"/>
      <protection locked="0"/>
    </xf>
    <xf numFmtId="41" fontId="9" fillId="0" borderId="6" xfId="3" applyFont="1" applyFill="1" applyBorder="1" applyAlignment="1" applyProtection="1">
      <alignment vertical="center"/>
    </xf>
    <xf numFmtId="41" fontId="7" fillId="0" borderId="6" xfId="3" quotePrefix="1" applyFont="1" applyFill="1" applyBorder="1" applyAlignment="1">
      <alignment horizontal="center" vertical="center"/>
      <protection locked="0"/>
    </xf>
    <xf numFmtId="41" fontId="6" fillId="0" borderId="6" xfId="3" quotePrefix="1" applyFont="1" applyFill="1" applyBorder="1" applyAlignment="1">
      <alignment horizontal="center" vertical="center"/>
      <protection locked="0"/>
    </xf>
    <xf numFmtId="41" fontId="10" fillId="0" borderId="6" xfId="3" applyFont="1" applyFill="1" applyBorder="1" applyAlignment="1">
      <alignment horizontal="center" vertical="center"/>
      <protection locked="0"/>
    </xf>
    <xf numFmtId="0" fontId="11" fillId="0" borderId="0" xfId="4" applyAlignment="1" applyProtection="1"/>
    <xf numFmtId="41" fontId="7" fillId="0" borderId="6" xfId="3" quotePrefix="1" applyFont="1" applyFill="1" applyBorder="1" applyAlignment="1">
      <alignment vertical="center"/>
      <protection locked="0"/>
    </xf>
    <xf numFmtId="41" fontId="12" fillId="0" borderId="6" xfId="3" applyFont="1" applyFill="1" applyBorder="1" applyAlignment="1">
      <alignment horizontal="center" vertical="center"/>
      <protection locked="0"/>
    </xf>
    <xf numFmtId="41" fontId="7" fillId="0" borderId="0" xfId="3" applyFont="1" applyFill="1" applyBorder="1" applyAlignment="1" applyProtection="1">
      <alignment vertical="center"/>
    </xf>
    <xf numFmtId="41" fontId="7" fillId="2" borderId="6" xfId="3" applyFont="1" applyFill="1" applyBorder="1" applyAlignment="1">
      <alignment vertical="center"/>
      <protection locked="0"/>
    </xf>
    <xf numFmtId="41" fontId="7" fillId="9" borderId="6" xfId="3" applyFont="1" applyFill="1" applyBorder="1" applyAlignment="1">
      <alignment vertical="center"/>
      <protection locked="0"/>
    </xf>
    <xf numFmtId="0" fontId="6" fillId="0" borderId="6" xfId="2" applyFont="1" applyFill="1" applyBorder="1" applyAlignment="1" applyProtection="1">
      <alignment horizontal="left" vertical="center" indent="1"/>
    </xf>
    <xf numFmtId="0" fontId="13" fillId="0" borderId="6" xfId="2" applyFont="1" applyFill="1" applyBorder="1" applyAlignment="1" applyProtection="1">
      <alignment horizontal="center" vertical="center"/>
    </xf>
    <xf numFmtId="0" fontId="7" fillId="0" borderId="6" xfId="1" applyFont="1" applyFill="1" applyBorder="1" applyAlignment="1" applyProtection="1">
      <alignment horizontal="left" vertical="center"/>
    </xf>
    <xf numFmtId="0" fontId="6" fillId="0" borderId="0" xfId="2" applyFont="1" applyFill="1" applyBorder="1" applyAlignment="1" applyProtection="1">
      <alignment horizontal="center" vertical="center"/>
    </xf>
    <xf numFmtId="0" fontId="13" fillId="0" borderId="0" xfId="2" applyFont="1" applyFill="1" applyBorder="1" applyAlignment="1" applyProtection="1">
      <alignment horizontal="center" vertical="center"/>
    </xf>
    <xf numFmtId="0" fontId="7" fillId="0" borderId="0" xfId="1" applyFont="1" applyFill="1" applyBorder="1" applyAlignment="1" applyProtection="1">
      <alignment horizontal="left" vertical="center"/>
    </xf>
    <xf numFmtId="41" fontId="7" fillId="9" borderId="6" xfId="3" applyFont="1" applyFill="1" applyBorder="1" applyAlignment="1">
      <alignment horizontal="center" vertical="center"/>
      <protection locked="0"/>
    </xf>
    <xf numFmtId="0" fontId="8" fillId="0" borderId="1" xfId="2" applyFont="1" applyFill="1" applyBorder="1" applyAlignment="1" applyProtection="1">
      <alignment horizontal="left" vertical="center" indent="1"/>
    </xf>
    <xf numFmtId="0" fontId="6" fillId="0" borderId="1" xfId="2" applyFont="1" applyFill="1" applyBorder="1" applyAlignment="1" applyProtection="1">
      <alignment horizontal="left" vertical="center" indent="1"/>
    </xf>
    <xf numFmtId="0" fontId="6" fillId="0" borderId="3" xfId="2" applyFont="1" applyFill="1" applyBorder="1" applyAlignment="1" applyProtection="1">
      <alignment horizontal="left" vertical="center" indent="1"/>
    </xf>
    <xf numFmtId="0" fontId="5" fillId="0" borderId="6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5" fillId="0" borderId="6" xfId="1" applyFont="1" applyFill="1" applyBorder="1" applyAlignment="1" applyProtection="1">
      <alignment horizontal="left" vertical="center"/>
    </xf>
    <xf numFmtId="0" fontId="5" fillId="0" borderId="0" xfId="1" applyFont="1" applyFill="1" applyBorder="1" applyAlignment="1" applyProtection="1">
      <alignment horizontal="center" vertical="center"/>
    </xf>
    <xf numFmtId="0" fontId="15" fillId="0" borderId="0" xfId="1" applyFont="1" applyFill="1" applyBorder="1" applyAlignment="1" applyProtection="1">
      <alignment horizontal="center" vertical="center"/>
    </xf>
    <xf numFmtId="41" fontId="7" fillId="0" borderId="0" xfId="3" applyFont="1" applyFill="1" applyBorder="1" applyAlignment="1" applyProtection="1">
      <alignment horizontal="center" vertical="center"/>
    </xf>
    <xf numFmtId="0" fontId="5" fillId="0" borderId="0" xfId="1" applyFont="1" applyFill="1" applyBorder="1" applyAlignment="1" applyProtection="1">
      <alignment horizontal="left" vertical="center"/>
    </xf>
    <xf numFmtId="0" fontId="16" fillId="0" borderId="0" xfId="1" applyAlignment="1" applyProtection="1"/>
    <xf numFmtId="0" fontId="16" fillId="0" borderId="0" xfId="1" applyAlignment="1" applyProtection="1">
      <alignment horizontal="left"/>
    </xf>
    <xf numFmtId="0" fontId="6" fillId="6" borderId="6" xfId="2" applyFont="1" applyFill="1" applyBorder="1" applyAlignment="1" applyProtection="1">
      <alignment horizontal="left" vertical="center"/>
    </xf>
    <xf numFmtId="0" fontId="7" fillId="6" borderId="6" xfId="1" applyFont="1" applyFill="1" applyBorder="1" applyAlignment="1" applyProtection="1">
      <alignment horizontal="center" vertical="center"/>
    </xf>
    <xf numFmtId="0" fontId="7" fillId="0" borderId="6" xfId="1" applyFont="1" applyFill="1" applyBorder="1" applyAlignment="1" applyProtection="1">
      <alignment horizontal="center"/>
    </xf>
    <xf numFmtId="0" fontId="5" fillId="0" borderId="6" xfId="1" applyFont="1" applyFill="1" applyBorder="1" applyAlignment="1" applyProtection="1">
      <alignment horizontal="left" vertical="center" indent="1"/>
    </xf>
    <xf numFmtId="0" fontId="7" fillId="0" borderId="6" xfId="1" applyFont="1" applyFill="1" applyBorder="1" applyAlignment="1">
      <alignment horizontal="left" vertical="center" indent="1"/>
      <protection locked="0"/>
    </xf>
    <xf numFmtId="0" fontId="5" fillId="0" borderId="6" xfId="1" applyFont="1" applyFill="1" applyBorder="1" applyAlignment="1" applyProtection="1">
      <alignment horizontal="left"/>
    </xf>
    <xf numFmtId="0" fontId="5" fillId="0" borderId="6" xfId="1" applyFont="1" applyFill="1" applyBorder="1" applyAlignment="1">
      <alignment horizontal="left" vertical="center" indent="1"/>
      <protection locked="0"/>
    </xf>
    <xf numFmtId="41" fontId="7" fillId="0" borderId="6" xfId="3" applyFont="1" applyFill="1" applyBorder="1" applyAlignment="1">
      <protection locked="0"/>
    </xf>
    <xf numFmtId="41" fontId="7" fillId="0" borderId="6" xfId="3" quotePrefix="1" applyFont="1" applyFill="1" applyBorder="1" applyAlignment="1">
      <protection locked="0"/>
    </xf>
    <xf numFmtId="0" fontId="11" fillId="0" borderId="0" xfId="4" applyAlignment="1" applyProtection="1">
      <alignment horizontal="left"/>
    </xf>
    <xf numFmtId="0" fontId="7" fillId="0" borderId="0" xfId="1" applyFont="1" applyAlignment="1" applyProtection="1">
      <alignment horizontal="center"/>
    </xf>
    <xf numFmtId="0" fontId="7" fillId="0" borderId="0" xfId="1" applyFont="1" applyFill="1" applyAlignment="1" applyProtection="1">
      <alignment horizontal="center"/>
    </xf>
    <xf numFmtId="0" fontId="7" fillId="0" borderId="0" xfId="1" applyFont="1" applyAlignment="1" applyProtection="1"/>
    <xf numFmtId="0" fontId="17" fillId="0" borderId="6" xfId="2" applyFont="1" applyFill="1" applyBorder="1" applyAlignment="1" applyProtection="1">
      <alignment horizontal="left" vertical="center" indent="1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1" fillId="0" borderId="0" xfId="1" applyFont="1" applyAlignment="1" applyProtection="1"/>
    <xf numFmtId="0" fontId="3" fillId="0" borderId="4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2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14" fillId="0" borderId="4" xfId="2" applyFont="1" applyFill="1" applyBorder="1" applyAlignment="1" applyProtection="1">
      <alignment horizontal="center" vertical="center"/>
    </xf>
    <xf numFmtId="0" fontId="2" fillId="2" borderId="0" xfId="1" applyFont="1" applyFill="1" applyBorder="1" applyAlignment="1" applyProtection="1">
      <alignment horizontal="center"/>
    </xf>
    <xf numFmtId="0" fontId="4" fillId="0" borderId="1" xfId="1" applyFont="1" applyFill="1" applyBorder="1" applyAlignment="1" applyProtection="1">
      <alignment horizontal="center" vertical="center"/>
    </xf>
    <xf numFmtId="0" fontId="4" fillId="0" borderId="2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/>
    </xf>
    <xf numFmtId="0" fontId="3" fillId="3" borderId="2" xfId="1" applyFont="1" applyFill="1" applyBorder="1" applyAlignment="1" applyProtection="1">
      <alignment horizontal="center"/>
    </xf>
    <xf numFmtId="0" fontId="3" fillId="4" borderId="4" xfId="1" applyFont="1" applyFill="1" applyBorder="1" applyAlignment="1" applyProtection="1">
      <alignment horizontal="center"/>
    </xf>
    <xf numFmtId="0" fontId="3" fillId="4" borderId="5" xfId="1" applyFont="1" applyFill="1" applyBorder="1" applyAlignment="1" applyProtection="1">
      <alignment horizontal="center"/>
    </xf>
    <xf numFmtId="0" fontId="3" fillId="5" borderId="1" xfId="1" applyFont="1" applyFill="1" applyBorder="1" applyAlignment="1" applyProtection="1">
      <alignment horizontal="center"/>
    </xf>
    <xf numFmtId="0" fontId="3" fillId="5" borderId="2" xfId="1" applyFont="1" applyFill="1" applyBorder="1" applyAlignment="1" applyProtection="1">
      <alignment horizontal="center"/>
    </xf>
    <xf numFmtId="0" fontId="3" fillId="5" borderId="3" xfId="1" applyFont="1" applyFill="1" applyBorder="1" applyAlignment="1" applyProtection="1">
      <alignment horizontal="center"/>
    </xf>
  </cellXfs>
  <cellStyles count="5">
    <cellStyle name="Comma [0] 2" xfId="3"/>
    <cellStyle name="Normal" xfId="0" builtinId="0"/>
    <cellStyle name="Normal 2" xfId="1"/>
    <cellStyle name="Normal 2 2" xfId="2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186699</xdr:colOff>
      <xdr:row>532</xdr:row>
      <xdr:rowOff>57150</xdr:rowOff>
    </xdr:from>
    <xdr:to>
      <xdr:col>12</xdr:col>
      <xdr:colOff>546100</xdr:colOff>
      <xdr:row>535</xdr:row>
      <xdr:rowOff>0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019549" y="97866200"/>
          <a:ext cx="359401" cy="4953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531</xdr:row>
      <xdr:rowOff>0</xdr:rowOff>
    </xdr:from>
    <xdr:to>
      <xdr:col>13</xdr:col>
      <xdr:colOff>178383</xdr:colOff>
      <xdr:row>535</xdr:row>
      <xdr:rowOff>0</xdr:rowOff>
    </xdr:to>
    <xdr:pic>
      <xdr:nvPicPr>
        <xdr:cNvPr id="4" name="Picture 3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28999" y="111309150"/>
          <a:ext cx="893384" cy="8382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531</xdr:row>
      <xdr:rowOff>0</xdr:rowOff>
    </xdr:from>
    <xdr:to>
      <xdr:col>13</xdr:col>
      <xdr:colOff>178383</xdr:colOff>
      <xdr:row>535</xdr:row>
      <xdr:rowOff>0</xdr:rowOff>
    </xdr:to>
    <xdr:pic>
      <xdr:nvPicPr>
        <xdr:cNvPr id="5" name="Picture 4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28999" y="111309150"/>
          <a:ext cx="893384" cy="8382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154949</xdr:colOff>
      <xdr:row>532</xdr:row>
      <xdr:rowOff>19050</xdr:rowOff>
    </xdr:from>
    <xdr:to>
      <xdr:col>12</xdr:col>
      <xdr:colOff>660400</xdr:colOff>
      <xdr:row>534</xdr:row>
      <xdr:rowOff>146050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917949" y="98196400"/>
          <a:ext cx="505451" cy="4953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675649</xdr:colOff>
      <xdr:row>531</xdr:row>
      <xdr:rowOff>0</xdr:rowOff>
    </xdr:from>
    <xdr:to>
      <xdr:col>13</xdr:col>
      <xdr:colOff>178383</xdr:colOff>
      <xdr:row>535</xdr:row>
      <xdr:rowOff>0</xdr:rowOff>
    </xdr:to>
    <xdr:pic>
      <xdr:nvPicPr>
        <xdr:cNvPr id="2" name="Picture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372476" y="107292984"/>
          <a:ext cx="914399" cy="68241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531</xdr:row>
      <xdr:rowOff>0</xdr:rowOff>
    </xdr:from>
    <xdr:to>
      <xdr:col>13</xdr:col>
      <xdr:colOff>178383</xdr:colOff>
      <xdr:row>535</xdr:row>
      <xdr:rowOff>0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372476" y="107502536"/>
          <a:ext cx="914399" cy="68241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2"/>
  <sheetViews>
    <sheetView view="pageBreakPreview" zoomScaleNormal="100" zoomScaleSheetLayoutView="100" workbookViewId="0">
      <pane xSplit="2" ySplit="3" topLeftCell="C510" activePane="bottomRight" state="frozen"/>
      <selection pane="topRight"/>
      <selection pane="bottomLeft"/>
      <selection pane="bottomRight" activeCell="J12" sqref="J12"/>
    </sheetView>
  </sheetViews>
  <sheetFormatPr defaultColWidth="10" defaultRowHeight="15" x14ac:dyDescent="0.25"/>
  <cols>
    <col min="1" max="1" width="7" customWidth="1"/>
    <col min="2" max="2" width="13.7109375" customWidth="1"/>
    <col min="3" max="3" width="13.42578125" customWidth="1"/>
    <col min="4" max="4" width="8.85546875" customWidth="1"/>
    <col min="5" max="5" width="9.85546875" customWidth="1"/>
    <col min="6" max="6" width="8.42578125" customWidth="1"/>
    <col min="7" max="7" width="8.85546875" customWidth="1"/>
    <col min="8" max="8" width="11.28515625" customWidth="1"/>
    <col min="9" max="9" width="12" customWidth="1"/>
    <col min="10" max="10" width="11.28515625" customWidth="1"/>
    <col min="11" max="11" width="11.5703125" customWidth="1"/>
    <col min="12" max="12" width="10.28515625" customWidth="1"/>
    <col min="13" max="13" width="10.5703125" customWidth="1"/>
    <col min="14" max="14" width="10.28515625" customWidth="1"/>
    <col min="15" max="15" width="12" customWidth="1"/>
    <col min="16" max="16" width="12.28515625" customWidth="1"/>
    <col min="17" max="17" width="11.7109375" customWidth="1"/>
    <col min="18" max="18" width="10" style="1"/>
  </cols>
  <sheetData>
    <row r="1" spans="1:18" ht="18" x14ac:dyDescent="0.25">
      <c r="A1" s="78" t="s">
        <v>471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18" x14ac:dyDescent="0.25">
      <c r="A2" s="2"/>
      <c r="B2" s="79" t="s">
        <v>457</v>
      </c>
      <c r="C2" s="80"/>
      <c r="D2" s="81" t="s">
        <v>0</v>
      </c>
      <c r="E2" s="82"/>
      <c r="F2" s="82"/>
      <c r="G2" s="82"/>
      <c r="H2" s="82"/>
      <c r="I2" s="3"/>
      <c r="J2" s="83" t="s">
        <v>407</v>
      </c>
      <c r="K2" s="84"/>
      <c r="L2" s="85" t="s">
        <v>1</v>
      </c>
      <c r="M2" s="86"/>
      <c r="N2" s="86"/>
      <c r="O2" s="86"/>
      <c r="P2" s="86"/>
      <c r="Q2" s="87"/>
      <c r="R2" s="4"/>
    </row>
    <row r="3" spans="1:18" ht="16.5" x14ac:dyDescent="0.25">
      <c r="A3" s="5" t="s">
        <v>2</v>
      </c>
      <c r="B3" s="6" t="s">
        <v>3</v>
      </c>
      <c r="C3" s="6" t="s">
        <v>4</v>
      </c>
      <c r="D3" s="7" t="s">
        <v>5</v>
      </c>
      <c r="E3" s="8" t="s">
        <v>428</v>
      </c>
      <c r="F3" s="8" t="s">
        <v>429</v>
      </c>
      <c r="G3" s="8" t="s">
        <v>430</v>
      </c>
      <c r="H3" s="8" t="s">
        <v>431</v>
      </c>
      <c r="I3" s="8" t="s">
        <v>432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427</v>
      </c>
      <c r="O3" s="10" t="s">
        <v>11</v>
      </c>
      <c r="P3" s="10" t="s">
        <v>12</v>
      </c>
      <c r="Q3" s="10" t="s">
        <v>13</v>
      </c>
      <c r="R3" s="11" t="s">
        <v>14</v>
      </c>
    </row>
    <row r="4" spans="1:18" ht="16.5" x14ac:dyDescent="0.25">
      <c r="A4" s="12">
        <v>22</v>
      </c>
      <c r="B4" s="13" t="s">
        <v>15</v>
      </c>
      <c r="C4" s="13" t="s">
        <v>16</v>
      </c>
      <c r="D4" s="14"/>
      <c r="E4" s="15">
        <v>6400</v>
      </c>
      <c r="F4" s="15">
        <v>400</v>
      </c>
      <c r="G4" s="15">
        <v>400</v>
      </c>
      <c r="H4" s="15">
        <f>SUM(E4:G4)</f>
        <v>7200</v>
      </c>
      <c r="I4" s="15">
        <f>H4*D4</f>
        <v>0</v>
      </c>
      <c r="J4" s="16"/>
      <c r="K4" s="15">
        <v>400000</v>
      </c>
      <c r="L4" s="15">
        <f t="shared" ref="L4:L68" si="0">D4*20</f>
        <v>0</v>
      </c>
      <c r="M4" s="16"/>
      <c r="N4" s="16"/>
      <c r="O4" s="15">
        <f t="shared" ref="O4:O68" si="1">250*D4</f>
        <v>0</v>
      </c>
      <c r="P4" s="15">
        <f t="shared" ref="P4:P68" si="2">SUM(J4:O4)</f>
        <v>400000</v>
      </c>
      <c r="Q4" s="15">
        <f>I4-P4</f>
        <v>-400000</v>
      </c>
      <c r="R4" s="17">
        <v>22</v>
      </c>
    </row>
    <row r="5" spans="1:18" ht="16.5" x14ac:dyDescent="0.25">
      <c r="A5" s="12">
        <v>192</v>
      </c>
      <c r="B5" s="13" t="s">
        <v>20</v>
      </c>
      <c r="C5" s="13" t="s">
        <v>21</v>
      </c>
      <c r="D5" s="18">
        <v>277</v>
      </c>
      <c r="E5" s="15">
        <v>6400</v>
      </c>
      <c r="F5" s="15">
        <v>600</v>
      </c>
      <c r="G5" s="15">
        <v>400</v>
      </c>
      <c r="H5" s="15">
        <f t="shared" ref="H5:H69" si="3">SUM(E5:G5)</f>
        <v>7400</v>
      </c>
      <c r="I5" s="15">
        <f t="shared" ref="I5:I69" si="4">H5*D5</f>
        <v>2049800</v>
      </c>
      <c r="J5" s="16"/>
      <c r="K5" s="15">
        <v>800000</v>
      </c>
      <c r="L5" s="15">
        <f t="shared" si="0"/>
        <v>5540</v>
      </c>
      <c r="M5" s="16"/>
      <c r="N5" s="16"/>
      <c r="O5" s="15">
        <f t="shared" si="1"/>
        <v>69250</v>
      </c>
      <c r="P5" s="15">
        <f t="shared" si="2"/>
        <v>874790</v>
      </c>
      <c r="Q5" s="15">
        <f t="shared" ref="Q5:Q68" si="5">I5-P5</f>
        <v>1175010</v>
      </c>
      <c r="R5" s="17">
        <v>192</v>
      </c>
    </row>
    <row r="6" spans="1:18" ht="16.5" x14ac:dyDescent="0.25">
      <c r="A6" s="12">
        <v>231</v>
      </c>
      <c r="B6" s="13" t="s">
        <v>22</v>
      </c>
      <c r="C6" s="13" t="s">
        <v>23</v>
      </c>
      <c r="D6" s="14">
        <v>191</v>
      </c>
      <c r="E6" s="15">
        <v>6400</v>
      </c>
      <c r="F6" s="15">
        <v>600</v>
      </c>
      <c r="G6" s="15">
        <v>400</v>
      </c>
      <c r="H6" s="15">
        <f t="shared" si="3"/>
        <v>7400</v>
      </c>
      <c r="I6" s="15">
        <f t="shared" si="4"/>
        <v>1413400</v>
      </c>
      <c r="J6" s="16"/>
      <c r="K6" s="15">
        <v>600000</v>
      </c>
      <c r="L6" s="15">
        <f t="shared" si="0"/>
        <v>3820</v>
      </c>
      <c r="M6" s="16"/>
      <c r="N6" s="16"/>
      <c r="O6" s="15">
        <f t="shared" si="1"/>
        <v>47750</v>
      </c>
      <c r="P6" s="15">
        <f t="shared" si="2"/>
        <v>651570</v>
      </c>
      <c r="Q6" s="15">
        <f t="shared" si="5"/>
        <v>761830</v>
      </c>
      <c r="R6" s="17">
        <v>231</v>
      </c>
    </row>
    <row r="7" spans="1:18" ht="16.5" x14ac:dyDescent="0.25">
      <c r="A7" s="12">
        <v>301</v>
      </c>
      <c r="B7" s="13" t="s">
        <v>24</v>
      </c>
      <c r="C7" s="13" t="s">
        <v>25</v>
      </c>
      <c r="D7" s="14"/>
      <c r="E7" s="15">
        <v>6400</v>
      </c>
      <c r="F7" s="15">
        <v>400</v>
      </c>
      <c r="G7" s="15">
        <v>400</v>
      </c>
      <c r="H7" s="15">
        <f t="shared" si="3"/>
        <v>7200</v>
      </c>
      <c r="I7" s="15">
        <f t="shared" si="4"/>
        <v>0</v>
      </c>
      <c r="J7" s="16"/>
      <c r="K7" s="15"/>
      <c r="L7" s="15">
        <f t="shared" si="0"/>
        <v>0</v>
      </c>
      <c r="M7" s="16"/>
      <c r="N7" s="16"/>
      <c r="O7" s="15">
        <f t="shared" si="1"/>
        <v>0</v>
      </c>
      <c r="P7" s="15">
        <f t="shared" si="2"/>
        <v>0</v>
      </c>
      <c r="Q7" s="15">
        <f t="shared" si="5"/>
        <v>0</v>
      </c>
      <c r="R7" s="17">
        <v>301</v>
      </c>
    </row>
    <row r="8" spans="1:18" ht="16.5" x14ac:dyDescent="0.25">
      <c r="A8" s="12">
        <v>303</v>
      </c>
      <c r="B8" s="13" t="s">
        <v>26</v>
      </c>
      <c r="C8" s="13" t="s">
        <v>25</v>
      </c>
      <c r="D8" s="14"/>
      <c r="E8" s="15">
        <v>6400</v>
      </c>
      <c r="F8" s="15">
        <v>400</v>
      </c>
      <c r="G8" s="15">
        <v>400</v>
      </c>
      <c r="H8" s="15">
        <f t="shared" si="3"/>
        <v>7200</v>
      </c>
      <c r="I8" s="15">
        <f t="shared" si="4"/>
        <v>0</v>
      </c>
      <c r="J8" s="16"/>
      <c r="K8" s="15"/>
      <c r="L8" s="15">
        <f t="shared" si="0"/>
        <v>0</v>
      </c>
      <c r="M8" s="16"/>
      <c r="N8" s="16"/>
      <c r="O8" s="15">
        <f t="shared" si="1"/>
        <v>0</v>
      </c>
      <c r="P8" s="15">
        <f t="shared" si="2"/>
        <v>0</v>
      </c>
      <c r="Q8" s="15">
        <f t="shared" si="5"/>
        <v>0</v>
      </c>
      <c r="R8" s="17">
        <v>303</v>
      </c>
    </row>
    <row r="9" spans="1:18" ht="16.5" x14ac:dyDescent="0.25">
      <c r="A9" s="12">
        <v>308</v>
      </c>
      <c r="B9" s="13" t="s">
        <v>27</v>
      </c>
      <c r="C9" s="13" t="s">
        <v>25</v>
      </c>
      <c r="D9" s="14">
        <v>527</v>
      </c>
      <c r="E9" s="15">
        <v>6400</v>
      </c>
      <c r="F9" s="15">
        <v>500</v>
      </c>
      <c r="G9" s="15">
        <v>400</v>
      </c>
      <c r="H9" s="15">
        <f t="shared" si="3"/>
        <v>7300</v>
      </c>
      <c r="I9" s="15">
        <f t="shared" si="4"/>
        <v>3847100</v>
      </c>
      <c r="J9" s="16"/>
      <c r="K9" s="15">
        <v>300000</v>
      </c>
      <c r="L9" s="15">
        <f t="shared" si="0"/>
        <v>10540</v>
      </c>
      <c r="M9" s="16"/>
      <c r="N9" s="16"/>
      <c r="O9" s="15">
        <f t="shared" si="1"/>
        <v>131750</v>
      </c>
      <c r="P9" s="15">
        <f t="shared" si="2"/>
        <v>442290</v>
      </c>
      <c r="Q9" s="15">
        <f t="shared" si="5"/>
        <v>3404810</v>
      </c>
      <c r="R9" s="17">
        <v>308</v>
      </c>
    </row>
    <row r="10" spans="1:18" ht="16.5" x14ac:dyDescent="0.25">
      <c r="A10" s="12">
        <v>315</v>
      </c>
      <c r="B10" s="13" t="s">
        <v>28</v>
      </c>
      <c r="C10" s="13" t="s">
        <v>25</v>
      </c>
      <c r="D10" s="14"/>
      <c r="E10" s="15">
        <v>6400</v>
      </c>
      <c r="F10" s="15">
        <v>400</v>
      </c>
      <c r="G10" s="15">
        <v>400</v>
      </c>
      <c r="H10" s="15">
        <f t="shared" si="3"/>
        <v>7200</v>
      </c>
      <c r="I10" s="15">
        <f t="shared" si="4"/>
        <v>0</v>
      </c>
      <c r="J10" s="16"/>
      <c r="K10" s="15"/>
      <c r="L10" s="15">
        <f t="shared" si="0"/>
        <v>0</v>
      </c>
      <c r="M10" s="16"/>
      <c r="N10" s="16"/>
      <c r="O10" s="15">
        <f t="shared" si="1"/>
        <v>0</v>
      </c>
      <c r="P10" s="15">
        <f t="shared" si="2"/>
        <v>0</v>
      </c>
      <c r="Q10" s="15">
        <f t="shared" si="5"/>
        <v>0</v>
      </c>
      <c r="R10" s="17">
        <v>315</v>
      </c>
    </row>
    <row r="11" spans="1:18" ht="16.5" x14ac:dyDescent="0.25">
      <c r="A11" s="12">
        <v>325</v>
      </c>
      <c r="B11" s="13" t="s">
        <v>29</v>
      </c>
      <c r="C11" s="13" t="s">
        <v>30</v>
      </c>
      <c r="D11" s="19"/>
      <c r="E11" s="15">
        <v>6400</v>
      </c>
      <c r="F11" s="15">
        <v>400</v>
      </c>
      <c r="G11" s="15">
        <v>400</v>
      </c>
      <c r="H11" s="15">
        <f t="shared" si="3"/>
        <v>7200</v>
      </c>
      <c r="I11" s="15">
        <f t="shared" si="4"/>
        <v>0</v>
      </c>
      <c r="J11" s="20"/>
      <c r="K11" s="15"/>
      <c r="L11" s="15">
        <f t="shared" si="0"/>
        <v>0</v>
      </c>
      <c r="M11" s="20"/>
      <c r="N11" s="20"/>
      <c r="O11" s="15">
        <f t="shared" si="1"/>
        <v>0</v>
      </c>
      <c r="P11" s="15">
        <f t="shared" si="2"/>
        <v>0</v>
      </c>
      <c r="Q11" s="15">
        <f t="shared" si="5"/>
        <v>0</v>
      </c>
      <c r="R11" s="17">
        <v>325</v>
      </c>
    </row>
    <row r="12" spans="1:18" ht="16.5" x14ac:dyDescent="0.25">
      <c r="A12" s="12">
        <v>328</v>
      </c>
      <c r="B12" s="13" t="s">
        <v>31</v>
      </c>
      <c r="C12" s="13" t="s">
        <v>30</v>
      </c>
      <c r="D12" s="14"/>
      <c r="E12" s="15">
        <v>6400</v>
      </c>
      <c r="F12" s="15">
        <v>400</v>
      </c>
      <c r="G12" s="15">
        <v>400</v>
      </c>
      <c r="H12" s="15">
        <f t="shared" si="3"/>
        <v>7200</v>
      </c>
      <c r="I12" s="15">
        <f t="shared" si="4"/>
        <v>0</v>
      </c>
      <c r="J12" s="16"/>
      <c r="K12" s="15"/>
      <c r="L12" s="15">
        <f t="shared" si="0"/>
        <v>0</v>
      </c>
      <c r="M12" s="16"/>
      <c r="N12" s="16"/>
      <c r="O12" s="15">
        <f t="shared" si="1"/>
        <v>0</v>
      </c>
      <c r="P12" s="15">
        <f t="shared" si="2"/>
        <v>0</v>
      </c>
      <c r="Q12" s="15">
        <f t="shared" si="5"/>
        <v>0</v>
      </c>
      <c r="R12" s="17">
        <v>328</v>
      </c>
    </row>
    <row r="13" spans="1:18" ht="16.5" x14ac:dyDescent="0.25">
      <c r="A13" s="12">
        <v>380</v>
      </c>
      <c r="B13" s="13" t="s">
        <v>32</v>
      </c>
      <c r="C13" s="13" t="s">
        <v>25</v>
      </c>
      <c r="D13" s="14"/>
      <c r="E13" s="15">
        <v>6400</v>
      </c>
      <c r="F13" s="15">
        <v>400</v>
      </c>
      <c r="G13" s="15">
        <v>400</v>
      </c>
      <c r="H13" s="15">
        <f t="shared" si="3"/>
        <v>7200</v>
      </c>
      <c r="I13" s="15">
        <f t="shared" si="4"/>
        <v>0</v>
      </c>
      <c r="J13" s="16"/>
      <c r="K13" s="15"/>
      <c r="L13" s="15">
        <f t="shared" si="0"/>
        <v>0</v>
      </c>
      <c r="M13" s="16"/>
      <c r="N13" s="16"/>
      <c r="O13" s="15">
        <f t="shared" si="1"/>
        <v>0</v>
      </c>
      <c r="P13" s="15">
        <f t="shared" si="2"/>
        <v>0</v>
      </c>
      <c r="Q13" s="15">
        <f t="shared" si="5"/>
        <v>0</v>
      </c>
      <c r="R13" s="17">
        <v>380</v>
      </c>
    </row>
    <row r="14" spans="1:18" ht="16.5" x14ac:dyDescent="0.25">
      <c r="A14" s="12">
        <v>381</v>
      </c>
      <c r="B14" s="13" t="s">
        <v>33</v>
      </c>
      <c r="C14" s="13" t="s">
        <v>25</v>
      </c>
      <c r="D14" s="14"/>
      <c r="E14" s="15">
        <v>6400</v>
      </c>
      <c r="F14" s="15">
        <v>400</v>
      </c>
      <c r="G14" s="15">
        <v>400</v>
      </c>
      <c r="H14" s="15">
        <f t="shared" si="3"/>
        <v>7200</v>
      </c>
      <c r="I14" s="15">
        <f t="shared" si="4"/>
        <v>0</v>
      </c>
      <c r="J14" s="16"/>
      <c r="K14" s="15"/>
      <c r="L14" s="15">
        <f t="shared" si="0"/>
        <v>0</v>
      </c>
      <c r="M14" s="16"/>
      <c r="N14" s="16"/>
      <c r="O14" s="15">
        <f t="shared" si="1"/>
        <v>0</v>
      </c>
      <c r="P14" s="15">
        <f t="shared" si="2"/>
        <v>0</v>
      </c>
      <c r="Q14" s="15">
        <f t="shared" si="5"/>
        <v>0</v>
      </c>
      <c r="R14" s="17">
        <v>381</v>
      </c>
    </row>
    <row r="15" spans="1:18" ht="16.5" x14ac:dyDescent="0.25">
      <c r="A15" s="12">
        <v>409</v>
      </c>
      <c r="B15" s="13" t="s">
        <v>34</v>
      </c>
      <c r="C15" s="13" t="s">
        <v>25</v>
      </c>
      <c r="D15" s="14"/>
      <c r="E15" s="15">
        <v>6400</v>
      </c>
      <c r="F15" s="15">
        <v>400</v>
      </c>
      <c r="G15" s="15">
        <v>400</v>
      </c>
      <c r="H15" s="15">
        <f t="shared" si="3"/>
        <v>7200</v>
      </c>
      <c r="I15" s="15">
        <f t="shared" si="4"/>
        <v>0</v>
      </c>
      <c r="J15" s="16"/>
      <c r="K15" s="15"/>
      <c r="L15" s="15">
        <f t="shared" si="0"/>
        <v>0</v>
      </c>
      <c r="M15" s="16"/>
      <c r="N15" s="16"/>
      <c r="O15" s="15">
        <f t="shared" si="1"/>
        <v>0</v>
      </c>
      <c r="P15" s="15">
        <f t="shared" si="2"/>
        <v>0</v>
      </c>
      <c r="Q15" s="15">
        <f t="shared" si="5"/>
        <v>0</v>
      </c>
      <c r="R15" s="17">
        <v>409</v>
      </c>
    </row>
    <row r="16" spans="1:18" ht="16.5" x14ac:dyDescent="0.25">
      <c r="A16" s="12">
        <v>422</v>
      </c>
      <c r="B16" s="13" t="s">
        <v>35</v>
      </c>
      <c r="C16" s="13" t="s">
        <v>36</v>
      </c>
      <c r="D16" s="14"/>
      <c r="E16" s="15">
        <v>6400</v>
      </c>
      <c r="F16" s="15">
        <v>400</v>
      </c>
      <c r="G16" s="15">
        <v>400</v>
      </c>
      <c r="H16" s="15">
        <f t="shared" si="3"/>
        <v>7200</v>
      </c>
      <c r="I16" s="15">
        <f t="shared" si="4"/>
        <v>0</v>
      </c>
      <c r="J16" s="16"/>
      <c r="K16" s="15"/>
      <c r="L16" s="15">
        <f t="shared" si="0"/>
        <v>0</v>
      </c>
      <c r="M16" s="16"/>
      <c r="N16" s="16"/>
      <c r="O16" s="15">
        <f t="shared" si="1"/>
        <v>0</v>
      </c>
      <c r="P16" s="15">
        <f t="shared" si="2"/>
        <v>0</v>
      </c>
      <c r="Q16" s="15">
        <f t="shared" si="5"/>
        <v>0</v>
      </c>
      <c r="R16" s="17">
        <v>422</v>
      </c>
    </row>
    <row r="17" spans="1:18" ht="16.5" x14ac:dyDescent="0.25">
      <c r="A17" s="12">
        <v>429</v>
      </c>
      <c r="B17" s="13" t="s">
        <v>37</v>
      </c>
      <c r="C17" s="13" t="s">
        <v>25</v>
      </c>
      <c r="D17" s="14"/>
      <c r="E17" s="15">
        <v>6400</v>
      </c>
      <c r="F17" s="15">
        <v>400</v>
      </c>
      <c r="G17" s="15">
        <v>400</v>
      </c>
      <c r="H17" s="15">
        <f t="shared" si="3"/>
        <v>7200</v>
      </c>
      <c r="I17" s="15">
        <f t="shared" si="4"/>
        <v>0</v>
      </c>
      <c r="J17" s="16"/>
      <c r="K17" s="15"/>
      <c r="L17" s="15">
        <f t="shared" si="0"/>
        <v>0</v>
      </c>
      <c r="M17" s="16"/>
      <c r="N17" s="16"/>
      <c r="O17" s="15">
        <f t="shared" si="1"/>
        <v>0</v>
      </c>
      <c r="P17" s="15">
        <f t="shared" si="2"/>
        <v>0</v>
      </c>
      <c r="Q17" s="15">
        <f t="shared" si="5"/>
        <v>0</v>
      </c>
      <c r="R17" s="17">
        <v>429</v>
      </c>
    </row>
    <row r="18" spans="1:18" ht="16.5" x14ac:dyDescent="0.25">
      <c r="A18" s="12">
        <v>435</v>
      </c>
      <c r="B18" s="13" t="s">
        <v>38</v>
      </c>
      <c r="C18" s="13" t="s">
        <v>25</v>
      </c>
      <c r="D18" s="14">
        <v>179</v>
      </c>
      <c r="E18" s="15">
        <v>6400</v>
      </c>
      <c r="F18" s="15">
        <v>500</v>
      </c>
      <c r="G18" s="15">
        <v>400</v>
      </c>
      <c r="H18" s="15">
        <f t="shared" si="3"/>
        <v>7300</v>
      </c>
      <c r="I18" s="15">
        <f t="shared" si="4"/>
        <v>1306700</v>
      </c>
      <c r="J18" s="16"/>
      <c r="K18" s="15">
        <v>200000</v>
      </c>
      <c r="L18" s="15">
        <f t="shared" si="0"/>
        <v>3580</v>
      </c>
      <c r="M18" s="16"/>
      <c r="N18" s="16"/>
      <c r="O18" s="15">
        <f t="shared" si="1"/>
        <v>44750</v>
      </c>
      <c r="P18" s="15">
        <f t="shared" si="2"/>
        <v>248330</v>
      </c>
      <c r="Q18" s="15">
        <f t="shared" si="5"/>
        <v>1058370</v>
      </c>
      <c r="R18" s="17">
        <v>435</v>
      </c>
    </row>
    <row r="19" spans="1:18" ht="16.5" x14ac:dyDescent="0.25">
      <c r="A19" s="12">
        <v>437</v>
      </c>
      <c r="B19" s="13"/>
      <c r="C19" s="13" t="s">
        <v>25</v>
      </c>
      <c r="D19" s="14"/>
      <c r="E19" s="15">
        <v>6400</v>
      </c>
      <c r="F19" s="15">
        <v>400</v>
      </c>
      <c r="G19" s="15">
        <v>400</v>
      </c>
      <c r="H19" s="15">
        <f t="shared" si="3"/>
        <v>7200</v>
      </c>
      <c r="I19" s="15">
        <f t="shared" si="4"/>
        <v>0</v>
      </c>
      <c r="J19" s="16"/>
      <c r="K19" s="15"/>
      <c r="L19" s="15">
        <f t="shared" si="0"/>
        <v>0</v>
      </c>
      <c r="M19" s="16"/>
      <c r="N19" s="16"/>
      <c r="O19" s="15">
        <f t="shared" si="1"/>
        <v>0</v>
      </c>
      <c r="P19" s="15">
        <f t="shared" si="2"/>
        <v>0</v>
      </c>
      <c r="Q19" s="15">
        <f t="shared" si="5"/>
        <v>0</v>
      </c>
      <c r="R19" s="17">
        <v>437</v>
      </c>
    </row>
    <row r="20" spans="1:18" ht="16.5" x14ac:dyDescent="0.25">
      <c r="A20" s="12">
        <v>445</v>
      </c>
      <c r="B20" s="13" t="s">
        <v>39</v>
      </c>
      <c r="C20" s="13" t="s">
        <v>16</v>
      </c>
      <c r="D20" s="14"/>
      <c r="E20" s="15">
        <v>6400</v>
      </c>
      <c r="F20" s="15">
        <v>400</v>
      </c>
      <c r="G20" s="15">
        <v>400</v>
      </c>
      <c r="H20" s="15">
        <f t="shared" si="3"/>
        <v>7200</v>
      </c>
      <c r="I20" s="15">
        <f t="shared" si="4"/>
        <v>0</v>
      </c>
      <c r="J20" s="16"/>
      <c r="K20" s="15"/>
      <c r="L20" s="15">
        <f t="shared" si="0"/>
        <v>0</v>
      </c>
      <c r="M20" s="16"/>
      <c r="N20" s="16"/>
      <c r="O20" s="15">
        <f t="shared" si="1"/>
        <v>0</v>
      </c>
      <c r="P20" s="15">
        <f t="shared" si="2"/>
        <v>0</v>
      </c>
      <c r="Q20" s="15">
        <f t="shared" si="5"/>
        <v>0</v>
      </c>
      <c r="R20" s="17">
        <v>445</v>
      </c>
    </row>
    <row r="21" spans="1:18" ht="16.5" x14ac:dyDescent="0.25">
      <c r="A21" s="12">
        <v>453</v>
      </c>
      <c r="B21" s="13" t="s">
        <v>40</v>
      </c>
      <c r="C21" s="13" t="s">
        <v>19</v>
      </c>
      <c r="D21" s="19"/>
      <c r="E21" s="15">
        <v>6400</v>
      </c>
      <c r="F21" s="15">
        <v>400</v>
      </c>
      <c r="G21" s="15">
        <v>400</v>
      </c>
      <c r="H21" s="15">
        <f t="shared" si="3"/>
        <v>7200</v>
      </c>
      <c r="I21" s="15">
        <f t="shared" si="4"/>
        <v>0</v>
      </c>
      <c r="J21" s="20"/>
      <c r="K21" s="15"/>
      <c r="L21" s="15">
        <f t="shared" si="0"/>
        <v>0</v>
      </c>
      <c r="M21" s="20"/>
      <c r="N21" s="20"/>
      <c r="O21" s="15">
        <f t="shared" si="1"/>
        <v>0</v>
      </c>
      <c r="P21" s="15">
        <f t="shared" si="2"/>
        <v>0</v>
      </c>
      <c r="Q21" s="15">
        <f t="shared" si="5"/>
        <v>0</v>
      </c>
      <c r="R21" s="17">
        <v>453</v>
      </c>
    </row>
    <row r="22" spans="1:18" ht="16.5" x14ac:dyDescent="0.25">
      <c r="A22" s="12">
        <v>454</v>
      </c>
      <c r="B22" s="13" t="s">
        <v>41</v>
      </c>
      <c r="C22" s="13" t="s">
        <v>30</v>
      </c>
      <c r="D22" s="14"/>
      <c r="E22" s="15">
        <v>6400</v>
      </c>
      <c r="F22" s="15">
        <v>400</v>
      </c>
      <c r="G22" s="15">
        <v>400</v>
      </c>
      <c r="H22" s="15">
        <f t="shared" si="3"/>
        <v>7200</v>
      </c>
      <c r="I22" s="15">
        <f t="shared" si="4"/>
        <v>0</v>
      </c>
      <c r="J22" s="16"/>
      <c r="K22" s="15">
        <v>200000</v>
      </c>
      <c r="L22" s="15">
        <f t="shared" si="0"/>
        <v>0</v>
      </c>
      <c r="M22" s="16"/>
      <c r="N22" s="16"/>
      <c r="O22" s="15">
        <f t="shared" si="1"/>
        <v>0</v>
      </c>
      <c r="P22" s="15">
        <f t="shared" si="2"/>
        <v>200000</v>
      </c>
      <c r="Q22" s="15">
        <f t="shared" si="5"/>
        <v>-200000</v>
      </c>
      <c r="R22" s="17">
        <v>454</v>
      </c>
    </row>
    <row r="23" spans="1:18" ht="16.5" x14ac:dyDescent="0.25">
      <c r="A23" s="12">
        <v>493</v>
      </c>
      <c r="B23" s="13" t="s">
        <v>42</v>
      </c>
      <c r="C23" s="13" t="s">
        <v>43</v>
      </c>
      <c r="D23" s="19"/>
      <c r="E23" s="15">
        <v>6400</v>
      </c>
      <c r="F23" s="15">
        <v>400</v>
      </c>
      <c r="G23" s="15">
        <v>400</v>
      </c>
      <c r="H23" s="15">
        <f t="shared" si="3"/>
        <v>7200</v>
      </c>
      <c r="I23" s="15">
        <f t="shared" si="4"/>
        <v>0</v>
      </c>
      <c r="J23" s="20"/>
      <c r="K23" s="15"/>
      <c r="L23" s="15">
        <f t="shared" si="0"/>
        <v>0</v>
      </c>
      <c r="M23" s="20"/>
      <c r="N23" s="20"/>
      <c r="O23" s="15">
        <f t="shared" si="1"/>
        <v>0</v>
      </c>
      <c r="P23" s="15">
        <f t="shared" si="2"/>
        <v>0</v>
      </c>
      <c r="Q23" s="15">
        <f t="shared" si="5"/>
        <v>0</v>
      </c>
      <c r="R23" s="17">
        <v>493</v>
      </c>
    </row>
    <row r="24" spans="1:18" ht="16.5" x14ac:dyDescent="0.25">
      <c r="A24" s="12">
        <v>501</v>
      </c>
      <c r="B24" s="13" t="s">
        <v>44</v>
      </c>
      <c r="C24" s="13" t="s">
        <v>25</v>
      </c>
      <c r="D24" s="19"/>
      <c r="E24" s="15">
        <v>6400</v>
      </c>
      <c r="F24" s="15">
        <v>400</v>
      </c>
      <c r="G24" s="15">
        <v>400</v>
      </c>
      <c r="H24" s="15">
        <f t="shared" si="3"/>
        <v>7200</v>
      </c>
      <c r="I24" s="15">
        <f t="shared" si="4"/>
        <v>0</v>
      </c>
      <c r="J24" s="20"/>
      <c r="K24" s="15"/>
      <c r="L24" s="15">
        <f t="shared" si="0"/>
        <v>0</v>
      </c>
      <c r="M24" s="20"/>
      <c r="N24" s="20"/>
      <c r="O24" s="15">
        <f t="shared" si="1"/>
        <v>0</v>
      </c>
      <c r="P24" s="15">
        <f t="shared" si="2"/>
        <v>0</v>
      </c>
      <c r="Q24" s="15">
        <f t="shared" si="5"/>
        <v>0</v>
      </c>
      <c r="R24" s="17">
        <v>501</v>
      </c>
    </row>
    <row r="25" spans="1:18" ht="16.5" x14ac:dyDescent="0.25">
      <c r="A25" s="12">
        <v>504</v>
      </c>
      <c r="B25" s="13" t="s">
        <v>45</v>
      </c>
      <c r="C25" s="13" t="s">
        <v>19</v>
      </c>
      <c r="D25" s="21"/>
      <c r="E25" s="15">
        <v>6400</v>
      </c>
      <c r="F25" s="15">
        <v>400</v>
      </c>
      <c r="G25" s="15">
        <v>400</v>
      </c>
      <c r="H25" s="15">
        <f t="shared" si="3"/>
        <v>7200</v>
      </c>
      <c r="I25" s="15">
        <f t="shared" si="4"/>
        <v>0</v>
      </c>
      <c r="J25" s="20"/>
      <c r="K25" s="15"/>
      <c r="L25" s="15">
        <f t="shared" si="0"/>
        <v>0</v>
      </c>
      <c r="M25" s="20"/>
      <c r="N25" s="20"/>
      <c r="O25" s="15">
        <f t="shared" si="1"/>
        <v>0</v>
      </c>
      <c r="P25" s="15">
        <f t="shared" si="2"/>
        <v>0</v>
      </c>
      <c r="Q25" s="15">
        <f t="shared" si="5"/>
        <v>0</v>
      </c>
      <c r="R25" s="17">
        <v>504</v>
      </c>
    </row>
    <row r="26" spans="1:18" ht="16.5" x14ac:dyDescent="0.25">
      <c r="A26" s="12">
        <v>506</v>
      </c>
      <c r="B26" s="13" t="s">
        <v>46</v>
      </c>
      <c r="C26" s="13" t="s">
        <v>47</v>
      </c>
      <c r="D26" s="14"/>
      <c r="E26" s="15">
        <v>6400</v>
      </c>
      <c r="F26" s="15">
        <v>400</v>
      </c>
      <c r="G26" s="15">
        <v>400</v>
      </c>
      <c r="H26" s="15">
        <f t="shared" si="3"/>
        <v>7200</v>
      </c>
      <c r="I26" s="15">
        <f t="shared" si="4"/>
        <v>0</v>
      </c>
      <c r="J26" s="16"/>
      <c r="K26" s="15"/>
      <c r="L26" s="15">
        <f t="shared" si="0"/>
        <v>0</v>
      </c>
      <c r="M26" s="16"/>
      <c r="N26" s="16"/>
      <c r="O26" s="15">
        <f t="shared" si="1"/>
        <v>0</v>
      </c>
      <c r="P26" s="15">
        <f t="shared" si="2"/>
        <v>0</v>
      </c>
      <c r="Q26" s="15">
        <f t="shared" si="5"/>
        <v>0</v>
      </c>
      <c r="R26" s="17">
        <v>506</v>
      </c>
    </row>
    <row r="27" spans="1:18" ht="16.5" x14ac:dyDescent="0.25">
      <c r="A27" s="12">
        <v>509</v>
      </c>
      <c r="B27" s="13" t="s">
        <v>48</v>
      </c>
      <c r="C27" s="13" t="s">
        <v>43</v>
      </c>
      <c r="D27" s="14">
        <v>80</v>
      </c>
      <c r="E27" s="15">
        <v>6400</v>
      </c>
      <c r="F27" s="15">
        <v>500</v>
      </c>
      <c r="G27" s="15">
        <v>400</v>
      </c>
      <c r="H27" s="15">
        <f t="shared" si="3"/>
        <v>7300</v>
      </c>
      <c r="I27" s="15">
        <f t="shared" si="4"/>
        <v>584000</v>
      </c>
      <c r="J27" s="16"/>
      <c r="K27" s="15">
        <v>400000</v>
      </c>
      <c r="L27" s="15">
        <f t="shared" si="0"/>
        <v>1600</v>
      </c>
      <c r="M27" s="16"/>
      <c r="N27" s="16"/>
      <c r="O27" s="15">
        <f t="shared" si="1"/>
        <v>20000</v>
      </c>
      <c r="P27" s="15">
        <f t="shared" si="2"/>
        <v>421600</v>
      </c>
      <c r="Q27" s="15">
        <f t="shared" si="5"/>
        <v>162400</v>
      </c>
      <c r="R27" s="17">
        <v>509</v>
      </c>
    </row>
    <row r="28" spans="1:18" ht="16.5" x14ac:dyDescent="0.25">
      <c r="A28" s="12">
        <v>524</v>
      </c>
      <c r="B28" s="13" t="s">
        <v>49</v>
      </c>
      <c r="C28" s="13" t="s">
        <v>47</v>
      </c>
      <c r="D28" s="19"/>
      <c r="E28" s="15">
        <v>6400</v>
      </c>
      <c r="F28" s="15">
        <v>400</v>
      </c>
      <c r="G28" s="15">
        <v>400</v>
      </c>
      <c r="H28" s="15">
        <f t="shared" si="3"/>
        <v>7200</v>
      </c>
      <c r="I28" s="15">
        <f t="shared" si="4"/>
        <v>0</v>
      </c>
      <c r="J28" s="20"/>
      <c r="K28" s="15"/>
      <c r="L28" s="15">
        <f t="shared" si="0"/>
        <v>0</v>
      </c>
      <c r="M28" s="20"/>
      <c r="N28" s="20"/>
      <c r="O28" s="15">
        <f t="shared" si="1"/>
        <v>0</v>
      </c>
      <c r="P28" s="15">
        <f t="shared" si="2"/>
        <v>0</v>
      </c>
      <c r="Q28" s="15">
        <f t="shared" si="5"/>
        <v>0</v>
      </c>
      <c r="R28" s="17">
        <v>524</v>
      </c>
    </row>
    <row r="29" spans="1:18" ht="16.5" x14ac:dyDescent="0.25">
      <c r="A29" s="12">
        <v>528</v>
      </c>
      <c r="B29" s="13" t="s">
        <v>50</v>
      </c>
      <c r="C29" s="13" t="s">
        <v>25</v>
      </c>
      <c r="D29" s="14">
        <v>55</v>
      </c>
      <c r="E29" s="15">
        <v>6400</v>
      </c>
      <c r="F29" s="15">
        <v>500</v>
      </c>
      <c r="G29" s="15">
        <v>400</v>
      </c>
      <c r="H29" s="15">
        <f t="shared" si="3"/>
        <v>7300</v>
      </c>
      <c r="I29" s="15">
        <f t="shared" si="4"/>
        <v>401500</v>
      </c>
      <c r="J29" s="16"/>
      <c r="K29" s="15">
        <v>200000</v>
      </c>
      <c r="L29" s="15">
        <f t="shared" si="0"/>
        <v>1100</v>
      </c>
      <c r="M29" s="16"/>
      <c r="N29" s="16"/>
      <c r="O29" s="15">
        <f t="shared" si="1"/>
        <v>13750</v>
      </c>
      <c r="P29" s="15">
        <f t="shared" si="2"/>
        <v>214850</v>
      </c>
      <c r="Q29" s="15">
        <f t="shared" si="5"/>
        <v>186650</v>
      </c>
      <c r="R29" s="17">
        <v>528</v>
      </c>
    </row>
    <row r="30" spans="1:18" ht="16.5" x14ac:dyDescent="0.25">
      <c r="A30" s="12">
        <v>533</v>
      </c>
      <c r="B30" s="13" t="s">
        <v>51</v>
      </c>
      <c r="C30" s="13" t="s">
        <v>52</v>
      </c>
      <c r="D30" s="20">
        <v>73</v>
      </c>
      <c r="E30" s="15">
        <v>6400</v>
      </c>
      <c r="F30" s="15">
        <v>400</v>
      </c>
      <c r="G30" s="15">
        <v>400</v>
      </c>
      <c r="H30" s="15">
        <f t="shared" si="3"/>
        <v>7200</v>
      </c>
      <c r="I30" s="15">
        <f t="shared" si="4"/>
        <v>525600</v>
      </c>
      <c r="J30" s="16"/>
      <c r="K30" s="15">
        <v>200000</v>
      </c>
      <c r="L30" s="15">
        <f t="shared" si="0"/>
        <v>1460</v>
      </c>
      <c r="M30" s="16"/>
      <c r="N30" s="16"/>
      <c r="O30" s="15">
        <f t="shared" si="1"/>
        <v>18250</v>
      </c>
      <c r="P30" s="15">
        <f t="shared" si="2"/>
        <v>219710</v>
      </c>
      <c r="Q30" s="15">
        <f t="shared" si="5"/>
        <v>305890</v>
      </c>
      <c r="R30" s="17">
        <v>533</v>
      </c>
    </row>
    <row r="31" spans="1:18" ht="16.5" x14ac:dyDescent="0.25">
      <c r="A31" s="12">
        <v>544</v>
      </c>
      <c r="B31" s="13" t="s">
        <v>53</v>
      </c>
      <c r="C31" s="13" t="s">
        <v>54</v>
      </c>
      <c r="D31" s="14"/>
      <c r="E31" s="15">
        <v>6400</v>
      </c>
      <c r="F31" s="15">
        <v>300</v>
      </c>
      <c r="G31" s="15">
        <v>400</v>
      </c>
      <c r="H31" s="15">
        <f t="shared" si="3"/>
        <v>7100</v>
      </c>
      <c r="I31" s="15">
        <f t="shared" si="4"/>
        <v>0</v>
      </c>
      <c r="J31" s="16"/>
      <c r="K31" s="22"/>
      <c r="L31" s="15">
        <f t="shared" si="0"/>
        <v>0</v>
      </c>
      <c r="M31" s="16"/>
      <c r="N31" s="16"/>
      <c r="O31" s="15">
        <f t="shared" si="1"/>
        <v>0</v>
      </c>
      <c r="P31" s="15">
        <f t="shared" si="2"/>
        <v>0</v>
      </c>
      <c r="Q31" s="15">
        <f t="shared" si="5"/>
        <v>0</v>
      </c>
      <c r="R31" s="17">
        <v>544</v>
      </c>
    </row>
    <row r="32" spans="1:18" ht="16.5" x14ac:dyDescent="0.25">
      <c r="A32" s="12">
        <v>546</v>
      </c>
      <c r="B32" s="13" t="s">
        <v>55</v>
      </c>
      <c r="C32" s="13" t="s">
        <v>36</v>
      </c>
      <c r="D32" s="14"/>
      <c r="E32" s="15">
        <v>6400</v>
      </c>
      <c r="F32" s="15">
        <v>400</v>
      </c>
      <c r="G32" s="15">
        <v>400</v>
      </c>
      <c r="H32" s="15">
        <f t="shared" si="3"/>
        <v>7200</v>
      </c>
      <c r="I32" s="15">
        <f t="shared" si="4"/>
        <v>0</v>
      </c>
      <c r="J32" s="16"/>
      <c r="K32" s="15"/>
      <c r="L32" s="15">
        <f t="shared" si="0"/>
        <v>0</v>
      </c>
      <c r="M32" s="20"/>
      <c r="N32" s="20"/>
      <c r="O32" s="15">
        <f t="shared" si="1"/>
        <v>0</v>
      </c>
      <c r="P32" s="15">
        <f t="shared" si="2"/>
        <v>0</v>
      </c>
      <c r="Q32" s="15">
        <f t="shared" si="5"/>
        <v>0</v>
      </c>
      <c r="R32" s="17">
        <v>546</v>
      </c>
    </row>
    <row r="33" spans="1:18" ht="16.5" x14ac:dyDescent="0.25">
      <c r="A33" s="12">
        <v>550</v>
      </c>
      <c r="B33" s="13" t="s">
        <v>56</v>
      </c>
      <c r="C33" s="13" t="s">
        <v>47</v>
      </c>
      <c r="D33" s="19"/>
      <c r="E33" s="15">
        <v>6400</v>
      </c>
      <c r="F33" s="15">
        <v>300</v>
      </c>
      <c r="G33" s="15">
        <v>400</v>
      </c>
      <c r="H33" s="15">
        <f t="shared" si="3"/>
        <v>7100</v>
      </c>
      <c r="I33" s="15">
        <f t="shared" si="4"/>
        <v>0</v>
      </c>
      <c r="J33" s="20"/>
      <c r="K33" s="15"/>
      <c r="L33" s="15">
        <f t="shared" si="0"/>
        <v>0</v>
      </c>
      <c r="M33" s="16"/>
      <c r="N33" s="16"/>
      <c r="O33" s="15">
        <f t="shared" si="1"/>
        <v>0</v>
      </c>
      <c r="P33" s="15">
        <f t="shared" si="2"/>
        <v>0</v>
      </c>
      <c r="Q33" s="15">
        <f t="shared" si="5"/>
        <v>0</v>
      </c>
      <c r="R33" s="17">
        <v>550</v>
      </c>
    </row>
    <row r="34" spans="1:18" ht="16.5" x14ac:dyDescent="0.25">
      <c r="A34" s="12">
        <v>562</v>
      </c>
      <c r="B34" s="13" t="s">
        <v>57</v>
      </c>
      <c r="C34" s="13" t="s">
        <v>52</v>
      </c>
      <c r="D34" s="16"/>
      <c r="E34" s="15">
        <v>6400</v>
      </c>
      <c r="F34" s="15">
        <v>300</v>
      </c>
      <c r="G34" s="15">
        <v>400</v>
      </c>
      <c r="H34" s="15">
        <f t="shared" si="3"/>
        <v>7100</v>
      </c>
      <c r="I34" s="15">
        <f t="shared" si="4"/>
        <v>0</v>
      </c>
      <c r="J34" s="16"/>
      <c r="K34" s="15"/>
      <c r="L34" s="15">
        <f t="shared" si="0"/>
        <v>0</v>
      </c>
      <c r="M34" s="16"/>
      <c r="N34" s="16"/>
      <c r="O34" s="15">
        <f t="shared" si="1"/>
        <v>0</v>
      </c>
      <c r="P34" s="15">
        <f t="shared" si="2"/>
        <v>0</v>
      </c>
      <c r="Q34" s="15">
        <f t="shared" si="5"/>
        <v>0</v>
      </c>
      <c r="R34" s="17">
        <v>562</v>
      </c>
    </row>
    <row r="35" spans="1:18" ht="16.5" x14ac:dyDescent="0.25">
      <c r="A35" s="12">
        <v>565</v>
      </c>
      <c r="B35" s="13" t="s">
        <v>58</v>
      </c>
      <c r="C35" s="13" t="s">
        <v>36</v>
      </c>
      <c r="D35" s="14">
        <v>275</v>
      </c>
      <c r="E35" s="15">
        <v>6400</v>
      </c>
      <c r="F35" s="15">
        <v>500</v>
      </c>
      <c r="G35" s="15">
        <v>400</v>
      </c>
      <c r="H35" s="15">
        <f t="shared" si="3"/>
        <v>7300</v>
      </c>
      <c r="I35" s="15">
        <f t="shared" si="4"/>
        <v>2007500</v>
      </c>
      <c r="J35" s="16"/>
      <c r="K35" s="15"/>
      <c r="L35" s="15">
        <f t="shared" si="0"/>
        <v>5500</v>
      </c>
      <c r="M35" s="16"/>
      <c r="N35" s="16"/>
      <c r="O35" s="15">
        <f t="shared" si="1"/>
        <v>68750</v>
      </c>
      <c r="P35" s="15">
        <f t="shared" si="2"/>
        <v>74250</v>
      </c>
      <c r="Q35" s="15">
        <f t="shared" si="5"/>
        <v>1933250</v>
      </c>
      <c r="R35" s="17">
        <v>565</v>
      </c>
    </row>
    <row r="36" spans="1:18" ht="16.5" x14ac:dyDescent="0.25">
      <c r="A36" s="12">
        <v>572</v>
      </c>
      <c r="B36" s="13" t="s">
        <v>59</v>
      </c>
      <c r="C36" s="13" t="s">
        <v>43</v>
      </c>
      <c r="D36" s="14"/>
      <c r="E36" s="15">
        <v>6400</v>
      </c>
      <c r="F36" s="15">
        <v>400</v>
      </c>
      <c r="G36" s="15">
        <v>400</v>
      </c>
      <c r="H36" s="15">
        <f t="shared" si="3"/>
        <v>7200</v>
      </c>
      <c r="I36" s="15">
        <f t="shared" si="4"/>
        <v>0</v>
      </c>
      <c r="J36" s="16"/>
      <c r="K36" s="15"/>
      <c r="L36" s="15">
        <f t="shared" si="0"/>
        <v>0</v>
      </c>
      <c r="M36" s="16"/>
      <c r="N36" s="16"/>
      <c r="O36" s="15">
        <f t="shared" si="1"/>
        <v>0</v>
      </c>
      <c r="P36" s="15">
        <f t="shared" si="2"/>
        <v>0</v>
      </c>
      <c r="Q36" s="15">
        <f t="shared" si="5"/>
        <v>0</v>
      </c>
      <c r="R36" s="17">
        <v>572</v>
      </c>
    </row>
    <row r="37" spans="1:18" ht="16.5" x14ac:dyDescent="0.25">
      <c r="A37" s="12">
        <v>575</v>
      </c>
      <c r="B37" s="13" t="s">
        <v>60</v>
      </c>
      <c r="C37" s="13" t="s">
        <v>25</v>
      </c>
      <c r="D37" s="16">
        <v>657</v>
      </c>
      <c r="E37" s="15">
        <v>6400</v>
      </c>
      <c r="F37" s="15">
        <v>500</v>
      </c>
      <c r="G37" s="15">
        <v>400</v>
      </c>
      <c r="H37" s="15">
        <f t="shared" si="3"/>
        <v>7300</v>
      </c>
      <c r="I37" s="15">
        <f t="shared" si="4"/>
        <v>4796100</v>
      </c>
      <c r="J37" s="16"/>
      <c r="K37" s="15">
        <v>1400000</v>
      </c>
      <c r="L37" s="15">
        <f t="shared" si="0"/>
        <v>13140</v>
      </c>
      <c r="M37" s="20"/>
      <c r="N37" s="20"/>
      <c r="O37" s="15">
        <f t="shared" si="1"/>
        <v>164250</v>
      </c>
      <c r="P37" s="15">
        <f t="shared" si="2"/>
        <v>1577390</v>
      </c>
      <c r="Q37" s="15">
        <f t="shared" si="5"/>
        <v>3218710</v>
      </c>
      <c r="R37" s="17">
        <v>575</v>
      </c>
    </row>
    <row r="38" spans="1:18" ht="16.5" x14ac:dyDescent="0.25">
      <c r="A38" s="12">
        <v>588</v>
      </c>
      <c r="B38" s="13"/>
      <c r="C38" s="13"/>
      <c r="D38" s="16"/>
      <c r="E38" s="15">
        <v>6400</v>
      </c>
      <c r="F38" s="15">
        <v>300</v>
      </c>
      <c r="G38" s="15">
        <v>400</v>
      </c>
      <c r="H38" s="15">
        <f t="shared" si="3"/>
        <v>7100</v>
      </c>
      <c r="I38" s="15">
        <f t="shared" si="4"/>
        <v>0</v>
      </c>
      <c r="J38" s="16"/>
      <c r="K38" s="15"/>
      <c r="L38" s="15">
        <f t="shared" si="0"/>
        <v>0</v>
      </c>
      <c r="M38" s="20"/>
      <c r="N38" s="20"/>
      <c r="O38" s="15">
        <f t="shared" si="1"/>
        <v>0</v>
      </c>
      <c r="P38" s="15">
        <f t="shared" si="2"/>
        <v>0</v>
      </c>
      <c r="Q38" s="15">
        <f t="shared" si="5"/>
        <v>0</v>
      </c>
      <c r="R38" s="17"/>
    </row>
    <row r="39" spans="1:18" ht="16.5" x14ac:dyDescent="0.25">
      <c r="A39" s="12">
        <v>589</v>
      </c>
      <c r="B39" s="13" t="s">
        <v>61</v>
      </c>
      <c r="C39" s="13" t="s">
        <v>30</v>
      </c>
      <c r="D39" s="19"/>
      <c r="E39" s="15">
        <v>6400</v>
      </c>
      <c r="F39" s="15">
        <v>300</v>
      </c>
      <c r="G39" s="15">
        <v>400</v>
      </c>
      <c r="H39" s="15">
        <f t="shared" si="3"/>
        <v>7100</v>
      </c>
      <c r="I39" s="15">
        <f t="shared" si="4"/>
        <v>0</v>
      </c>
      <c r="J39" s="20"/>
      <c r="K39" s="15"/>
      <c r="L39" s="15">
        <f t="shared" si="0"/>
        <v>0</v>
      </c>
      <c r="M39" s="16"/>
      <c r="N39" s="16"/>
      <c r="O39" s="15">
        <f t="shared" si="1"/>
        <v>0</v>
      </c>
      <c r="P39" s="15">
        <f t="shared" si="2"/>
        <v>0</v>
      </c>
      <c r="Q39" s="15">
        <f t="shared" si="5"/>
        <v>0</v>
      </c>
      <c r="R39" s="17">
        <v>589</v>
      </c>
    </row>
    <row r="40" spans="1:18" ht="16.5" x14ac:dyDescent="0.25">
      <c r="A40" s="12">
        <v>592</v>
      </c>
      <c r="B40" s="13" t="s">
        <v>450</v>
      </c>
      <c r="C40" s="13" t="s">
        <v>23</v>
      </c>
      <c r="D40" s="14">
        <v>115</v>
      </c>
      <c r="E40" s="15">
        <v>6400</v>
      </c>
      <c r="F40" s="15">
        <v>600</v>
      </c>
      <c r="G40" s="15">
        <v>400</v>
      </c>
      <c r="H40" s="15">
        <f t="shared" si="3"/>
        <v>7400</v>
      </c>
      <c r="I40" s="15">
        <f t="shared" si="4"/>
        <v>851000</v>
      </c>
      <c r="J40" s="16"/>
      <c r="K40" s="15"/>
      <c r="L40" s="15">
        <f t="shared" si="0"/>
        <v>2300</v>
      </c>
      <c r="M40" s="20"/>
      <c r="N40" s="20"/>
      <c r="O40" s="15">
        <f t="shared" si="1"/>
        <v>28750</v>
      </c>
      <c r="P40" s="15">
        <f t="shared" si="2"/>
        <v>31050</v>
      </c>
      <c r="Q40" s="15">
        <f t="shared" si="5"/>
        <v>819950</v>
      </c>
      <c r="R40" s="17">
        <v>592</v>
      </c>
    </row>
    <row r="41" spans="1:18" ht="16.5" x14ac:dyDescent="0.25">
      <c r="A41" s="12">
        <v>593</v>
      </c>
      <c r="B41" s="13" t="s">
        <v>116</v>
      </c>
      <c r="C41" s="13" t="s">
        <v>23</v>
      </c>
      <c r="D41" s="19">
        <v>169</v>
      </c>
      <c r="E41" s="15">
        <v>6400</v>
      </c>
      <c r="F41" s="15">
        <v>400</v>
      </c>
      <c r="G41" s="15">
        <v>400</v>
      </c>
      <c r="H41" s="15">
        <f t="shared" si="3"/>
        <v>7200</v>
      </c>
      <c r="I41" s="15">
        <f t="shared" si="4"/>
        <v>1216800</v>
      </c>
      <c r="J41" s="20"/>
      <c r="K41" s="15"/>
      <c r="L41" s="15">
        <f t="shared" si="0"/>
        <v>3380</v>
      </c>
      <c r="M41" s="20"/>
      <c r="N41" s="20"/>
      <c r="O41" s="15">
        <f t="shared" si="1"/>
        <v>42250</v>
      </c>
      <c r="P41" s="15">
        <f t="shared" si="2"/>
        <v>45630</v>
      </c>
      <c r="Q41" s="15">
        <f t="shared" si="5"/>
        <v>1171170</v>
      </c>
      <c r="R41" s="17">
        <v>599</v>
      </c>
    </row>
    <row r="42" spans="1:18" ht="16.5" x14ac:dyDescent="0.25">
      <c r="A42" s="12">
        <v>601</v>
      </c>
      <c r="B42" s="13" t="s">
        <v>63</v>
      </c>
      <c r="C42" s="13" t="s">
        <v>54</v>
      </c>
      <c r="D42" s="19"/>
      <c r="E42" s="15">
        <v>6400</v>
      </c>
      <c r="F42" s="15">
        <v>300</v>
      </c>
      <c r="G42" s="15">
        <v>400</v>
      </c>
      <c r="H42" s="15">
        <f t="shared" si="3"/>
        <v>7100</v>
      </c>
      <c r="I42" s="15">
        <f t="shared" si="4"/>
        <v>0</v>
      </c>
      <c r="J42" s="20"/>
      <c r="K42" s="15"/>
      <c r="L42" s="15">
        <f t="shared" si="0"/>
        <v>0</v>
      </c>
      <c r="M42" s="16"/>
      <c r="N42" s="16"/>
      <c r="O42" s="15">
        <f t="shared" si="1"/>
        <v>0</v>
      </c>
      <c r="P42" s="15">
        <f t="shared" si="2"/>
        <v>0</v>
      </c>
      <c r="Q42" s="15">
        <f t="shared" si="5"/>
        <v>0</v>
      </c>
      <c r="R42" s="17">
        <v>601</v>
      </c>
    </row>
    <row r="43" spans="1:18" ht="16.5" x14ac:dyDescent="0.25">
      <c r="A43" s="12">
        <v>615</v>
      </c>
      <c r="B43" s="13" t="s">
        <v>64</v>
      </c>
      <c r="C43" s="13" t="s">
        <v>25</v>
      </c>
      <c r="D43" s="14">
        <v>186</v>
      </c>
      <c r="E43" s="15">
        <v>6400</v>
      </c>
      <c r="F43" s="15">
        <v>500</v>
      </c>
      <c r="G43" s="15">
        <v>400</v>
      </c>
      <c r="H43" s="15">
        <f t="shared" si="3"/>
        <v>7300</v>
      </c>
      <c r="I43" s="15">
        <f t="shared" si="4"/>
        <v>1357800</v>
      </c>
      <c r="J43" s="16"/>
      <c r="K43" s="15"/>
      <c r="L43" s="15">
        <f t="shared" si="0"/>
        <v>3720</v>
      </c>
      <c r="M43" s="16"/>
      <c r="N43" s="16"/>
      <c r="O43" s="15">
        <f t="shared" si="1"/>
        <v>46500</v>
      </c>
      <c r="P43" s="15">
        <f t="shared" si="2"/>
        <v>50220</v>
      </c>
      <c r="Q43" s="15">
        <f t="shared" si="5"/>
        <v>1307580</v>
      </c>
      <c r="R43" s="17">
        <v>615</v>
      </c>
    </row>
    <row r="44" spans="1:18" ht="16.5" x14ac:dyDescent="0.25">
      <c r="A44" s="12">
        <v>620</v>
      </c>
      <c r="B44" s="13" t="s">
        <v>65</v>
      </c>
      <c r="C44" s="13" t="s">
        <v>30</v>
      </c>
      <c r="D44" s="14"/>
      <c r="E44" s="15">
        <v>6400</v>
      </c>
      <c r="F44" s="15">
        <v>300</v>
      </c>
      <c r="G44" s="15">
        <v>400</v>
      </c>
      <c r="H44" s="15">
        <f t="shared" si="3"/>
        <v>7100</v>
      </c>
      <c r="I44" s="15">
        <f t="shared" si="4"/>
        <v>0</v>
      </c>
      <c r="J44" s="16"/>
      <c r="K44" s="15"/>
      <c r="L44" s="15">
        <f t="shared" si="0"/>
        <v>0</v>
      </c>
      <c r="M44" s="16"/>
      <c r="N44" s="16"/>
      <c r="O44" s="15">
        <f t="shared" si="1"/>
        <v>0</v>
      </c>
      <c r="P44" s="15">
        <f t="shared" si="2"/>
        <v>0</v>
      </c>
      <c r="Q44" s="15">
        <f t="shared" si="5"/>
        <v>0</v>
      </c>
      <c r="R44" s="17">
        <v>620</v>
      </c>
    </row>
    <row r="45" spans="1:18" ht="16.5" x14ac:dyDescent="0.25">
      <c r="A45" s="12">
        <v>624</v>
      </c>
      <c r="B45" s="13" t="s">
        <v>66</v>
      </c>
      <c r="C45" s="13" t="s">
        <v>54</v>
      </c>
      <c r="D45" s="14"/>
      <c r="E45" s="15">
        <v>6400</v>
      </c>
      <c r="F45" s="15">
        <v>400</v>
      </c>
      <c r="G45" s="15">
        <v>400</v>
      </c>
      <c r="H45" s="15">
        <f t="shared" si="3"/>
        <v>7200</v>
      </c>
      <c r="I45" s="15">
        <f t="shared" si="4"/>
        <v>0</v>
      </c>
      <c r="J45" s="16"/>
      <c r="K45" s="15"/>
      <c r="L45" s="15">
        <f t="shared" si="0"/>
        <v>0</v>
      </c>
      <c r="M45" s="16"/>
      <c r="N45" s="16"/>
      <c r="O45" s="15">
        <f t="shared" si="1"/>
        <v>0</v>
      </c>
      <c r="P45" s="15">
        <f t="shared" si="2"/>
        <v>0</v>
      </c>
      <c r="Q45" s="15">
        <f t="shared" si="5"/>
        <v>0</v>
      </c>
      <c r="R45" s="17">
        <v>624</v>
      </c>
    </row>
    <row r="46" spans="1:18" ht="16.5" x14ac:dyDescent="0.25">
      <c r="A46" s="12">
        <v>626</v>
      </c>
      <c r="B46" s="13" t="s">
        <v>67</v>
      </c>
      <c r="C46" s="13" t="s">
        <v>21</v>
      </c>
      <c r="D46" s="14"/>
      <c r="E46" s="15">
        <v>6400</v>
      </c>
      <c r="F46" s="15">
        <v>300</v>
      </c>
      <c r="G46" s="15">
        <v>400</v>
      </c>
      <c r="H46" s="15">
        <f t="shared" si="3"/>
        <v>7100</v>
      </c>
      <c r="I46" s="15">
        <f t="shared" si="4"/>
        <v>0</v>
      </c>
      <c r="J46" s="16"/>
      <c r="K46" s="15"/>
      <c r="L46" s="15">
        <f t="shared" si="0"/>
        <v>0</v>
      </c>
      <c r="M46" s="16"/>
      <c r="N46" s="16"/>
      <c r="O46" s="15">
        <f t="shared" si="1"/>
        <v>0</v>
      </c>
      <c r="P46" s="15">
        <f t="shared" si="2"/>
        <v>0</v>
      </c>
      <c r="Q46" s="15">
        <f t="shared" si="5"/>
        <v>0</v>
      </c>
      <c r="R46" s="17">
        <v>626</v>
      </c>
    </row>
    <row r="47" spans="1:18" ht="16.5" x14ac:dyDescent="0.25">
      <c r="A47" s="12">
        <v>631</v>
      </c>
      <c r="B47" s="13" t="s">
        <v>65</v>
      </c>
      <c r="C47" s="13" t="s">
        <v>54</v>
      </c>
      <c r="D47" s="14"/>
      <c r="E47" s="15">
        <v>6400</v>
      </c>
      <c r="F47" s="15">
        <v>300</v>
      </c>
      <c r="G47" s="15">
        <v>400</v>
      </c>
      <c r="H47" s="15">
        <f t="shared" si="3"/>
        <v>7100</v>
      </c>
      <c r="I47" s="15">
        <f t="shared" si="4"/>
        <v>0</v>
      </c>
      <c r="J47" s="16"/>
      <c r="K47" s="15"/>
      <c r="L47" s="15">
        <f t="shared" si="0"/>
        <v>0</v>
      </c>
      <c r="M47" s="16"/>
      <c r="N47" s="16"/>
      <c r="O47" s="15">
        <f t="shared" si="1"/>
        <v>0</v>
      </c>
      <c r="P47" s="15">
        <f t="shared" si="2"/>
        <v>0</v>
      </c>
      <c r="Q47" s="15">
        <f t="shared" si="5"/>
        <v>0</v>
      </c>
      <c r="R47" s="17">
        <v>631</v>
      </c>
    </row>
    <row r="48" spans="1:18" ht="16.5" x14ac:dyDescent="0.25">
      <c r="A48" s="12">
        <v>633</v>
      </c>
      <c r="B48" s="13" t="s">
        <v>68</v>
      </c>
      <c r="C48" s="13" t="s">
        <v>30</v>
      </c>
      <c r="D48" s="14"/>
      <c r="E48" s="15">
        <v>6400</v>
      </c>
      <c r="F48" s="15">
        <v>400</v>
      </c>
      <c r="G48" s="15">
        <v>400</v>
      </c>
      <c r="H48" s="15">
        <f t="shared" si="3"/>
        <v>7200</v>
      </c>
      <c r="I48" s="15">
        <f t="shared" si="4"/>
        <v>0</v>
      </c>
      <c r="J48" s="16"/>
      <c r="K48" s="15"/>
      <c r="L48" s="15">
        <f t="shared" si="0"/>
        <v>0</v>
      </c>
      <c r="M48" s="16"/>
      <c r="N48" s="16"/>
      <c r="O48" s="15">
        <f t="shared" si="1"/>
        <v>0</v>
      </c>
      <c r="P48" s="15">
        <f t="shared" si="2"/>
        <v>0</v>
      </c>
      <c r="Q48" s="15">
        <f t="shared" si="5"/>
        <v>0</v>
      </c>
      <c r="R48" s="17">
        <v>633</v>
      </c>
    </row>
    <row r="49" spans="1:18" ht="16.5" x14ac:dyDescent="0.25">
      <c r="A49" s="12">
        <v>650</v>
      </c>
      <c r="B49" s="13" t="s">
        <v>69</v>
      </c>
      <c r="C49" s="13" t="s">
        <v>21</v>
      </c>
      <c r="D49" s="14"/>
      <c r="E49" s="15">
        <v>6400</v>
      </c>
      <c r="F49" s="15">
        <v>300</v>
      </c>
      <c r="G49" s="15">
        <v>400</v>
      </c>
      <c r="H49" s="15">
        <f t="shared" si="3"/>
        <v>7100</v>
      </c>
      <c r="I49" s="15">
        <f t="shared" si="4"/>
        <v>0</v>
      </c>
      <c r="J49" s="16"/>
      <c r="K49" s="15"/>
      <c r="L49" s="15">
        <f t="shared" si="0"/>
        <v>0</v>
      </c>
      <c r="M49" s="16"/>
      <c r="N49" s="16"/>
      <c r="O49" s="15">
        <f t="shared" si="1"/>
        <v>0</v>
      </c>
      <c r="P49" s="15">
        <f t="shared" si="2"/>
        <v>0</v>
      </c>
      <c r="Q49" s="15">
        <f t="shared" si="5"/>
        <v>0</v>
      </c>
      <c r="R49" s="17">
        <v>650</v>
      </c>
    </row>
    <row r="50" spans="1:18" ht="16.5" x14ac:dyDescent="0.25">
      <c r="A50" s="12">
        <v>687</v>
      </c>
      <c r="B50" s="13" t="s">
        <v>70</v>
      </c>
      <c r="C50" s="13" t="s">
        <v>25</v>
      </c>
      <c r="D50" s="14">
        <v>133</v>
      </c>
      <c r="E50" s="15">
        <v>6400</v>
      </c>
      <c r="F50" s="15">
        <v>500</v>
      </c>
      <c r="G50" s="15">
        <v>400</v>
      </c>
      <c r="H50" s="15">
        <f t="shared" si="3"/>
        <v>7300</v>
      </c>
      <c r="I50" s="15">
        <f t="shared" si="4"/>
        <v>970900</v>
      </c>
      <c r="J50" s="16"/>
      <c r="K50" s="15">
        <v>1200000</v>
      </c>
      <c r="L50" s="15">
        <f t="shared" si="0"/>
        <v>2660</v>
      </c>
      <c r="M50" s="16"/>
      <c r="N50" s="16"/>
      <c r="O50" s="15">
        <f t="shared" si="1"/>
        <v>33250</v>
      </c>
      <c r="P50" s="15">
        <f t="shared" si="2"/>
        <v>1235910</v>
      </c>
      <c r="Q50" s="15">
        <f t="shared" si="5"/>
        <v>-265010</v>
      </c>
      <c r="R50" s="17">
        <v>687</v>
      </c>
    </row>
    <row r="51" spans="1:18" ht="16.5" x14ac:dyDescent="0.25">
      <c r="A51" s="12">
        <v>700</v>
      </c>
      <c r="B51" s="13" t="s">
        <v>71</v>
      </c>
      <c r="C51" s="13" t="s">
        <v>43</v>
      </c>
      <c r="D51" s="14">
        <v>216</v>
      </c>
      <c r="E51" s="15">
        <v>6400</v>
      </c>
      <c r="F51" s="15">
        <v>400</v>
      </c>
      <c r="G51" s="15">
        <v>400</v>
      </c>
      <c r="H51" s="15">
        <f t="shared" si="3"/>
        <v>7200</v>
      </c>
      <c r="I51" s="15">
        <f t="shared" si="4"/>
        <v>1555200</v>
      </c>
      <c r="J51" s="16"/>
      <c r="K51" s="15">
        <v>600000</v>
      </c>
      <c r="L51" s="15">
        <f t="shared" si="0"/>
        <v>4320</v>
      </c>
      <c r="M51" s="16"/>
      <c r="N51" s="16"/>
      <c r="O51" s="15">
        <f t="shared" si="1"/>
        <v>54000</v>
      </c>
      <c r="P51" s="15">
        <f t="shared" si="2"/>
        <v>658320</v>
      </c>
      <c r="Q51" s="15">
        <f t="shared" si="5"/>
        <v>896880</v>
      </c>
      <c r="R51" s="17">
        <v>700</v>
      </c>
    </row>
    <row r="52" spans="1:18" ht="16.5" x14ac:dyDescent="0.25">
      <c r="A52" s="12">
        <v>719</v>
      </c>
      <c r="B52" s="13" t="s">
        <v>72</v>
      </c>
      <c r="C52" s="13" t="s">
        <v>47</v>
      </c>
      <c r="D52" s="14">
        <v>94</v>
      </c>
      <c r="E52" s="15">
        <v>6400</v>
      </c>
      <c r="F52" s="15">
        <v>400</v>
      </c>
      <c r="G52" s="15">
        <v>400</v>
      </c>
      <c r="H52" s="15">
        <f t="shared" si="3"/>
        <v>7200</v>
      </c>
      <c r="I52" s="15">
        <f t="shared" si="4"/>
        <v>676800</v>
      </c>
      <c r="J52" s="16"/>
      <c r="K52" s="15"/>
      <c r="L52" s="15">
        <f t="shared" si="0"/>
        <v>1880</v>
      </c>
      <c r="M52" s="16"/>
      <c r="N52" s="16"/>
      <c r="O52" s="15">
        <f t="shared" si="1"/>
        <v>23500</v>
      </c>
      <c r="P52" s="15">
        <f t="shared" si="2"/>
        <v>25380</v>
      </c>
      <c r="Q52" s="15">
        <f t="shared" si="5"/>
        <v>651420</v>
      </c>
      <c r="R52" s="17">
        <v>719</v>
      </c>
    </row>
    <row r="53" spans="1:18" ht="16.5" x14ac:dyDescent="0.25">
      <c r="A53" s="12">
        <v>721</v>
      </c>
      <c r="B53" s="13" t="s">
        <v>69</v>
      </c>
      <c r="C53" s="13" t="s">
        <v>54</v>
      </c>
      <c r="D53" s="14">
        <v>156</v>
      </c>
      <c r="E53" s="15">
        <v>6400</v>
      </c>
      <c r="F53" s="15">
        <v>500</v>
      </c>
      <c r="G53" s="15">
        <v>400</v>
      </c>
      <c r="H53" s="15">
        <f t="shared" si="3"/>
        <v>7300</v>
      </c>
      <c r="I53" s="15">
        <f t="shared" si="4"/>
        <v>1138800</v>
      </c>
      <c r="J53" s="16"/>
      <c r="K53" s="15">
        <v>200000</v>
      </c>
      <c r="L53" s="15">
        <f t="shared" si="0"/>
        <v>3120</v>
      </c>
      <c r="M53" s="16"/>
      <c r="N53" s="16"/>
      <c r="O53" s="15">
        <f t="shared" si="1"/>
        <v>39000</v>
      </c>
      <c r="P53" s="15">
        <f t="shared" si="2"/>
        <v>242120</v>
      </c>
      <c r="Q53" s="15">
        <f t="shared" si="5"/>
        <v>896680</v>
      </c>
      <c r="R53" s="17">
        <v>721</v>
      </c>
    </row>
    <row r="54" spans="1:18" ht="16.5" x14ac:dyDescent="0.25">
      <c r="A54" s="12">
        <v>725</v>
      </c>
      <c r="B54" s="13" t="s">
        <v>73</v>
      </c>
      <c r="C54" s="13" t="s">
        <v>30</v>
      </c>
      <c r="D54" s="14"/>
      <c r="E54" s="15">
        <v>6400</v>
      </c>
      <c r="F54" s="15">
        <v>300</v>
      </c>
      <c r="G54" s="15">
        <v>400</v>
      </c>
      <c r="H54" s="15">
        <f t="shared" si="3"/>
        <v>7100</v>
      </c>
      <c r="I54" s="15">
        <f t="shared" si="4"/>
        <v>0</v>
      </c>
      <c r="J54" s="16"/>
      <c r="K54" s="15"/>
      <c r="L54" s="15">
        <f t="shared" si="0"/>
        <v>0</v>
      </c>
      <c r="M54" s="16"/>
      <c r="N54" s="16"/>
      <c r="O54" s="15">
        <f t="shared" si="1"/>
        <v>0</v>
      </c>
      <c r="P54" s="15">
        <f t="shared" si="2"/>
        <v>0</v>
      </c>
      <c r="Q54" s="15">
        <f t="shared" si="5"/>
        <v>0</v>
      </c>
      <c r="R54" s="17">
        <v>725</v>
      </c>
    </row>
    <row r="55" spans="1:18" ht="16.5" x14ac:dyDescent="0.25">
      <c r="A55" s="12">
        <v>735</v>
      </c>
      <c r="B55" s="13" t="s">
        <v>74</v>
      </c>
      <c r="C55" s="13" t="s">
        <v>43</v>
      </c>
      <c r="D55" s="14"/>
      <c r="E55" s="15">
        <v>6400</v>
      </c>
      <c r="F55" s="15">
        <v>300</v>
      </c>
      <c r="G55" s="15">
        <v>400</v>
      </c>
      <c r="H55" s="15">
        <f t="shared" si="3"/>
        <v>7100</v>
      </c>
      <c r="I55" s="15">
        <f t="shared" si="4"/>
        <v>0</v>
      </c>
      <c r="J55" s="16"/>
      <c r="K55" s="15"/>
      <c r="L55" s="15">
        <f t="shared" si="0"/>
        <v>0</v>
      </c>
      <c r="M55" s="16"/>
      <c r="N55" s="16"/>
      <c r="O55" s="15">
        <f t="shared" si="1"/>
        <v>0</v>
      </c>
      <c r="P55" s="15">
        <f t="shared" si="2"/>
        <v>0</v>
      </c>
      <c r="Q55" s="15">
        <f t="shared" si="5"/>
        <v>0</v>
      </c>
      <c r="R55" s="17">
        <v>735</v>
      </c>
    </row>
    <row r="56" spans="1:18" ht="16.5" x14ac:dyDescent="0.25">
      <c r="A56" s="12">
        <v>737</v>
      </c>
      <c r="B56" s="13" t="s">
        <v>75</v>
      </c>
      <c r="C56" s="13" t="s">
        <v>54</v>
      </c>
      <c r="D56" s="14">
        <v>115</v>
      </c>
      <c r="E56" s="15">
        <v>6400</v>
      </c>
      <c r="F56" s="15">
        <v>600</v>
      </c>
      <c r="G56" s="15">
        <v>400</v>
      </c>
      <c r="H56" s="15">
        <f t="shared" si="3"/>
        <v>7400</v>
      </c>
      <c r="I56" s="15">
        <f t="shared" si="4"/>
        <v>851000</v>
      </c>
      <c r="J56" s="16"/>
      <c r="K56" s="15">
        <v>400000</v>
      </c>
      <c r="L56" s="15">
        <f t="shared" si="0"/>
        <v>2300</v>
      </c>
      <c r="M56" s="20"/>
      <c r="N56" s="20"/>
      <c r="O56" s="15">
        <f t="shared" si="1"/>
        <v>28750</v>
      </c>
      <c r="P56" s="15">
        <f t="shared" si="2"/>
        <v>431050</v>
      </c>
      <c r="Q56" s="15">
        <f t="shared" si="5"/>
        <v>419950</v>
      </c>
      <c r="R56" s="17">
        <v>737</v>
      </c>
    </row>
    <row r="57" spans="1:18" ht="16.5" x14ac:dyDescent="0.25">
      <c r="A57" s="12">
        <v>745</v>
      </c>
      <c r="B57" s="13" t="s">
        <v>76</v>
      </c>
      <c r="C57" s="13" t="s">
        <v>47</v>
      </c>
      <c r="D57" s="19"/>
      <c r="E57" s="15">
        <v>6400</v>
      </c>
      <c r="F57" s="15">
        <v>500</v>
      </c>
      <c r="G57" s="15">
        <v>400</v>
      </c>
      <c r="H57" s="15">
        <f t="shared" si="3"/>
        <v>7300</v>
      </c>
      <c r="I57" s="15">
        <f t="shared" si="4"/>
        <v>0</v>
      </c>
      <c r="J57" s="20"/>
      <c r="K57" s="15"/>
      <c r="L57" s="15">
        <f t="shared" si="0"/>
        <v>0</v>
      </c>
      <c r="M57" s="20"/>
      <c r="N57" s="20"/>
      <c r="O57" s="15">
        <f t="shared" si="1"/>
        <v>0</v>
      </c>
      <c r="P57" s="15">
        <f t="shared" si="2"/>
        <v>0</v>
      </c>
      <c r="Q57" s="15">
        <f t="shared" si="5"/>
        <v>0</v>
      </c>
      <c r="R57" s="17">
        <v>745</v>
      </c>
    </row>
    <row r="58" spans="1:18" ht="16.5" x14ac:dyDescent="0.25">
      <c r="A58" s="12">
        <v>747</v>
      </c>
      <c r="B58" s="13" t="s">
        <v>77</v>
      </c>
      <c r="C58" s="13" t="s">
        <v>54</v>
      </c>
      <c r="D58" s="19"/>
      <c r="E58" s="15">
        <v>6400</v>
      </c>
      <c r="F58" s="15">
        <v>300</v>
      </c>
      <c r="G58" s="15">
        <v>400</v>
      </c>
      <c r="H58" s="15">
        <f t="shared" si="3"/>
        <v>7100</v>
      </c>
      <c r="I58" s="15">
        <f t="shared" si="4"/>
        <v>0</v>
      </c>
      <c r="J58" s="20"/>
      <c r="K58" s="15"/>
      <c r="L58" s="15">
        <f t="shared" si="0"/>
        <v>0</v>
      </c>
      <c r="M58" s="16"/>
      <c r="N58" s="16"/>
      <c r="O58" s="15">
        <f t="shared" si="1"/>
        <v>0</v>
      </c>
      <c r="P58" s="15">
        <f t="shared" si="2"/>
        <v>0</v>
      </c>
      <c r="Q58" s="15">
        <f t="shared" si="5"/>
        <v>0</v>
      </c>
      <c r="R58" s="17">
        <v>747</v>
      </c>
    </row>
    <row r="59" spans="1:18" ht="16.5" x14ac:dyDescent="0.25">
      <c r="A59" s="12">
        <v>749</v>
      </c>
      <c r="B59" s="13" t="s">
        <v>78</v>
      </c>
      <c r="C59" s="13" t="s">
        <v>25</v>
      </c>
      <c r="D59" s="14">
        <v>92</v>
      </c>
      <c r="E59" s="15">
        <v>6400</v>
      </c>
      <c r="F59" s="15">
        <v>500</v>
      </c>
      <c r="G59" s="15">
        <v>400</v>
      </c>
      <c r="H59" s="15">
        <f t="shared" si="3"/>
        <v>7300</v>
      </c>
      <c r="I59" s="15">
        <f t="shared" si="4"/>
        <v>671600</v>
      </c>
      <c r="J59" s="16"/>
      <c r="K59" s="15">
        <v>200000</v>
      </c>
      <c r="L59" s="15">
        <f t="shared" si="0"/>
        <v>1840</v>
      </c>
      <c r="M59" s="16"/>
      <c r="N59" s="16"/>
      <c r="O59" s="15">
        <f t="shared" si="1"/>
        <v>23000</v>
      </c>
      <c r="P59" s="15">
        <f t="shared" si="2"/>
        <v>224840</v>
      </c>
      <c r="Q59" s="15">
        <f t="shared" si="5"/>
        <v>446760</v>
      </c>
      <c r="R59" s="17">
        <v>749</v>
      </c>
    </row>
    <row r="60" spans="1:18" ht="16.5" x14ac:dyDescent="0.25">
      <c r="A60" s="12">
        <v>753</v>
      </c>
      <c r="B60" s="13" t="s">
        <v>79</v>
      </c>
      <c r="C60" s="13" t="s">
        <v>21</v>
      </c>
      <c r="D60" s="14"/>
      <c r="E60" s="15">
        <v>6400</v>
      </c>
      <c r="F60" s="15">
        <v>300</v>
      </c>
      <c r="G60" s="15">
        <v>400</v>
      </c>
      <c r="H60" s="15">
        <f t="shared" si="3"/>
        <v>7100</v>
      </c>
      <c r="I60" s="15">
        <f t="shared" si="4"/>
        <v>0</v>
      </c>
      <c r="J60" s="16"/>
      <c r="K60" s="15"/>
      <c r="L60" s="15">
        <f t="shared" si="0"/>
        <v>0</v>
      </c>
      <c r="M60" s="16"/>
      <c r="N60" s="16"/>
      <c r="O60" s="15">
        <f t="shared" si="1"/>
        <v>0</v>
      </c>
      <c r="P60" s="15">
        <f t="shared" si="2"/>
        <v>0</v>
      </c>
      <c r="Q60" s="15">
        <f t="shared" si="5"/>
        <v>0</v>
      </c>
      <c r="R60" s="17">
        <v>753</v>
      </c>
    </row>
    <row r="61" spans="1:18" ht="16.5" x14ac:dyDescent="0.25">
      <c r="A61" s="12">
        <v>757</v>
      </c>
      <c r="B61" s="13" t="s">
        <v>80</v>
      </c>
      <c r="C61" s="13" t="s">
        <v>21</v>
      </c>
      <c r="D61" s="14"/>
      <c r="E61" s="15">
        <v>6400</v>
      </c>
      <c r="F61" s="15">
        <v>300</v>
      </c>
      <c r="G61" s="15">
        <v>400</v>
      </c>
      <c r="H61" s="15">
        <f t="shared" si="3"/>
        <v>7100</v>
      </c>
      <c r="I61" s="15">
        <f t="shared" si="4"/>
        <v>0</v>
      </c>
      <c r="J61" s="16"/>
      <c r="K61" s="15"/>
      <c r="L61" s="15">
        <f t="shared" si="0"/>
        <v>0</v>
      </c>
      <c r="M61" s="16"/>
      <c r="N61" s="16"/>
      <c r="O61" s="15">
        <f t="shared" si="1"/>
        <v>0</v>
      </c>
      <c r="P61" s="15">
        <f t="shared" si="2"/>
        <v>0</v>
      </c>
      <c r="Q61" s="15">
        <f t="shared" si="5"/>
        <v>0</v>
      </c>
      <c r="R61" s="17">
        <v>757</v>
      </c>
    </row>
    <row r="62" spans="1:18" ht="16.5" x14ac:dyDescent="0.25">
      <c r="A62" s="12">
        <v>759</v>
      </c>
      <c r="B62" s="13" t="s">
        <v>81</v>
      </c>
      <c r="C62" s="13" t="s">
        <v>82</v>
      </c>
      <c r="D62" s="14">
        <v>961</v>
      </c>
      <c r="E62" s="15">
        <v>6400</v>
      </c>
      <c r="F62" s="15">
        <v>600</v>
      </c>
      <c r="G62" s="15">
        <v>400</v>
      </c>
      <c r="H62" s="15">
        <f t="shared" si="3"/>
        <v>7400</v>
      </c>
      <c r="I62" s="15">
        <f t="shared" si="4"/>
        <v>7111400</v>
      </c>
      <c r="J62" s="16"/>
      <c r="K62" s="15"/>
      <c r="L62" s="15">
        <f t="shared" si="0"/>
        <v>19220</v>
      </c>
      <c r="M62" s="20"/>
      <c r="N62" s="20"/>
      <c r="O62" s="15">
        <f t="shared" si="1"/>
        <v>240250</v>
      </c>
      <c r="P62" s="15">
        <f t="shared" si="2"/>
        <v>259470</v>
      </c>
      <c r="Q62" s="15">
        <f t="shared" si="5"/>
        <v>6851930</v>
      </c>
      <c r="R62" s="17">
        <v>759</v>
      </c>
    </row>
    <row r="63" spans="1:18" ht="16.5" x14ac:dyDescent="0.25">
      <c r="A63" s="12">
        <v>761</v>
      </c>
      <c r="B63" s="13" t="s">
        <v>83</v>
      </c>
      <c r="C63" s="13" t="s">
        <v>25</v>
      </c>
      <c r="D63" s="19"/>
      <c r="E63" s="15">
        <v>6400</v>
      </c>
      <c r="F63" s="15">
        <v>300</v>
      </c>
      <c r="G63" s="15">
        <v>400</v>
      </c>
      <c r="H63" s="15">
        <f t="shared" si="3"/>
        <v>7100</v>
      </c>
      <c r="I63" s="15">
        <f t="shared" si="4"/>
        <v>0</v>
      </c>
      <c r="J63" s="20"/>
      <c r="K63" s="15"/>
      <c r="L63" s="15">
        <f t="shared" si="0"/>
        <v>0</v>
      </c>
      <c r="M63" s="20"/>
      <c r="N63" s="20"/>
      <c r="O63" s="15">
        <f t="shared" si="1"/>
        <v>0</v>
      </c>
      <c r="P63" s="15">
        <f t="shared" si="2"/>
        <v>0</v>
      </c>
      <c r="Q63" s="15">
        <f t="shared" si="5"/>
        <v>0</v>
      </c>
      <c r="R63" s="17">
        <v>761</v>
      </c>
    </row>
    <row r="64" spans="1:18" ht="16.5" x14ac:dyDescent="0.25">
      <c r="A64" s="12">
        <v>769</v>
      </c>
      <c r="B64" s="13" t="s">
        <v>84</v>
      </c>
      <c r="C64" s="13" t="s">
        <v>25</v>
      </c>
      <c r="D64" s="19"/>
      <c r="E64" s="15">
        <v>6400</v>
      </c>
      <c r="F64" s="15">
        <v>400</v>
      </c>
      <c r="G64" s="15">
        <v>400</v>
      </c>
      <c r="H64" s="15">
        <f t="shared" si="3"/>
        <v>7200</v>
      </c>
      <c r="I64" s="15">
        <f t="shared" si="4"/>
        <v>0</v>
      </c>
      <c r="J64" s="20"/>
      <c r="K64" s="15"/>
      <c r="L64" s="15">
        <f t="shared" si="0"/>
        <v>0</v>
      </c>
      <c r="M64" s="20"/>
      <c r="N64" s="20"/>
      <c r="O64" s="15">
        <f t="shared" si="1"/>
        <v>0</v>
      </c>
      <c r="P64" s="15">
        <f t="shared" si="2"/>
        <v>0</v>
      </c>
      <c r="Q64" s="15">
        <f t="shared" si="5"/>
        <v>0</v>
      </c>
      <c r="R64" s="17">
        <v>769</v>
      </c>
    </row>
    <row r="65" spans="1:18" ht="16.5" x14ac:dyDescent="0.25">
      <c r="A65" s="12">
        <v>771</v>
      </c>
      <c r="B65" s="13" t="s">
        <v>70</v>
      </c>
      <c r="C65" s="13" t="s">
        <v>47</v>
      </c>
      <c r="D65" s="19"/>
      <c r="E65" s="15">
        <v>6400</v>
      </c>
      <c r="F65" s="15">
        <v>300</v>
      </c>
      <c r="G65" s="15">
        <v>400</v>
      </c>
      <c r="H65" s="15">
        <f t="shared" si="3"/>
        <v>7100</v>
      </c>
      <c r="I65" s="15">
        <f t="shared" si="4"/>
        <v>0</v>
      </c>
      <c r="J65" s="20"/>
      <c r="K65" s="15"/>
      <c r="L65" s="15">
        <f t="shared" si="0"/>
        <v>0</v>
      </c>
      <c r="M65" s="20"/>
      <c r="N65" s="20"/>
      <c r="O65" s="15">
        <f t="shared" si="1"/>
        <v>0</v>
      </c>
      <c r="P65" s="15">
        <f t="shared" si="2"/>
        <v>0</v>
      </c>
      <c r="Q65" s="15">
        <f t="shared" si="5"/>
        <v>0</v>
      </c>
      <c r="R65" s="17">
        <v>771</v>
      </c>
    </row>
    <row r="66" spans="1:18" ht="16.5" x14ac:dyDescent="0.25">
      <c r="A66" s="12">
        <v>772</v>
      </c>
      <c r="B66" s="13" t="s">
        <v>85</v>
      </c>
      <c r="C66" s="13" t="s">
        <v>43</v>
      </c>
      <c r="D66" s="19">
        <v>324</v>
      </c>
      <c r="E66" s="15">
        <v>6400</v>
      </c>
      <c r="F66" s="15">
        <v>500</v>
      </c>
      <c r="G66" s="15">
        <v>400</v>
      </c>
      <c r="H66" s="15">
        <f t="shared" si="3"/>
        <v>7300</v>
      </c>
      <c r="I66" s="15">
        <f t="shared" si="4"/>
        <v>2365200</v>
      </c>
      <c r="J66" s="20"/>
      <c r="K66" s="15">
        <v>600000</v>
      </c>
      <c r="L66" s="15">
        <f t="shared" si="0"/>
        <v>6480</v>
      </c>
      <c r="M66" s="20"/>
      <c r="N66" s="20"/>
      <c r="O66" s="15">
        <f t="shared" si="1"/>
        <v>81000</v>
      </c>
      <c r="P66" s="15">
        <f t="shared" si="2"/>
        <v>687480</v>
      </c>
      <c r="Q66" s="15">
        <f t="shared" si="5"/>
        <v>1677720</v>
      </c>
      <c r="R66" s="17">
        <v>772</v>
      </c>
    </row>
    <row r="67" spans="1:18" ht="16.5" x14ac:dyDescent="0.25">
      <c r="A67" s="12">
        <v>778</v>
      </c>
      <c r="B67" s="13" t="s">
        <v>51</v>
      </c>
      <c r="C67" s="13" t="s">
        <v>43</v>
      </c>
      <c r="D67" s="19"/>
      <c r="E67" s="15">
        <v>6400</v>
      </c>
      <c r="F67" s="15">
        <v>300</v>
      </c>
      <c r="G67" s="15">
        <v>400</v>
      </c>
      <c r="H67" s="15">
        <f t="shared" si="3"/>
        <v>7100</v>
      </c>
      <c r="I67" s="15">
        <f t="shared" si="4"/>
        <v>0</v>
      </c>
      <c r="J67" s="20"/>
      <c r="K67" s="15"/>
      <c r="L67" s="15">
        <f t="shared" si="0"/>
        <v>0</v>
      </c>
      <c r="M67" s="20"/>
      <c r="N67" s="20"/>
      <c r="O67" s="15">
        <f t="shared" si="1"/>
        <v>0</v>
      </c>
      <c r="P67" s="15">
        <f t="shared" si="2"/>
        <v>0</v>
      </c>
      <c r="Q67" s="15">
        <f t="shared" si="5"/>
        <v>0</v>
      </c>
      <c r="R67" s="17">
        <v>778</v>
      </c>
    </row>
    <row r="68" spans="1:18" ht="16.5" x14ac:dyDescent="0.25">
      <c r="A68" s="12">
        <v>779</v>
      </c>
      <c r="B68" s="13" t="s">
        <v>86</v>
      </c>
      <c r="C68" s="13" t="s">
        <v>43</v>
      </c>
      <c r="D68" s="19"/>
      <c r="E68" s="15">
        <v>6400</v>
      </c>
      <c r="F68" s="15">
        <v>300</v>
      </c>
      <c r="G68" s="15">
        <v>400</v>
      </c>
      <c r="H68" s="15">
        <f t="shared" si="3"/>
        <v>7100</v>
      </c>
      <c r="I68" s="15">
        <f t="shared" si="4"/>
        <v>0</v>
      </c>
      <c r="J68" s="20"/>
      <c r="K68" s="15"/>
      <c r="L68" s="15">
        <f t="shared" si="0"/>
        <v>0</v>
      </c>
      <c r="M68" s="16"/>
      <c r="N68" s="16"/>
      <c r="O68" s="15">
        <f t="shared" si="1"/>
        <v>0</v>
      </c>
      <c r="P68" s="15">
        <f t="shared" si="2"/>
        <v>0</v>
      </c>
      <c r="Q68" s="15">
        <f t="shared" si="5"/>
        <v>0</v>
      </c>
      <c r="R68" s="17">
        <v>779</v>
      </c>
    </row>
    <row r="69" spans="1:18" ht="16.5" x14ac:dyDescent="0.25">
      <c r="A69" s="12">
        <v>784</v>
      </c>
      <c r="B69" s="13" t="s">
        <v>87</v>
      </c>
      <c r="C69" s="13" t="s">
        <v>43</v>
      </c>
      <c r="D69" s="14">
        <v>187</v>
      </c>
      <c r="E69" s="15">
        <v>6400</v>
      </c>
      <c r="F69" s="15">
        <v>600</v>
      </c>
      <c r="G69" s="15">
        <v>400</v>
      </c>
      <c r="H69" s="15">
        <f t="shared" si="3"/>
        <v>7400</v>
      </c>
      <c r="I69" s="15">
        <f t="shared" si="4"/>
        <v>1383800</v>
      </c>
      <c r="J69" s="16"/>
      <c r="K69" s="15">
        <v>800000</v>
      </c>
      <c r="L69" s="15">
        <f t="shared" ref="L69:L132" si="6">D69*20</f>
        <v>3740</v>
      </c>
      <c r="M69" s="20"/>
      <c r="N69" s="20"/>
      <c r="O69" s="15">
        <f t="shared" ref="O69:O132" si="7">250*D69</f>
        <v>46750</v>
      </c>
      <c r="P69" s="15">
        <f t="shared" ref="P69:P132" si="8">SUM(J69:O69)</f>
        <v>850490</v>
      </c>
      <c r="Q69" s="15">
        <f t="shared" ref="Q69:Q132" si="9">I69-P69</f>
        <v>533310</v>
      </c>
      <c r="R69" s="17">
        <v>784</v>
      </c>
    </row>
    <row r="70" spans="1:18" ht="16.5" x14ac:dyDescent="0.25">
      <c r="A70" s="12">
        <v>787</v>
      </c>
      <c r="B70" s="13" t="s">
        <v>70</v>
      </c>
      <c r="C70" s="13" t="s">
        <v>30</v>
      </c>
      <c r="D70" s="19"/>
      <c r="E70" s="15">
        <v>6400</v>
      </c>
      <c r="F70" s="15">
        <v>300</v>
      </c>
      <c r="G70" s="15">
        <v>400</v>
      </c>
      <c r="H70" s="15">
        <f t="shared" ref="H70:H133" si="10">SUM(E70:G70)</f>
        <v>7100</v>
      </c>
      <c r="I70" s="15">
        <f t="shared" ref="I70:I133" si="11">H70*D70</f>
        <v>0</v>
      </c>
      <c r="J70" s="20"/>
      <c r="K70" s="15"/>
      <c r="L70" s="15">
        <f t="shared" si="6"/>
        <v>0</v>
      </c>
      <c r="M70" s="16"/>
      <c r="N70" s="16"/>
      <c r="O70" s="15">
        <f t="shared" si="7"/>
        <v>0</v>
      </c>
      <c r="P70" s="15">
        <f t="shared" si="8"/>
        <v>0</v>
      </c>
      <c r="Q70" s="15">
        <f t="shared" si="9"/>
        <v>0</v>
      </c>
      <c r="R70" s="17">
        <v>787</v>
      </c>
    </row>
    <row r="71" spans="1:18" ht="16.5" x14ac:dyDescent="0.25">
      <c r="A71" s="12">
        <v>793</v>
      </c>
      <c r="B71" s="13" t="s">
        <v>88</v>
      </c>
      <c r="C71" s="13" t="s">
        <v>47</v>
      </c>
      <c r="D71" s="14"/>
      <c r="E71" s="15">
        <v>6400</v>
      </c>
      <c r="F71" s="15">
        <v>400</v>
      </c>
      <c r="G71" s="15">
        <v>400</v>
      </c>
      <c r="H71" s="15">
        <f t="shared" si="10"/>
        <v>7200</v>
      </c>
      <c r="I71" s="15">
        <f t="shared" si="11"/>
        <v>0</v>
      </c>
      <c r="J71" s="16"/>
      <c r="K71" s="15"/>
      <c r="L71" s="15">
        <f t="shared" si="6"/>
        <v>0</v>
      </c>
      <c r="M71" s="16"/>
      <c r="N71" s="16"/>
      <c r="O71" s="15">
        <f t="shared" si="7"/>
        <v>0</v>
      </c>
      <c r="P71" s="15">
        <f t="shared" si="8"/>
        <v>0</v>
      </c>
      <c r="Q71" s="15">
        <f t="shared" si="9"/>
        <v>0</v>
      </c>
      <c r="R71" s="17">
        <v>793</v>
      </c>
    </row>
    <row r="72" spans="1:18" ht="16.5" x14ac:dyDescent="0.25">
      <c r="A72" s="12">
        <v>794</v>
      </c>
      <c r="B72" s="13" t="s">
        <v>89</v>
      </c>
      <c r="C72" s="13" t="s">
        <v>25</v>
      </c>
      <c r="D72" s="14">
        <v>43</v>
      </c>
      <c r="E72" s="15">
        <v>6400</v>
      </c>
      <c r="F72" s="15">
        <v>400</v>
      </c>
      <c r="G72" s="15">
        <v>400</v>
      </c>
      <c r="H72" s="15">
        <f t="shared" si="10"/>
        <v>7200</v>
      </c>
      <c r="I72" s="15">
        <f t="shared" si="11"/>
        <v>309600</v>
      </c>
      <c r="J72" s="16"/>
      <c r="K72" s="15">
        <v>200000</v>
      </c>
      <c r="L72" s="15">
        <f t="shared" si="6"/>
        <v>860</v>
      </c>
      <c r="M72" s="20"/>
      <c r="N72" s="20"/>
      <c r="O72" s="15">
        <f t="shared" si="7"/>
        <v>10750</v>
      </c>
      <c r="P72" s="15">
        <f t="shared" si="8"/>
        <v>211610</v>
      </c>
      <c r="Q72" s="15">
        <f t="shared" si="9"/>
        <v>97990</v>
      </c>
      <c r="R72" s="17">
        <v>794</v>
      </c>
    </row>
    <row r="73" spans="1:18" ht="16.5" x14ac:dyDescent="0.25">
      <c r="A73" s="12">
        <v>797</v>
      </c>
      <c r="B73" s="13" t="s">
        <v>90</v>
      </c>
      <c r="C73" s="13" t="s">
        <v>30</v>
      </c>
      <c r="D73" s="19"/>
      <c r="E73" s="15">
        <v>6400</v>
      </c>
      <c r="F73" s="15">
        <v>500</v>
      </c>
      <c r="G73" s="15">
        <v>400</v>
      </c>
      <c r="H73" s="15">
        <f t="shared" si="10"/>
        <v>7300</v>
      </c>
      <c r="I73" s="15">
        <f t="shared" si="11"/>
        <v>0</v>
      </c>
      <c r="J73" s="20"/>
      <c r="K73" s="15"/>
      <c r="L73" s="15">
        <f t="shared" si="6"/>
        <v>0</v>
      </c>
      <c r="M73" s="20"/>
      <c r="N73" s="20"/>
      <c r="O73" s="15">
        <f t="shared" si="7"/>
        <v>0</v>
      </c>
      <c r="P73" s="15">
        <f t="shared" si="8"/>
        <v>0</v>
      </c>
      <c r="Q73" s="15">
        <f t="shared" si="9"/>
        <v>0</v>
      </c>
      <c r="R73" s="17">
        <v>797</v>
      </c>
    </row>
    <row r="74" spans="1:18" ht="16.5" x14ac:dyDescent="0.25">
      <c r="A74" s="12">
        <v>799</v>
      </c>
      <c r="B74" s="13" t="s">
        <v>91</v>
      </c>
      <c r="C74" s="13" t="s">
        <v>21</v>
      </c>
      <c r="D74" s="19"/>
      <c r="E74" s="15">
        <v>6400</v>
      </c>
      <c r="F74" s="15">
        <v>300</v>
      </c>
      <c r="G74" s="15">
        <v>400</v>
      </c>
      <c r="H74" s="15">
        <f t="shared" si="10"/>
        <v>7100</v>
      </c>
      <c r="I74" s="15">
        <f t="shared" si="11"/>
        <v>0</v>
      </c>
      <c r="J74" s="20"/>
      <c r="K74" s="15"/>
      <c r="L74" s="15">
        <f t="shared" si="6"/>
        <v>0</v>
      </c>
      <c r="M74" s="16"/>
      <c r="N74" s="16"/>
      <c r="O74" s="15">
        <f t="shared" si="7"/>
        <v>0</v>
      </c>
      <c r="P74" s="15">
        <f t="shared" si="8"/>
        <v>0</v>
      </c>
      <c r="Q74" s="15">
        <f t="shared" si="9"/>
        <v>0</v>
      </c>
      <c r="R74" s="17">
        <v>799</v>
      </c>
    </row>
    <row r="75" spans="1:18" ht="16.5" x14ac:dyDescent="0.25">
      <c r="A75" s="12">
        <v>802</v>
      </c>
      <c r="B75" s="13" t="s">
        <v>92</v>
      </c>
      <c r="C75" s="13" t="s">
        <v>30</v>
      </c>
      <c r="D75" s="14"/>
      <c r="E75" s="15">
        <v>6400</v>
      </c>
      <c r="F75" s="15">
        <v>500</v>
      </c>
      <c r="G75" s="15">
        <v>400</v>
      </c>
      <c r="H75" s="15">
        <f t="shared" si="10"/>
        <v>7300</v>
      </c>
      <c r="I75" s="15">
        <f t="shared" si="11"/>
        <v>0</v>
      </c>
      <c r="J75" s="16"/>
      <c r="K75" s="15"/>
      <c r="L75" s="15">
        <f t="shared" si="6"/>
        <v>0</v>
      </c>
      <c r="M75" s="20"/>
      <c r="N75" s="20"/>
      <c r="O75" s="15">
        <f t="shared" si="7"/>
        <v>0</v>
      </c>
      <c r="P75" s="15">
        <f t="shared" si="8"/>
        <v>0</v>
      </c>
      <c r="Q75" s="15">
        <f t="shared" si="9"/>
        <v>0</v>
      </c>
      <c r="R75" s="17">
        <v>802</v>
      </c>
    </row>
    <row r="76" spans="1:18" ht="16.5" x14ac:dyDescent="0.25">
      <c r="A76" s="12">
        <v>805</v>
      </c>
      <c r="B76" s="13" t="s">
        <v>42</v>
      </c>
      <c r="C76" s="13" t="s">
        <v>30</v>
      </c>
      <c r="D76" s="19">
        <v>121</v>
      </c>
      <c r="E76" s="15">
        <v>6400</v>
      </c>
      <c r="F76" s="15">
        <v>500</v>
      </c>
      <c r="G76" s="15">
        <v>400</v>
      </c>
      <c r="H76" s="15">
        <f t="shared" si="10"/>
        <v>7300</v>
      </c>
      <c r="I76" s="15">
        <f t="shared" si="11"/>
        <v>883300</v>
      </c>
      <c r="J76" s="20"/>
      <c r="K76" s="15"/>
      <c r="L76" s="15">
        <f t="shared" si="6"/>
        <v>2420</v>
      </c>
      <c r="M76" s="20"/>
      <c r="N76" s="20"/>
      <c r="O76" s="15">
        <f t="shared" si="7"/>
        <v>30250</v>
      </c>
      <c r="P76" s="15">
        <f t="shared" si="8"/>
        <v>32670</v>
      </c>
      <c r="Q76" s="15">
        <f t="shared" si="9"/>
        <v>850630</v>
      </c>
      <c r="R76" s="17">
        <v>805</v>
      </c>
    </row>
    <row r="77" spans="1:18" ht="16.5" x14ac:dyDescent="0.25">
      <c r="A77" s="12">
        <v>808</v>
      </c>
      <c r="B77" s="13" t="s">
        <v>93</v>
      </c>
      <c r="C77" s="13" t="s">
        <v>21</v>
      </c>
      <c r="D77" s="19"/>
      <c r="E77" s="15">
        <v>6400</v>
      </c>
      <c r="F77" s="15">
        <v>300</v>
      </c>
      <c r="G77" s="15">
        <v>400</v>
      </c>
      <c r="H77" s="15">
        <f t="shared" si="10"/>
        <v>7100</v>
      </c>
      <c r="I77" s="15">
        <f t="shared" si="11"/>
        <v>0</v>
      </c>
      <c r="J77" s="20"/>
      <c r="K77" s="15"/>
      <c r="L77" s="15">
        <f t="shared" si="6"/>
        <v>0</v>
      </c>
      <c r="M77" s="16"/>
      <c r="N77" s="16"/>
      <c r="O77" s="15">
        <f t="shared" si="7"/>
        <v>0</v>
      </c>
      <c r="P77" s="15">
        <f t="shared" si="8"/>
        <v>0</v>
      </c>
      <c r="Q77" s="15">
        <f t="shared" si="9"/>
        <v>0</v>
      </c>
      <c r="R77" s="17">
        <v>808</v>
      </c>
    </row>
    <row r="78" spans="1:18" ht="16.5" x14ac:dyDescent="0.25">
      <c r="A78" s="12">
        <v>809</v>
      </c>
      <c r="B78" s="13" t="s">
        <v>94</v>
      </c>
      <c r="C78" s="13" t="s">
        <v>43</v>
      </c>
      <c r="D78" s="14">
        <v>452</v>
      </c>
      <c r="E78" s="15">
        <v>6400</v>
      </c>
      <c r="F78" s="15">
        <v>600</v>
      </c>
      <c r="G78" s="15">
        <v>400</v>
      </c>
      <c r="H78" s="15">
        <f t="shared" si="10"/>
        <v>7400</v>
      </c>
      <c r="I78" s="15">
        <f t="shared" si="11"/>
        <v>3344800</v>
      </c>
      <c r="J78" s="16"/>
      <c r="K78" s="15">
        <v>1600000</v>
      </c>
      <c r="L78" s="15">
        <f t="shared" si="6"/>
        <v>9040</v>
      </c>
      <c r="M78" s="20"/>
      <c r="N78" s="20"/>
      <c r="O78" s="15">
        <f t="shared" si="7"/>
        <v>113000</v>
      </c>
      <c r="P78" s="15">
        <f t="shared" si="8"/>
        <v>1722040</v>
      </c>
      <c r="Q78" s="15">
        <f t="shared" si="9"/>
        <v>1622760</v>
      </c>
      <c r="R78" s="17">
        <v>809</v>
      </c>
    </row>
    <row r="79" spans="1:18" ht="16.5" x14ac:dyDescent="0.25">
      <c r="A79" s="12">
        <v>811</v>
      </c>
      <c r="B79" s="13" t="s">
        <v>95</v>
      </c>
      <c r="C79" s="13" t="s">
        <v>25</v>
      </c>
      <c r="D79" s="19"/>
      <c r="E79" s="15">
        <v>6400</v>
      </c>
      <c r="F79" s="15">
        <v>300</v>
      </c>
      <c r="G79" s="15">
        <v>400</v>
      </c>
      <c r="H79" s="15">
        <f t="shared" si="10"/>
        <v>7100</v>
      </c>
      <c r="I79" s="15">
        <f t="shared" si="11"/>
        <v>0</v>
      </c>
      <c r="J79" s="20"/>
      <c r="K79" s="15"/>
      <c r="L79" s="15">
        <f t="shared" si="6"/>
        <v>0</v>
      </c>
      <c r="M79" s="16"/>
      <c r="N79" s="16"/>
      <c r="O79" s="15">
        <f t="shared" si="7"/>
        <v>0</v>
      </c>
      <c r="P79" s="15">
        <f t="shared" si="8"/>
        <v>0</v>
      </c>
      <c r="Q79" s="15">
        <f t="shared" si="9"/>
        <v>0</v>
      </c>
      <c r="R79" s="17">
        <v>811</v>
      </c>
    </row>
    <row r="80" spans="1:18" ht="16.5" x14ac:dyDescent="0.25">
      <c r="A80" s="12">
        <v>813</v>
      </c>
      <c r="B80" s="13" t="s">
        <v>96</v>
      </c>
      <c r="C80" s="13" t="s">
        <v>25</v>
      </c>
      <c r="D80" s="14"/>
      <c r="E80" s="15">
        <v>6400</v>
      </c>
      <c r="F80" s="15">
        <v>400</v>
      </c>
      <c r="G80" s="15">
        <v>400</v>
      </c>
      <c r="H80" s="15">
        <f t="shared" si="10"/>
        <v>7200</v>
      </c>
      <c r="I80" s="15">
        <f t="shared" si="11"/>
        <v>0</v>
      </c>
      <c r="J80" s="16"/>
      <c r="K80" s="15"/>
      <c r="L80" s="15">
        <f t="shared" si="6"/>
        <v>0</v>
      </c>
      <c r="M80" s="16"/>
      <c r="N80" s="16"/>
      <c r="O80" s="15">
        <f t="shared" si="7"/>
        <v>0</v>
      </c>
      <c r="P80" s="15">
        <f t="shared" si="8"/>
        <v>0</v>
      </c>
      <c r="Q80" s="15">
        <f t="shared" si="9"/>
        <v>0</v>
      </c>
      <c r="R80" s="17">
        <v>813</v>
      </c>
    </row>
    <row r="81" spans="1:18" ht="16.5" x14ac:dyDescent="0.25">
      <c r="A81" s="12">
        <v>818</v>
      </c>
      <c r="B81" s="13" t="s">
        <v>97</v>
      </c>
      <c r="C81" s="13" t="s">
        <v>43</v>
      </c>
      <c r="D81" s="14"/>
      <c r="E81" s="15">
        <v>6400</v>
      </c>
      <c r="F81" s="15">
        <v>300</v>
      </c>
      <c r="G81" s="15">
        <v>400</v>
      </c>
      <c r="H81" s="15">
        <f t="shared" si="10"/>
        <v>7100</v>
      </c>
      <c r="I81" s="15">
        <f t="shared" si="11"/>
        <v>0</v>
      </c>
      <c r="J81" s="16"/>
      <c r="K81" s="15">
        <v>100000</v>
      </c>
      <c r="L81" s="15">
        <f t="shared" si="6"/>
        <v>0</v>
      </c>
      <c r="M81" s="16"/>
      <c r="N81" s="16"/>
      <c r="O81" s="15">
        <f t="shared" si="7"/>
        <v>0</v>
      </c>
      <c r="P81" s="15">
        <f t="shared" si="8"/>
        <v>100000</v>
      </c>
      <c r="Q81" s="15">
        <f t="shared" si="9"/>
        <v>-100000</v>
      </c>
      <c r="R81" s="17">
        <v>818</v>
      </c>
    </row>
    <row r="82" spans="1:18" ht="16.5" x14ac:dyDescent="0.25">
      <c r="A82" s="12">
        <v>820</v>
      </c>
      <c r="B82" s="13" t="s">
        <v>56</v>
      </c>
      <c r="C82" s="13" t="s">
        <v>43</v>
      </c>
      <c r="D82" s="14"/>
      <c r="E82" s="15">
        <v>6400</v>
      </c>
      <c r="F82" s="15">
        <v>300</v>
      </c>
      <c r="G82" s="15">
        <v>400</v>
      </c>
      <c r="H82" s="15">
        <f t="shared" si="10"/>
        <v>7100</v>
      </c>
      <c r="I82" s="15">
        <f t="shared" si="11"/>
        <v>0</v>
      </c>
      <c r="J82" s="16"/>
      <c r="K82" s="15"/>
      <c r="L82" s="15">
        <f t="shared" si="6"/>
        <v>0</v>
      </c>
      <c r="M82" s="16"/>
      <c r="N82" s="16"/>
      <c r="O82" s="15">
        <f t="shared" si="7"/>
        <v>0</v>
      </c>
      <c r="P82" s="15">
        <f t="shared" si="8"/>
        <v>0</v>
      </c>
      <c r="Q82" s="15">
        <f t="shared" si="9"/>
        <v>0</v>
      </c>
      <c r="R82" s="17">
        <v>820</v>
      </c>
    </row>
    <row r="83" spans="1:18" ht="16.5" x14ac:dyDescent="0.25">
      <c r="A83" s="12">
        <v>823</v>
      </c>
      <c r="B83" s="13" t="s">
        <v>98</v>
      </c>
      <c r="C83" s="13" t="s">
        <v>54</v>
      </c>
      <c r="D83" s="14">
        <v>158</v>
      </c>
      <c r="E83" s="15">
        <v>6400</v>
      </c>
      <c r="F83" s="15">
        <v>600</v>
      </c>
      <c r="G83" s="15">
        <v>400</v>
      </c>
      <c r="H83" s="15">
        <f t="shared" si="10"/>
        <v>7400</v>
      </c>
      <c r="I83" s="15">
        <f t="shared" si="11"/>
        <v>1169200</v>
      </c>
      <c r="J83" s="16"/>
      <c r="K83" s="15">
        <v>400000</v>
      </c>
      <c r="L83" s="15">
        <f t="shared" si="6"/>
        <v>3160</v>
      </c>
      <c r="M83" s="20"/>
      <c r="N83" s="20"/>
      <c r="O83" s="15">
        <f t="shared" si="7"/>
        <v>39500</v>
      </c>
      <c r="P83" s="15">
        <f t="shared" si="8"/>
        <v>442660</v>
      </c>
      <c r="Q83" s="15">
        <f t="shared" si="9"/>
        <v>726540</v>
      </c>
      <c r="R83" s="17">
        <v>823</v>
      </c>
    </row>
    <row r="84" spans="1:18" ht="16.5" x14ac:dyDescent="0.25">
      <c r="A84" s="12">
        <v>825</v>
      </c>
      <c r="B84" s="13" t="s">
        <v>99</v>
      </c>
      <c r="C84" s="13" t="s">
        <v>21</v>
      </c>
      <c r="D84" s="19"/>
      <c r="E84" s="15">
        <v>6400</v>
      </c>
      <c r="F84" s="15">
        <v>300</v>
      </c>
      <c r="G84" s="15">
        <v>400</v>
      </c>
      <c r="H84" s="15">
        <f t="shared" si="10"/>
        <v>7100</v>
      </c>
      <c r="I84" s="15">
        <f t="shared" si="11"/>
        <v>0</v>
      </c>
      <c r="J84" s="20"/>
      <c r="K84" s="15"/>
      <c r="L84" s="15">
        <f t="shared" si="6"/>
        <v>0</v>
      </c>
      <c r="M84" s="16"/>
      <c r="N84" s="16"/>
      <c r="O84" s="15">
        <f t="shared" si="7"/>
        <v>0</v>
      </c>
      <c r="P84" s="15">
        <f t="shared" si="8"/>
        <v>0</v>
      </c>
      <c r="Q84" s="15">
        <f t="shared" si="9"/>
        <v>0</v>
      </c>
      <c r="R84" s="17">
        <v>825</v>
      </c>
    </row>
    <row r="85" spans="1:18" ht="16.5" x14ac:dyDescent="0.25">
      <c r="A85" s="12">
        <v>827</v>
      </c>
      <c r="B85" s="13" t="s">
        <v>100</v>
      </c>
      <c r="C85" s="13" t="s">
        <v>21</v>
      </c>
      <c r="D85" s="14">
        <v>242</v>
      </c>
      <c r="E85" s="15">
        <v>6400</v>
      </c>
      <c r="F85" s="15">
        <v>600</v>
      </c>
      <c r="G85" s="15">
        <v>400</v>
      </c>
      <c r="H85" s="15">
        <f t="shared" si="10"/>
        <v>7400</v>
      </c>
      <c r="I85" s="15">
        <f t="shared" si="11"/>
        <v>1790800</v>
      </c>
      <c r="J85" s="16"/>
      <c r="K85" s="15">
        <v>800000</v>
      </c>
      <c r="L85" s="15">
        <f t="shared" si="6"/>
        <v>4840</v>
      </c>
      <c r="M85" s="20"/>
      <c r="N85" s="20"/>
      <c r="O85" s="15">
        <f t="shared" si="7"/>
        <v>60500</v>
      </c>
      <c r="P85" s="15">
        <f t="shared" si="8"/>
        <v>865340</v>
      </c>
      <c r="Q85" s="15">
        <f t="shared" si="9"/>
        <v>925460</v>
      </c>
      <c r="R85" s="17">
        <v>827</v>
      </c>
    </row>
    <row r="86" spans="1:18" ht="16.5" x14ac:dyDescent="0.25">
      <c r="A86" s="12">
        <v>832</v>
      </c>
      <c r="B86" s="13" t="s">
        <v>101</v>
      </c>
      <c r="C86" s="13" t="s">
        <v>47</v>
      </c>
      <c r="D86" s="19"/>
      <c r="E86" s="15">
        <v>6400</v>
      </c>
      <c r="F86" s="15">
        <v>300</v>
      </c>
      <c r="G86" s="15">
        <v>400</v>
      </c>
      <c r="H86" s="15">
        <f t="shared" si="10"/>
        <v>7100</v>
      </c>
      <c r="I86" s="15">
        <f t="shared" si="11"/>
        <v>0</v>
      </c>
      <c r="J86" s="20"/>
      <c r="K86" s="15"/>
      <c r="L86" s="15">
        <f t="shared" si="6"/>
        <v>0</v>
      </c>
      <c r="M86" s="20"/>
      <c r="N86" s="20"/>
      <c r="O86" s="15">
        <f t="shared" si="7"/>
        <v>0</v>
      </c>
      <c r="P86" s="15">
        <f t="shared" si="8"/>
        <v>0</v>
      </c>
      <c r="Q86" s="15">
        <f t="shared" si="9"/>
        <v>0</v>
      </c>
      <c r="R86" s="17">
        <v>832</v>
      </c>
    </row>
    <row r="87" spans="1:18" ht="16.5" x14ac:dyDescent="0.25">
      <c r="A87" s="12">
        <v>833</v>
      </c>
      <c r="B87" s="13" t="s">
        <v>102</v>
      </c>
      <c r="C87" s="13" t="s">
        <v>25</v>
      </c>
      <c r="D87" s="19"/>
      <c r="E87" s="15">
        <v>6400</v>
      </c>
      <c r="F87" s="15">
        <v>300</v>
      </c>
      <c r="G87" s="15">
        <v>400</v>
      </c>
      <c r="H87" s="15">
        <f t="shared" si="10"/>
        <v>7100</v>
      </c>
      <c r="I87" s="15">
        <f t="shared" si="11"/>
        <v>0</v>
      </c>
      <c r="J87" s="20"/>
      <c r="K87" s="15"/>
      <c r="L87" s="15">
        <f t="shared" si="6"/>
        <v>0</v>
      </c>
      <c r="M87" s="20"/>
      <c r="N87" s="20"/>
      <c r="O87" s="15">
        <f t="shared" si="7"/>
        <v>0</v>
      </c>
      <c r="P87" s="15">
        <f t="shared" si="8"/>
        <v>0</v>
      </c>
      <c r="Q87" s="15">
        <f t="shared" si="9"/>
        <v>0</v>
      </c>
      <c r="R87" s="17">
        <v>833</v>
      </c>
    </row>
    <row r="88" spans="1:18" ht="16.5" x14ac:dyDescent="0.25">
      <c r="A88" s="12">
        <v>836</v>
      </c>
      <c r="B88" s="13" t="s">
        <v>103</v>
      </c>
      <c r="C88" s="13" t="s">
        <v>47</v>
      </c>
      <c r="D88" s="19"/>
      <c r="E88" s="15">
        <v>6400</v>
      </c>
      <c r="F88" s="15">
        <v>400</v>
      </c>
      <c r="G88" s="15">
        <v>400</v>
      </c>
      <c r="H88" s="15">
        <f t="shared" si="10"/>
        <v>7200</v>
      </c>
      <c r="I88" s="15">
        <f t="shared" si="11"/>
        <v>0</v>
      </c>
      <c r="J88" s="20"/>
      <c r="K88" s="15"/>
      <c r="L88" s="15">
        <f t="shared" si="6"/>
        <v>0</v>
      </c>
      <c r="M88" s="20"/>
      <c r="N88" s="20"/>
      <c r="O88" s="15">
        <f t="shared" si="7"/>
        <v>0</v>
      </c>
      <c r="P88" s="15">
        <f t="shared" si="8"/>
        <v>0</v>
      </c>
      <c r="Q88" s="15">
        <f t="shared" si="9"/>
        <v>0</v>
      </c>
      <c r="R88" s="17">
        <v>836</v>
      </c>
    </row>
    <row r="89" spans="1:18" ht="16.5" x14ac:dyDescent="0.25">
      <c r="A89" s="12">
        <v>839</v>
      </c>
      <c r="B89" s="13" t="s">
        <v>104</v>
      </c>
      <c r="C89" s="13" t="s">
        <v>19</v>
      </c>
      <c r="D89" s="19"/>
      <c r="E89" s="15">
        <v>6400</v>
      </c>
      <c r="F89" s="15">
        <v>300</v>
      </c>
      <c r="G89" s="15">
        <v>400</v>
      </c>
      <c r="H89" s="15">
        <f t="shared" si="10"/>
        <v>7100</v>
      </c>
      <c r="I89" s="15">
        <f t="shared" si="11"/>
        <v>0</v>
      </c>
      <c r="J89" s="20"/>
      <c r="K89" s="15"/>
      <c r="L89" s="15">
        <f t="shared" si="6"/>
        <v>0</v>
      </c>
      <c r="M89" s="16"/>
      <c r="N89" s="16"/>
      <c r="O89" s="15">
        <f t="shared" si="7"/>
        <v>0</v>
      </c>
      <c r="P89" s="15">
        <f t="shared" si="8"/>
        <v>0</v>
      </c>
      <c r="Q89" s="15">
        <f t="shared" si="9"/>
        <v>0</v>
      </c>
      <c r="R89" s="17">
        <v>839</v>
      </c>
    </row>
    <row r="90" spans="1:18" ht="16.5" x14ac:dyDescent="0.25">
      <c r="A90" s="12">
        <v>841</v>
      </c>
      <c r="B90" s="13" t="s">
        <v>105</v>
      </c>
      <c r="C90" s="13" t="s">
        <v>43</v>
      </c>
      <c r="D90" s="14"/>
      <c r="E90" s="15">
        <v>6400</v>
      </c>
      <c r="F90" s="15">
        <v>300</v>
      </c>
      <c r="G90" s="15">
        <v>400</v>
      </c>
      <c r="H90" s="15">
        <f t="shared" si="10"/>
        <v>7100</v>
      </c>
      <c r="I90" s="15">
        <f t="shared" si="11"/>
        <v>0</v>
      </c>
      <c r="J90" s="16"/>
      <c r="K90" s="15"/>
      <c r="L90" s="15">
        <f t="shared" si="6"/>
        <v>0</v>
      </c>
      <c r="M90" s="20"/>
      <c r="N90" s="20"/>
      <c r="O90" s="15">
        <f t="shared" si="7"/>
        <v>0</v>
      </c>
      <c r="P90" s="15">
        <f t="shared" si="8"/>
        <v>0</v>
      </c>
      <c r="Q90" s="15">
        <f t="shared" si="9"/>
        <v>0</v>
      </c>
      <c r="R90" s="17">
        <v>841</v>
      </c>
    </row>
    <row r="91" spans="1:18" ht="16.5" x14ac:dyDescent="0.25">
      <c r="A91" s="12">
        <v>853</v>
      </c>
      <c r="B91" s="13" t="s">
        <v>418</v>
      </c>
      <c r="C91" s="13" t="s">
        <v>19</v>
      </c>
      <c r="D91" s="19"/>
      <c r="E91" s="15">
        <v>6400</v>
      </c>
      <c r="F91" s="15">
        <v>200</v>
      </c>
      <c r="G91" s="15">
        <v>400</v>
      </c>
      <c r="H91" s="15">
        <f t="shared" si="10"/>
        <v>7000</v>
      </c>
      <c r="I91" s="15">
        <f t="shared" si="11"/>
        <v>0</v>
      </c>
      <c r="J91" s="20"/>
      <c r="K91" s="15"/>
      <c r="L91" s="15">
        <f t="shared" si="6"/>
        <v>0</v>
      </c>
      <c r="M91" s="16"/>
      <c r="N91" s="16"/>
      <c r="O91" s="15">
        <f t="shared" si="7"/>
        <v>0</v>
      </c>
      <c r="P91" s="15">
        <f t="shared" si="8"/>
        <v>0</v>
      </c>
      <c r="Q91" s="15">
        <f t="shared" si="9"/>
        <v>0</v>
      </c>
      <c r="R91" s="17">
        <v>844</v>
      </c>
    </row>
    <row r="92" spans="1:18" ht="16.5" x14ac:dyDescent="0.25">
      <c r="A92" s="12">
        <v>855</v>
      </c>
      <c r="B92" s="13" t="s">
        <v>106</v>
      </c>
      <c r="C92" s="13" t="s">
        <v>30</v>
      </c>
      <c r="D92" s="14"/>
      <c r="E92" s="15">
        <v>6400</v>
      </c>
      <c r="F92" s="15">
        <v>500</v>
      </c>
      <c r="G92" s="15">
        <v>400</v>
      </c>
      <c r="H92" s="15">
        <f t="shared" si="10"/>
        <v>7300</v>
      </c>
      <c r="I92" s="15">
        <f t="shared" si="11"/>
        <v>0</v>
      </c>
      <c r="J92" s="16"/>
      <c r="K92" s="15"/>
      <c r="L92" s="15">
        <f t="shared" si="6"/>
        <v>0</v>
      </c>
      <c r="M92" s="16"/>
      <c r="N92" s="16"/>
      <c r="O92" s="15">
        <f t="shared" si="7"/>
        <v>0</v>
      </c>
      <c r="P92" s="15">
        <f t="shared" si="8"/>
        <v>0</v>
      </c>
      <c r="Q92" s="15">
        <f t="shared" si="9"/>
        <v>0</v>
      </c>
      <c r="R92" s="17">
        <v>855</v>
      </c>
    </row>
    <row r="93" spans="1:18" ht="16.5" x14ac:dyDescent="0.25">
      <c r="A93" s="12">
        <v>856</v>
      </c>
      <c r="B93" s="13" t="s">
        <v>107</v>
      </c>
      <c r="C93" s="13" t="s">
        <v>30</v>
      </c>
      <c r="D93" s="14"/>
      <c r="E93" s="15">
        <v>6400</v>
      </c>
      <c r="F93" s="15">
        <v>400</v>
      </c>
      <c r="G93" s="15">
        <v>400</v>
      </c>
      <c r="H93" s="15">
        <f t="shared" si="10"/>
        <v>7200</v>
      </c>
      <c r="I93" s="15">
        <f t="shared" si="11"/>
        <v>0</v>
      </c>
      <c r="J93" s="16"/>
      <c r="K93" s="15">
        <v>200000</v>
      </c>
      <c r="L93" s="15">
        <f t="shared" si="6"/>
        <v>0</v>
      </c>
      <c r="M93" s="20"/>
      <c r="N93" s="20"/>
      <c r="O93" s="15">
        <f t="shared" si="7"/>
        <v>0</v>
      </c>
      <c r="P93" s="15">
        <f t="shared" si="8"/>
        <v>200000</v>
      </c>
      <c r="Q93" s="15">
        <f t="shared" si="9"/>
        <v>-200000</v>
      </c>
      <c r="R93" s="17">
        <v>856</v>
      </c>
    </row>
    <row r="94" spans="1:18" ht="16.5" x14ac:dyDescent="0.25">
      <c r="A94" s="12">
        <v>862</v>
      </c>
      <c r="B94" s="13" t="s">
        <v>108</v>
      </c>
      <c r="C94" s="13" t="s">
        <v>30</v>
      </c>
      <c r="D94" s="19"/>
      <c r="E94" s="15">
        <v>6400</v>
      </c>
      <c r="F94" s="15">
        <v>300</v>
      </c>
      <c r="G94" s="15">
        <v>400</v>
      </c>
      <c r="H94" s="15">
        <f t="shared" si="10"/>
        <v>7100</v>
      </c>
      <c r="I94" s="15">
        <f t="shared" si="11"/>
        <v>0</v>
      </c>
      <c r="J94" s="20"/>
      <c r="K94" s="15"/>
      <c r="L94" s="15">
        <f t="shared" si="6"/>
        <v>0</v>
      </c>
      <c r="M94" s="16"/>
      <c r="N94" s="16"/>
      <c r="O94" s="15">
        <f t="shared" si="7"/>
        <v>0</v>
      </c>
      <c r="P94" s="15">
        <f t="shared" si="8"/>
        <v>0</v>
      </c>
      <c r="Q94" s="15">
        <f t="shared" si="9"/>
        <v>0</v>
      </c>
      <c r="R94" s="17">
        <v>862</v>
      </c>
    </row>
    <row r="95" spans="1:18" ht="16.5" x14ac:dyDescent="0.25">
      <c r="A95" s="12">
        <v>867</v>
      </c>
      <c r="B95" s="13" t="s">
        <v>109</v>
      </c>
      <c r="C95" s="13" t="s">
        <v>43</v>
      </c>
      <c r="D95" s="14">
        <v>186</v>
      </c>
      <c r="E95" s="15">
        <v>6400</v>
      </c>
      <c r="F95" s="15">
        <v>400</v>
      </c>
      <c r="G95" s="15">
        <v>400</v>
      </c>
      <c r="H95" s="15">
        <f t="shared" si="10"/>
        <v>7200</v>
      </c>
      <c r="I95" s="15">
        <f t="shared" si="11"/>
        <v>1339200</v>
      </c>
      <c r="J95" s="16"/>
      <c r="K95" s="15"/>
      <c r="L95" s="15">
        <f t="shared" si="6"/>
        <v>3720</v>
      </c>
      <c r="M95" s="20"/>
      <c r="N95" s="20"/>
      <c r="O95" s="15">
        <f t="shared" si="7"/>
        <v>46500</v>
      </c>
      <c r="P95" s="15">
        <f t="shared" si="8"/>
        <v>50220</v>
      </c>
      <c r="Q95" s="15">
        <f t="shared" si="9"/>
        <v>1288980</v>
      </c>
      <c r="R95" s="17">
        <v>867</v>
      </c>
    </row>
    <row r="96" spans="1:18" ht="16.5" x14ac:dyDescent="0.25">
      <c r="A96" s="12">
        <v>874</v>
      </c>
      <c r="B96" s="13" t="s">
        <v>110</v>
      </c>
      <c r="C96" s="13" t="s">
        <v>21</v>
      </c>
      <c r="D96" s="19"/>
      <c r="E96" s="15">
        <v>6400</v>
      </c>
      <c r="F96" s="15">
        <v>300</v>
      </c>
      <c r="G96" s="15">
        <v>400</v>
      </c>
      <c r="H96" s="15">
        <f t="shared" si="10"/>
        <v>7100</v>
      </c>
      <c r="I96" s="15">
        <f t="shared" si="11"/>
        <v>0</v>
      </c>
      <c r="J96" s="20"/>
      <c r="K96" s="15"/>
      <c r="L96" s="15">
        <f t="shared" si="6"/>
        <v>0</v>
      </c>
      <c r="M96" s="16"/>
      <c r="N96" s="16"/>
      <c r="O96" s="15">
        <f t="shared" si="7"/>
        <v>0</v>
      </c>
      <c r="P96" s="15">
        <f t="shared" si="8"/>
        <v>0</v>
      </c>
      <c r="Q96" s="15">
        <f t="shared" si="9"/>
        <v>0</v>
      </c>
      <c r="R96" s="17">
        <v>874</v>
      </c>
    </row>
    <row r="97" spans="1:18" ht="16.5" x14ac:dyDescent="0.25">
      <c r="A97" s="12">
        <v>876</v>
      </c>
      <c r="B97" s="13" t="s">
        <v>111</v>
      </c>
      <c r="C97" s="13" t="s">
        <v>21</v>
      </c>
      <c r="D97" s="14"/>
      <c r="E97" s="15">
        <v>6400</v>
      </c>
      <c r="F97" s="15">
        <v>200</v>
      </c>
      <c r="G97" s="15">
        <v>400</v>
      </c>
      <c r="H97" s="15">
        <f t="shared" si="10"/>
        <v>7000</v>
      </c>
      <c r="I97" s="15">
        <f t="shared" si="11"/>
        <v>0</v>
      </c>
      <c r="J97" s="16"/>
      <c r="K97" s="15"/>
      <c r="L97" s="15">
        <f t="shared" si="6"/>
        <v>0</v>
      </c>
      <c r="M97" s="20"/>
      <c r="N97" s="20"/>
      <c r="O97" s="15">
        <f t="shared" si="7"/>
        <v>0</v>
      </c>
      <c r="P97" s="15">
        <f t="shared" si="8"/>
        <v>0</v>
      </c>
      <c r="Q97" s="15">
        <f t="shared" si="9"/>
        <v>0</v>
      </c>
      <c r="R97" s="17">
        <v>876</v>
      </c>
    </row>
    <row r="98" spans="1:18" ht="16.5" x14ac:dyDescent="0.25">
      <c r="A98" s="12">
        <v>877</v>
      </c>
      <c r="B98" s="13" t="s">
        <v>112</v>
      </c>
      <c r="C98" s="13" t="s">
        <v>19</v>
      </c>
      <c r="D98" s="19"/>
      <c r="E98" s="15">
        <v>6400</v>
      </c>
      <c r="F98" s="15">
        <v>300</v>
      </c>
      <c r="G98" s="15">
        <v>400</v>
      </c>
      <c r="H98" s="15">
        <f t="shared" si="10"/>
        <v>7100</v>
      </c>
      <c r="I98" s="15">
        <f t="shared" si="11"/>
        <v>0</v>
      </c>
      <c r="J98" s="20"/>
      <c r="K98" s="15"/>
      <c r="L98" s="15">
        <f t="shared" si="6"/>
        <v>0</v>
      </c>
      <c r="M98" s="20"/>
      <c r="N98" s="20"/>
      <c r="O98" s="15">
        <f t="shared" si="7"/>
        <v>0</v>
      </c>
      <c r="P98" s="15">
        <f t="shared" si="8"/>
        <v>0</v>
      </c>
      <c r="Q98" s="15">
        <f t="shared" si="9"/>
        <v>0</v>
      </c>
      <c r="R98" s="17">
        <v>877</v>
      </c>
    </row>
    <row r="99" spans="1:18" ht="16.5" x14ac:dyDescent="0.25">
      <c r="A99" s="12">
        <v>878</v>
      </c>
      <c r="B99" s="13" t="s">
        <v>88</v>
      </c>
      <c r="C99" s="13" t="s">
        <v>47</v>
      </c>
      <c r="D99" s="19"/>
      <c r="E99" s="15">
        <v>6400</v>
      </c>
      <c r="F99" s="15">
        <v>300</v>
      </c>
      <c r="G99" s="15">
        <v>400</v>
      </c>
      <c r="H99" s="15">
        <f t="shared" si="10"/>
        <v>7100</v>
      </c>
      <c r="I99" s="15">
        <f t="shared" si="11"/>
        <v>0</v>
      </c>
      <c r="J99" s="20"/>
      <c r="K99" s="15"/>
      <c r="L99" s="15">
        <f t="shared" si="6"/>
        <v>0</v>
      </c>
      <c r="M99" s="16"/>
      <c r="N99" s="16"/>
      <c r="O99" s="15">
        <f t="shared" si="7"/>
        <v>0</v>
      </c>
      <c r="P99" s="15">
        <f t="shared" si="8"/>
        <v>0</v>
      </c>
      <c r="Q99" s="15">
        <f t="shared" si="9"/>
        <v>0</v>
      </c>
      <c r="R99" s="17">
        <v>878</v>
      </c>
    </row>
    <row r="100" spans="1:18" ht="16.5" x14ac:dyDescent="0.25">
      <c r="A100" s="12">
        <v>879</v>
      </c>
      <c r="B100" s="13" t="s">
        <v>113</v>
      </c>
      <c r="C100" s="13" t="s">
        <v>25</v>
      </c>
      <c r="D100" s="16"/>
      <c r="E100" s="15">
        <v>6400</v>
      </c>
      <c r="F100" s="15">
        <v>300</v>
      </c>
      <c r="G100" s="15">
        <v>400</v>
      </c>
      <c r="H100" s="15">
        <f t="shared" si="10"/>
        <v>7100</v>
      </c>
      <c r="I100" s="15">
        <f t="shared" si="11"/>
        <v>0</v>
      </c>
      <c r="J100" s="16"/>
      <c r="K100" s="15"/>
      <c r="L100" s="15">
        <f t="shared" si="6"/>
        <v>0</v>
      </c>
      <c r="M100" s="20"/>
      <c r="N100" s="20"/>
      <c r="O100" s="15">
        <f t="shared" si="7"/>
        <v>0</v>
      </c>
      <c r="P100" s="15">
        <f t="shared" si="8"/>
        <v>0</v>
      </c>
      <c r="Q100" s="15">
        <f t="shared" si="9"/>
        <v>0</v>
      </c>
      <c r="R100" s="17">
        <v>879</v>
      </c>
    </row>
    <row r="101" spans="1:18" ht="16.5" x14ac:dyDescent="0.25">
      <c r="A101" s="12">
        <v>880</v>
      </c>
      <c r="B101" s="13" t="s">
        <v>114</v>
      </c>
      <c r="C101" s="13" t="s">
        <v>25</v>
      </c>
      <c r="D101" s="19"/>
      <c r="E101" s="15">
        <v>6400</v>
      </c>
      <c r="F101" s="15">
        <v>300</v>
      </c>
      <c r="G101" s="15">
        <v>400</v>
      </c>
      <c r="H101" s="15">
        <f t="shared" si="10"/>
        <v>7100</v>
      </c>
      <c r="I101" s="15">
        <f t="shared" si="11"/>
        <v>0</v>
      </c>
      <c r="J101" s="20"/>
      <c r="K101" s="15"/>
      <c r="L101" s="15">
        <f t="shared" si="6"/>
        <v>0</v>
      </c>
      <c r="M101" s="16"/>
      <c r="N101" s="16"/>
      <c r="O101" s="15">
        <f t="shared" si="7"/>
        <v>0</v>
      </c>
      <c r="P101" s="15">
        <f t="shared" si="8"/>
        <v>0</v>
      </c>
      <c r="Q101" s="15">
        <f t="shared" si="9"/>
        <v>0</v>
      </c>
      <c r="R101" s="17">
        <v>880</v>
      </c>
    </row>
    <row r="102" spans="1:18" ht="16.5" x14ac:dyDescent="0.25">
      <c r="A102" s="12">
        <v>881</v>
      </c>
      <c r="B102" s="13" t="s">
        <v>115</v>
      </c>
      <c r="C102" s="13" t="s">
        <v>25</v>
      </c>
      <c r="D102" s="14">
        <v>240</v>
      </c>
      <c r="E102" s="15">
        <v>6400</v>
      </c>
      <c r="F102" s="15">
        <v>400</v>
      </c>
      <c r="G102" s="15">
        <v>400</v>
      </c>
      <c r="H102" s="15">
        <f t="shared" si="10"/>
        <v>7200</v>
      </c>
      <c r="I102" s="15">
        <f t="shared" si="11"/>
        <v>1728000</v>
      </c>
      <c r="J102" s="16"/>
      <c r="K102" s="15"/>
      <c r="L102" s="15">
        <f t="shared" si="6"/>
        <v>4800</v>
      </c>
      <c r="M102" s="20"/>
      <c r="N102" s="20"/>
      <c r="O102" s="15">
        <f t="shared" si="7"/>
        <v>60000</v>
      </c>
      <c r="P102" s="15">
        <f t="shared" si="8"/>
        <v>64800</v>
      </c>
      <c r="Q102" s="15">
        <f t="shared" si="9"/>
        <v>1663200</v>
      </c>
      <c r="R102" s="17">
        <v>881</v>
      </c>
    </row>
    <row r="103" spans="1:18" ht="16.5" x14ac:dyDescent="0.25">
      <c r="A103" s="12">
        <v>882</v>
      </c>
      <c r="B103" s="13" t="s">
        <v>116</v>
      </c>
      <c r="C103" s="13" t="s">
        <v>21</v>
      </c>
      <c r="D103" s="19"/>
      <c r="E103" s="15">
        <v>6400</v>
      </c>
      <c r="F103" s="15">
        <v>300</v>
      </c>
      <c r="G103" s="15">
        <v>400</v>
      </c>
      <c r="H103" s="15">
        <f t="shared" si="10"/>
        <v>7100</v>
      </c>
      <c r="I103" s="15">
        <f t="shared" si="11"/>
        <v>0</v>
      </c>
      <c r="J103" s="20"/>
      <c r="K103" s="15"/>
      <c r="L103" s="15">
        <f t="shared" si="6"/>
        <v>0</v>
      </c>
      <c r="M103" s="16"/>
      <c r="N103" s="16"/>
      <c r="O103" s="15">
        <f t="shared" si="7"/>
        <v>0</v>
      </c>
      <c r="P103" s="15">
        <f t="shared" si="8"/>
        <v>0</v>
      </c>
      <c r="Q103" s="15">
        <f t="shared" si="9"/>
        <v>0</v>
      </c>
      <c r="R103" s="17">
        <v>882</v>
      </c>
    </row>
    <row r="104" spans="1:18" ht="16.5" x14ac:dyDescent="0.25">
      <c r="A104" s="12">
        <v>884</v>
      </c>
      <c r="B104" s="13" t="s">
        <v>117</v>
      </c>
      <c r="C104" s="13" t="s">
        <v>25</v>
      </c>
      <c r="D104" s="14"/>
      <c r="E104" s="15">
        <v>6400</v>
      </c>
      <c r="F104" s="15">
        <v>300</v>
      </c>
      <c r="G104" s="15">
        <v>400</v>
      </c>
      <c r="H104" s="15">
        <f t="shared" si="10"/>
        <v>7100</v>
      </c>
      <c r="I104" s="15">
        <f t="shared" si="11"/>
        <v>0</v>
      </c>
      <c r="J104" s="16"/>
      <c r="K104" s="15"/>
      <c r="L104" s="15">
        <f t="shared" si="6"/>
        <v>0</v>
      </c>
      <c r="M104" s="16"/>
      <c r="N104" s="16"/>
      <c r="O104" s="15">
        <f t="shared" si="7"/>
        <v>0</v>
      </c>
      <c r="P104" s="15">
        <f t="shared" si="8"/>
        <v>0</v>
      </c>
      <c r="Q104" s="15">
        <f t="shared" si="9"/>
        <v>0</v>
      </c>
      <c r="R104" s="17">
        <v>884</v>
      </c>
    </row>
    <row r="105" spans="1:18" ht="16.5" x14ac:dyDescent="0.25">
      <c r="A105" s="12">
        <v>886</v>
      </c>
      <c r="B105" s="13" t="s">
        <v>118</v>
      </c>
      <c r="C105" s="13" t="s">
        <v>82</v>
      </c>
      <c r="D105" s="16"/>
      <c r="E105" s="15">
        <v>6400</v>
      </c>
      <c r="F105" s="15">
        <v>300</v>
      </c>
      <c r="G105" s="15">
        <v>400</v>
      </c>
      <c r="H105" s="15">
        <f t="shared" si="10"/>
        <v>7100</v>
      </c>
      <c r="I105" s="15">
        <f t="shared" si="11"/>
        <v>0</v>
      </c>
      <c r="J105" s="16"/>
      <c r="K105" s="15"/>
      <c r="L105" s="15">
        <f t="shared" si="6"/>
        <v>0</v>
      </c>
      <c r="M105" s="20"/>
      <c r="N105" s="20"/>
      <c r="O105" s="15">
        <f t="shared" si="7"/>
        <v>0</v>
      </c>
      <c r="P105" s="15">
        <f t="shared" si="8"/>
        <v>0</v>
      </c>
      <c r="Q105" s="15">
        <f t="shared" si="9"/>
        <v>0</v>
      </c>
      <c r="R105" s="17">
        <v>886</v>
      </c>
    </row>
    <row r="106" spans="1:18" ht="16.5" x14ac:dyDescent="0.25">
      <c r="A106" s="12">
        <v>888</v>
      </c>
      <c r="B106" s="13" t="s">
        <v>119</v>
      </c>
      <c r="C106" s="13" t="s">
        <v>43</v>
      </c>
      <c r="D106" s="19"/>
      <c r="E106" s="15">
        <v>6400</v>
      </c>
      <c r="F106" s="15">
        <v>300</v>
      </c>
      <c r="G106" s="15">
        <v>400</v>
      </c>
      <c r="H106" s="15">
        <f t="shared" si="10"/>
        <v>7100</v>
      </c>
      <c r="I106" s="15">
        <f t="shared" si="11"/>
        <v>0</v>
      </c>
      <c r="J106" s="20"/>
      <c r="K106" s="15"/>
      <c r="L106" s="15">
        <f t="shared" si="6"/>
        <v>0</v>
      </c>
      <c r="M106" s="16"/>
      <c r="N106" s="16"/>
      <c r="O106" s="15">
        <f t="shared" si="7"/>
        <v>0</v>
      </c>
      <c r="P106" s="15">
        <f t="shared" si="8"/>
        <v>0</v>
      </c>
      <c r="Q106" s="15">
        <f t="shared" si="9"/>
        <v>0</v>
      </c>
      <c r="R106" s="17">
        <v>888</v>
      </c>
    </row>
    <row r="107" spans="1:18" ht="16.5" x14ac:dyDescent="0.25">
      <c r="A107" s="12">
        <v>892</v>
      </c>
      <c r="B107" s="13" t="s">
        <v>120</v>
      </c>
      <c r="C107" s="13" t="s">
        <v>23</v>
      </c>
      <c r="D107" s="14"/>
      <c r="E107" s="15">
        <v>6400</v>
      </c>
      <c r="F107" s="15">
        <v>400</v>
      </c>
      <c r="G107" s="15">
        <v>400</v>
      </c>
      <c r="H107" s="15">
        <f t="shared" si="10"/>
        <v>7200</v>
      </c>
      <c r="I107" s="15">
        <f t="shared" si="11"/>
        <v>0</v>
      </c>
      <c r="J107" s="16"/>
      <c r="K107" s="15"/>
      <c r="L107" s="15">
        <f t="shared" si="6"/>
        <v>0</v>
      </c>
      <c r="M107" s="16"/>
      <c r="N107" s="16"/>
      <c r="O107" s="15">
        <f t="shared" si="7"/>
        <v>0</v>
      </c>
      <c r="P107" s="15">
        <f t="shared" si="8"/>
        <v>0</v>
      </c>
      <c r="Q107" s="15">
        <f t="shared" si="9"/>
        <v>0</v>
      </c>
      <c r="R107" s="17">
        <v>892</v>
      </c>
    </row>
    <row r="108" spans="1:18" ht="16.5" x14ac:dyDescent="0.25">
      <c r="A108" s="12">
        <v>897</v>
      </c>
      <c r="B108" s="13" t="s">
        <v>121</v>
      </c>
      <c r="C108" s="13" t="s">
        <v>25</v>
      </c>
      <c r="D108" s="14"/>
      <c r="E108" s="15">
        <v>6400</v>
      </c>
      <c r="F108" s="15">
        <v>300</v>
      </c>
      <c r="G108" s="15">
        <v>400</v>
      </c>
      <c r="H108" s="15">
        <f t="shared" si="10"/>
        <v>7100</v>
      </c>
      <c r="I108" s="15">
        <f t="shared" si="11"/>
        <v>0</v>
      </c>
      <c r="J108" s="16"/>
      <c r="K108" s="15"/>
      <c r="L108" s="15">
        <f t="shared" si="6"/>
        <v>0</v>
      </c>
      <c r="M108" s="16"/>
      <c r="N108" s="16"/>
      <c r="O108" s="15">
        <f t="shared" si="7"/>
        <v>0</v>
      </c>
      <c r="P108" s="15">
        <f t="shared" si="8"/>
        <v>0</v>
      </c>
      <c r="Q108" s="15">
        <f t="shared" si="9"/>
        <v>0</v>
      </c>
      <c r="R108" s="17">
        <v>897</v>
      </c>
    </row>
    <row r="109" spans="1:18" ht="16.5" x14ac:dyDescent="0.25">
      <c r="A109" s="12">
        <v>899</v>
      </c>
      <c r="B109" s="13" t="s">
        <v>122</v>
      </c>
      <c r="C109" s="13" t="s">
        <v>47</v>
      </c>
      <c r="D109" s="14"/>
      <c r="E109" s="15">
        <v>6400</v>
      </c>
      <c r="F109" s="15">
        <v>500</v>
      </c>
      <c r="G109" s="15">
        <v>400</v>
      </c>
      <c r="H109" s="15">
        <f t="shared" si="10"/>
        <v>7300</v>
      </c>
      <c r="I109" s="15">
        <f t="shared" si="11"/>
        <v>0</v>
      </c>
      <c r="J109" s="16"/>
      <c r="K109" s="15"/>
      <c r="L109" s="15">
        <f t="shared" si="6"/>
        <v>0</v>
      </c>
      <c r="M109" s="16"/>
      <c r="N109" s="16"/>
      <c r="O109" s="15">
        <f t="shared" si="7"/>
        <v>0</v>
      </c>
      <c r="P109" s="15">
        <f t="shared" si="8"/>
        <v>0</v>
      </c>
      <c r="Q109" s="15">
        <f t="shared" si="9"/>
        <v>0</v>
      </c>
      <c r="R109" s="17">
        <v>899</v>
      </c>
    </row>
    <row r="110" spans="1:18" ht="16.5" x14ac:dyDescent="0.25">
      <c r="A110" s="12">
        <v>900</v>
      </c>
      <c r="B110" s="13" t="s">
        <v>123</v>
      </c>
      <c r="C110" s="13" t="s">
        <v>25</v>
      </c>
      <c r="D110" s="14"/>
      <c r="E110" s="15">
        <v>6400</v>
      </c>
      <c r="F110" s="15">
        <v>300</v>
      </c>
      <c r="G110" s="15">
        <v>400</v>
      </c>
      <c r="H110" s="15">
        <f t="shared" si="10"/>
        <v>7100</v>
      </c>
      <c r="I110" s="15">
        <f t="shared" si="11"/>
        <v>0</v>
      </c>
      <c r="J110" s="16"/>
      <c r="K110" s="15"/>
      <c r="L110" s="15">
        <f t="shared" si="6"/>
        <v>0</v>
      </c>
      <c r="M110" s="16"/>
      <c r="N110" s="16"/>
      <c r="O110" s="15">
        <f t="shared" si="7"/>
        <v>0</v>
      </c>
      <c r="P110" s="15">
        <f t="shared" si="8"/>
        <v>0</v>
      </c>
      <c r="Q110" s="15">
        <f t="shared" si="9"/>
        <v>0</v>
      </c>
      <c r="R110" s="17">
        <v>900</v>
      </c>
    </row>
    <row r="111" spans="1:18" ht="16.5" x14ac:dyDescent="0.25">
      <c r="A111" s="12">
        <v>901</v>
      </c>
      <c r="B111" s="13" t="s">
        <v>112</v>
      </c>
      <c r="C111" s="13" t="s">
        <v>25</v>
      </c>
      <c r="D111" s="14"/>
      <c r="E111" s="15">
        <v>6400</v>
      </c>
      <c r="F111" s="15">
        <v>300</v>
      </c>
      <c r="G111" s="15">
        <v>400</v>
      </c>
      <c r="H111" s="15">
        <f t="shared" si="10"/>
        <v>7100</v>
      </c>
      <c r="I111" s="15">
        <f t="shared" si="11"/>
        <v>0</v>
      </c>
      <c r="J111" s="16"/>
      <c r="K111" s="15"/>
      <c r="L111" s="15">
        <f t="shared" si="6"/>
        <v>0</v>
      </c>
      <c r="M111" s="16"/>
      <c r="N111" s="16"/>
      <c r="O111" s="15">
        <f t="shared" si="7"/>
        <v>0</v>
      </c>
      <c r="P111" s="15">
        <f t="shared" si="8"/>
        <v>0</v>
      </c>
      <c r="Q111" s="15">
        <f t="shared" si="9"/>
        <v>0</v>
      </c>
      <c r="R111" s="17">
        <v>901</v>
      </c>
    </row>
    <row r="112" spans="1:18" ht="16.5" x14ac:dyDescent="0.25">
      <c r="A112" s="12">
        <v>907</v>
      </c>
      <c r="B112" s="13" t="s">
        <v>124</v>
      </c>
      <c r="C112" s="13" t="s">
        <v>23</v>
      </c>
      <c r="D112" s="16"/>
      <c r="E112" s="15">
        <v>6400</v>
      </c>
      <c r="F112" s="15">
        <v>300</v>
      </c>
      <c r="G112" s="15">
        <v>400</v>
      </c>
      <c r="H112" s="15">
        <f t="shared" si="10"/>
        <v>7100</v>
      </c>
      <c r="I112" s="15">
        <f t="shared" si="11"/>
        <v>0</v>
      </c>
      <c r="J112" s="16"/>
      <c r="K112" s="15"/>
      <c r="L112" s="15">
        <f t="shared" si="6"/>
        <v>0</v>
      </c>
      <c r="M112" s="20"/>
      <c r="N112" s="20"/>
      <c r="O112" s="15">
        <f t="shared" si="7"/>
        <v>0</v>
      </c>
      <c r="P112" s="15">
        <f t="shared" si="8"/>
        <v>0</v>
      </c>
      <c r="Q112" s="15">
        <f t="shared" si="9"/>
        <v>0</v>
      </c>
      <c r="R112" s="17">
        <v>907</v>
      </c>
    </row>
    <row r="113" spans="1:18" ht="16.5" x14ac:dyDescent="0.25">
      <c r="A113" s="12">
        <v>913</v>
      </c>
      <c r="B113" s="13" t="s">
        <v>125</v>
      </c>
      <c r="C113" s="13" t="s">
        <v>47</v>
      </c>
      <c r="D113" s="19"/>
      <c r="E113" s="15">
        <v>6400</v>
      </c>
      <c r="F113" s="15">
        <v>400</v>
      </c>
      <c r="G113" s="15">
        <v>400</v>
      </c>
      <c r="H113" s="15">
        <f t="shared" si="10"/>
        <v>7200</v>
      </c>
      <c r="I113" s="15">
        <f t="shared" si="11"/>
        <v>0</v>
      </c>
      <c r="J113" s="20"/>
      <c r="K113" s="15"/>
      <c r="L113" s="15">
        <f t="shared" si="6"/>
        <v>0</v>
      </c>
      <c r="M113" s="16"/>
      <c r="N113" s="16"/>
      <c r="O113" s="15">
        <f t="shared" si="7"/>
        <v>0</v>
      </c>
      <c r="P113" s="15">
        <f t="shared" si="8"/>
        <v>0</v>
      </c>
      <c r="Q113" s="15">
        <f t="shared" si="9"/>
        <v>0</v>
      </c>
      <c r="R113" s="17">
        <v>913</v>
      </c>
    </row>
    <row r="114" spans="1:18" ht="16.5" x14ac:dyDescent="0.25">
      <c r="A114" s="12">
        <v>914</v>
      </c>
      <c r="B114" s="13" t="s">
        <v>126</v>
      </c>
      <c r="C114" s="13" t="s">
        <v>36</v>
      </c>
      <c r="D114" s="14">
        <v>1247</v>
      </c>
      <c r="E114" s="15">
        <v>6400</v>
      </c>
      <c r="F114" s="15">
        <v>600</v>
      </c>
      <c r="G114" s="15">
        <v>400</v>
      </c>
      <c r="H114" s="15">
        <f t="shared" si="10"/>
        <v>7400</v>
      </c>
      <c r="I114" s="15">
        <f t="shared" si="11"/>
        <v>9227800</v>
      </c>
      <c r="J114" s="16"/>
      <c r="K114" s="15"/>
      <c r="L114" s="15">
        <f t="shared" si="6"/>
        <v>24940</v>
      </c>
      <c r="M114" s="16"/>
      <c r="N114" s="16"/>
      <c r="O114" s="15">
        <f t="shared" si="7"/>
        <v>311750</v>
      </c>
      <c r="P114" s="15">
        <f t="shared" si="8"/>
        <v>336690</v>
      </c>
      <c r="Q114" s="15">
        <f t="shared" si="9"/>
        <v>8891110</v>
      </c>
      <c r="R114" s="17">
        <v>914</v>
      </c>
    </row>
    <row r="115" spans="1:18" ht="16.5" x14ac:dyDescent="0.25">
      <c r="A115" s="12">
        <v>915</v>
      </c>
      <c r="B115" s="13" t="s">
        <v>127</v>
      </c>
      <c r="C115" s="13" t="s">
        <v>25</v>
      </c>
      <c r="D115" s="14"/>
      <c r="E115" s="15">
        <v>6400</v>
      </c>
      <c r="F115" s="15">
        <v>400</v>
      </c>
      <c r="G115" s="15">
        <v>400</v>
      </c>
      <c r="H115" s="15">
        <f t="shared" si="10"/>
        <v>7200</v>
      </c>
      <c r="I115" s="15">
        <f t="shared" si="11"/>
        <v>0</v>
      </c>
      <c r="J115" s="16"/>
      <c r="K115" s="15"/>
      <c r="L115" s="15">
        <f t="shared" si="6"/>
        <v>0</v>
      </c>
      <c r="M115" s="20"/>
      <c r="N115" s="20"/>
      <c r="O115" s="15">
        <f t="shared" si="7"/>
        <v>0</v>
      </c>
      <c r="P115" s="15">
        <f t="shared" si="8"/>
        <v>0</v>
      </c>
      <c r="Q115" s="15">
        <f t="shared" si="9"/>
        <v>0</v>
      </c>
      <c r="R115" s="17">
        <v>915</v>
      </c>
    </row>
    <row r="116" spans="1:18" ht="16.5" x14ac:dyDescent="0.25">
      <c r="A116" s="12">
        <v>916</v>
      </c>
      <c r="B116" s="13" t="s">
        <v>128</v>
      </c>
      <c r="C116" s="13" t="s">
        <v>25</v>
      </c>
      <c r="D116" s="19"/>
      <c r="E116" s="15">
        <v>6400</v>
      </c>
      <c r="F116" s="15">
        <v>400</v>
      </c>
      <c r="G116" s="15">
        <v>400</v>
      </c>
      <c r="H116" s="15">
        <f t="shared" si="10"/>
        <v>7200</v>
      </c>
      <c r="I116" s="15">
        <f t="shared" si="11"/>
        <v>0</v>
      </c>
      <c r="J116" s="20"/>
      <c r="K116" s="15"/>
      <c r="L116" s="15">
        <f t="shared" si="6"/>
        <v>0</v>
      </c>
      <c r="M116" s="20"/>
      <c r="N116" s="20"/>
      <c r="O116" s="15">
        <f t="shared" si="7"/>
        <v>0</v>
      </c>
      <c r="P116" s="15">
        <f t="shared" si="8"/>
        <v>0</v>
      </c>
      <c r="Q116" s="15">
        <f t="shared" si="9"/>
        <v>0</v>
      </c>
      <c r="R116" s="17">
        <v>916</v>
      </c>
    </row>
    <row r="117" spans="1:18" ht="16.5" x14ac:dyDescent="0.25">
      <c r="A117" s="12">
        <v>917</v>
      </c>
      <c r="B117" s="13" t="s">
        <v>129</v>
      </c>
      <c r="C117" s="13" t="s">
        <v>25</v>
      </c>
      <c r="D117" s="19"/>
      <c r="E117" s="15">
        <v>6400</v>
      </c>
      <c r="F117" s="15">
        <v>300</v>
      </c>
      <c r="G117" s="15">
        <v>400</v>
      </c>
      <c r="H117" s="15">
        <f t="shared" si="10"/>
        <v>7100</v>
      </c>
      <c r="I117" s="15">
        <f t="shared" si="11"/>
        <v>0</v>
      </c>
      <c r="J117" s="20"/>
      <c r="K117" s="15"/>
      <c r="L117" s="15">
        <f t="shared" si="6"/>
        <v>0</v>
      </c>
      <c r="M117" s="20"/>
      <c r="N117" s="20"/>
      <c r="O117" s="15">
        <f t="shared" si="7"/>
        <v>0</v>
      </c>
      <c r="P117" s="15">
        <f t="shared" si="8"/>
        <v>0</v>
      </c>
      <c r="Q117" s="15">
        <f t="shared" si="9"/>
        <v>0</v>
      </c>
      <c r="R117" s="17">
        <v>917</v>
      </c>
    </row>
    <row r="118" spans="1:18" ht="16.5" x14ac:dyDescent="0.25">
      <c r="A118" s="12">
        <v>918</v>
      </c>
      <c r="B118" s="13" t="s">
        <v>130</v>
      </c>
      <c r="C118" s="13" t="s">
        <v>23</v>
      </c>
      <c r="D118" s="19">
        <v>111</v>
      </c>
      <c r="E118" s="15">
        <v>6400</v>
      </c>
      <c r="F118" s="15">
        <v>600</v>
      </c>
      <c r="G118" s="15">
        <v>400</v>
      </c>
      <c r="H118" s="15">
        <f t="shared" si="10"/>
        <v>7400</v>
      </c>
      <c r="I118" s="15">
        <f t="shared" si="11"/>
        <v>821400</v>
      </c>
      <c r="J118" s="20"/>
      <c r="K118" s="15">
        <v>420000</v>
      </c>
      <c r="L118" s="15">
        <f t="shared" si="6"/>
        <v>2220</v>
      </c>
      <c r="M118" s="16"/>
      <c r="N118" s="16"/>
      <c r="O118" s="15">
        <f t="shared" si="7"/>
        <v>27750</v>
      </c>
      <c r="P118" s="15">
        <f t="shared" si="8"/>
        <v>449970</v>
      </c>
      <c r="Q118" s="15">
        <f t="shared" si="9"/>
        <v>371430</v>
      </c>
      <c r="R118" s="17">
        <v>918</v>
      </c>
    </row>
    <row r="119" spans="1:18" ht="16.5" x14ac:dyDescent="0.25">
      <c r="A119" s="12">
        <v>920</v>
      </c>
      <c r="B119" s="13" t="s">
        <v>131</v>
      </c>
      <c r="C119" s="13" t="s">
        <v>36</v>
      </c>
      <c r="D119" s="14">
        <v>155</v>
      </c>
      <c r="E119" s="15">
        <v>6400</v>
      </c>
      <c r="F119" s="15">
        <v>500</v>
      </c>
      <c r="G119" s="15">
        <v>400</v>
      </c>
      <c r="H119" s="15">
        <f t="shared" si="10"/>
        <v>7300</v>
      </c>
      <c r="I119" s="15">
        <f t="shared" si="11"/>
        <v>1131500</v>
      </c>
      <c r="J119" s="16"/>
      <c r="K119" s="15"/>
      <c r="L119" s="15">
        <f t="shared" si="6"/>
        <v>3100</v>
      </c>
      <c r="M119" s="16"/>
      <c r="N119" s="16"/>
      <c r="O119" s="15">
        <f t="shared" si="7"/>
        <v>38750</v>
      </c>
      <c r="P119" s="15">
        <f t="shared" si="8"/>
        <v>41850</v>
      </c>
      <c r="Q119" s="15">
        <f t="shared" si="9"/>
        <v>1089650</v>
      </c>
      <c r="R119" s="17">
        <v>920</v>
      </c>
    </row>
    <row r="120" spans="1:18" ht="16.5" x14ac:dyDescent="0.25">
      <c r="A120" s="12">
        <v>923</v>
      </c>
      <c r="B120" s="13" t="s">
        <v>132</v>
      </c>
      <c r="C120" s="13" t="s">
        <v>25</v>
      </c>
      <c r="D120" s="14">
        <v>77</v>
      </c>
      <c r="E120" s="15">
        <v>6400</v>
      </c>
      <c r="F120" s="15">
        <v>500</v>
      </c>
      <c r="G120" s="15">
        <v>400</v>
      </c>
      <c r="H120" s="15">
        <f t="shared" si="10"/>
        <v>7300</v>
      </c>
      <c r="I120" s="15">
        <f t="shared" si="11"/>
        <v>562100</v>
      </c>
      <c r="J120" s="16"/>
      <c r="K120" s="15">
        <v>200000</v>
      </c>
      <c r="L120" s="15">
        <f t="shared" si="6"/>
        <v>1540</v>
      </c>
      <c r="M120" s="16"/>
      <c r="N120" s="16"/>
      <c r="O120" s="15">
        <f t="shared" si="7"/>
        <v>19250</v>
      </c>
      <c r="P120" s="15">
        <f t="shared" si="8"/>
        <v>220790</v>
      </c>
      <c r="Q120" s="15">
        <f t="shared" si="9"/>
        <v>341310</v>
      </c>
      <c r="R120" s="17">
        <v>923</v>
      </c>
    </row>
    <row r="121" spans="1:18" ht="16.5" x14ac:dyDescent="0.25">
      <c r="A121" s="12">
        <v>924</v>
      </c>
      <c r="B121" s="13" t="s">
        <v>133</v>
      </c>
      <c r="C121" s="13" t="s">
        <v>30</v>
      </c>
      <c r="D121" s="14">
        <v>79</v>
      </c>
      <c r="E121" s="15">
        <v>6400</v>
      </c>
      <c r="F121" s="15">
        <v>500</v>
      </c>
      <c r="G121" s="15">
        <v>400</v>
      </c>
      <c r="H121" s="15">
        <f t="shared" si="10"/>
        <v>7300</v>
      </c>
      <c r="I121" s="15">
        <f t="shared" si="11"/>
        <v>576700</v>
      </c>
      <c r="J121" s="16"/>
      <c r="K121" s="15">
        <v>600000</v>
      </c>
      <c r="L121" s="15">
        <f t="shared" si="6"/>
        <v>1580</v>
      </c>
      <c r="M121" s="16"/>
      <c r="N121" s="16"/>
      <c r="O121" s="15">
        <f t="shared" si="7"/>
        <v>19750</v>
      </c>
      <c r="P121" s="15">
        <f t="shared" si="8"/>
        <v>621330</v>
      </c>
      <c r="Q121" s="15">
        <f t="shared" si="9"/>
        <v>-44630</v>
      </c>
      <c r="R121" s="17">
        <v>924</v>
      </c>
    </row>
    <row r="122" spans="1:18" ht="16.5" x14ac:dyDescent="0.25">
      <c r="A122" s="12">
        <v>925</v>
      </c>
      <c r="B122" s="13" t="s">
        <v>134</v>
      </c>
      <c r="C122" s="13" t="s">
        <v>25</v>
      </c>
      <c r="D122" s="14"/>
      <c r="E122" s="15">
        <v>6400</v>
      </c>
      <c r="F122" s="15">
        <v>400</v>
      </c>
      <c r="G122" s="15">
        <v>400</v>
      </c>
      <c r="H122" s="15">
        <f t="shared" si="10"/>
        <v>7200</v>
      </c>
      <c r="I122" s="15">
        <f t="shared" si="11"/>
        <v>0</v>
      </c>
      <c r="J122" s="16"/>
      <c r="K122" s="15"/>
      <c r="L122" s="15">
        <f t="shared" si="6"/>
        <v>0</v>
      </c>
      <c r="M122" s="20"/>
      <c r="N122" s="20"/>
      <c r="O122" s="15">
        <f t="shared" si="7"/>
        <v>0</v>
      </c>
      <c r="P122" s="15">
        <f t="shared" si="8"/>
        <v>0</v>
      </c>
      <c r="Q122" s="15">
        <f t="shared" si="9"/>
        <v>0</v>
      </c>
      <c r="R122" s="17">
        <v>925</v>
      </c>
    </row>
    <row r="123" spans="1:18" ht="16.5" x14ac:dyDescent="0.25">
      <c r="A123" s="12">
        <v>927</v>
      </c>
      <c r="B123" s="13" t="s">
        <v>135</v>
      </c>
      <c r="C123" s="13" t="s">
        <v>25</v>
      </c>
      <c r="D123" s="19">
        <v>90</v>
      </c>
      <c r="E123" s="15">
        <v>6400</v>
      </c>
      <c r="F123" s="15">
        <v>400</v>
      </c>
      <c r="G123" s="15">
        <v>400</v>
      </c>
      <c r="H123" s="15">
        <f t="shared" si="10"/>
        <v>7200</v>
      </c>
      <c r="I123" s="15">
        <f t="shared" si="11"/>
        <v>648000</v>
      </c>
      <c r="J123" s="20"/>
      <c r="K123" s="15">
        <v>200000</v>
      </c>
      <c r="L123" s="15">
        <f t="shared" si="6"/>
        <v>1800</v>
      </c>
      <c r="M123" s="20"/>
      <c r="N123" s="20"/>
      <c r="O123" s="15">
        <f t="shared" si="7"/>
        <v>22500</v>
      </c>
      <c r="P123" s="15">
        <f t="shared" si="8"/>
        <v>224300</v>
      </c>
      <c r="Q123" s="15">
        <f t="shared" si="9"/>
        <v>423700</v>
      </c>
      <c r="R123" s="17">
        <v>927</v>
      </c>
    </row>
    <row r="124" spans="1:18" ht="16.5" x14ac:dyDescent="0.25">
      <c r="A124" s="12">
        <v>930</v>
      </c>
      <c r="B124" s="13" t="s">
        <v>136</v>
      </c>
      <c r="C124" s="13" t="s">
        <v>21</v>
      </c>
      <c r="D124" s="19"/>
      <c r="E124" s="15">
        <v>6400</v>
      </c>
      <c r="F124" s="15">
        <v>300</v>
      </c>
      <c r="G124" s="15">
        <v>400</v>
      </c>
      <c r="H124" s="15">
        <f t="shared" si="10"/>
        <v>7100</v>
      </c>
      <c r="I124" s="15">
        <f t="shared" si="11"/>
        <v>0</v>
      </c>
      <c r="J124" s="20"/>
      <c r="K124" s="15"/>
      <c r="L124" s="15">
        <f t="shared" si="6"/>
        <v>0</v>
      </c>
      <c r="M124" s="16"/>
      <c r="N124" s="16"/>
      <c r="O124" s="15">
        <f t="shared" si="7"/>
        <v>0</v>
      </c>
      <c r="P124" s="15">
        <f t="shared" si="8"/>
        <v>0</v>
      </c>
      <c r="Q124" s="15">
        <f t="shared" si="9"/>
        <v>0</v>
      </c>
      <c r="R124" s="17">
        <v>930</v>
      </c>
    </row>
    <row r="125" spans="1:18" ht="16.5" x14ac:dyDescent="0.25">
      <c r="A125" s="12">
        <v>931</v>
      </c>
      <c r="B125" s="13" t="s">
        <v>137</v>
      </c>
      <c r="C125" s="13" t="s">
        <v>138</v>
      </c>
      <c r="D125" s="14"/>
      <c r="E125" s="15">
        <v>6400</v>
      </c>
      <c r="F125" s="15">
        <v>400</v>
      </c>
      <c r="G125" s="15">
        <v>400</v>
      </c>
      <c r="H125" s="15">
        <f t="shared" si="10"/>
        <v>7200</v>
      </c>
      <c r="I125" s="15">
        <f t="shared" si="11"/>
        <v>0</v>
      </c>
      <c r="J125" s="16"/>
      <c r="K125" s="15"/>
      <c r="L125" s="15">
        <f t="shared" si="6"/>
        <v>0</v>
      </c>
      <c r="M125" s="16"/>
      <c r="N125" s="16"/>
      <c r="O125" s="15">
        <f t="shared" si="7"/>
        <v>0</v>
      </c>
      <c r="P125" s="15">
        <f t="shared" si="8"/>
        <v>0</v>
      </c>
      <c r="Q125" s="15">
        <f t="shared" si="9"/>
        <v>0</v>
      </c>
      <c r="R125" s="17">
        <v>931</v>
      </c>
    </row>
    <row r="126" spans="1:18" ht="16.5" x14ac:dyDescent="0.25">
      <c r="A126" s="12">
        <v>933</v>
      </c>
      <c r="B126" s="13" t="s">
        <v>264</v>
      </c>
      <c r="C126" s="13" t="s">
        <v>420</v>
      </c>
      <c r="D126" s="14">
        <v>137</v>
      </c>
      <c r="E126" s="15">
        <v>6400</v>
      </c>
      <c r="F126" s="15">
        <v>500</v>
      </c>
      <c r="G126" s="15">
        <v>400</v>
      </c>
      <c r="H126" s="15">
        <f t="shared" si="10"/>
        <v>7300</v>
      </c>
      <c r="I126" s="15">
        <f t="shared" si="11"/>
        <v>1000100</v>
      </c>
      <c r="J126" s="16"/>
      <c r="K126" s="15">
        <v>100000</v>
      </c>
      <c r="L126" s="15">
        <f t="shared" si="6"/>
        <v>2740</v>
      </c>
      <c r="M126" s="20"/>
      <c r="N126" s="20"/>
      <c r="O126" s="15">
        <f t="shared" si="7"/>
        <v>34250</v>
      </c>
      <c r="P126" s="15">
        <f t="shared" si="8"/>
        <v>136990</v>
      </c>
      <c r="Q126" s="15">
        <f t="shared" si="9"/>
        <v>863110</v>
      </c>
      <c r="R126" s="17">
        <v>933</v>
      </c>
    </row>
    <row r="127" spans="1:18" ht="16.5" x14ac:dyDescent="0.25">
      <c r="A127" s="12">
        <v>936</v>
      </c>
      <c r="B127" s="13" t="s">
        <v>69</v>
      </c>
      <c r="C127" s="13" t="s">
        <v>36</v>
      </c>
      <c r="D127" s="19">
        <v>227</v>
      </c>
      <c r="E127" s="15">
        <v>6400</v>
      </c>
      <c r="F127" s="15">
        <v>500</v>
      </c>
      <c r="G127" s="15">
        <v>400</v>
      </c>
      <c r="H127" s="15">
        <f t="shared" si="10"/>
        <v>7300</v>
      </c>
      <c r="I127" s="15">
        <f t="shared" si="11"/>
        <v>1657100</v>
      </c>
      <c r="J127" s="20"/>
      <c r="K127" s="15"/>
      <c r="L127" s="15">
        <f t="shared" si="6"/>
        <v>4540</v>
      </c>
      <c r="M127" s="16"/>
      <c r="N127" s="16"/>
      <c r="O127" s="15">
        <f t="shared" si="7"/>
        <v>56750</v>
      </c>
      <c r="P127" s="15">
        <f t="shared" si="8"/>
        <v>61290</v>
      </c>
      <c r="Q127" s="15">
        <f t="shared" si="9"/>
        <v>1595810</v>
      </c>
      <c r="R127" s="17">
        <v>936</v>
      </c>
    </row>
    <row r="128" spans="1:18" ht="16.5" x14ac:dyDescent="0.25">
      <c r="A128" s="12">
        <v>938</v>
      </c>
      <c r="B128" s="13" t="s">
        <v>139</v>
      </c>
      <c r="C128" s="13" t="s">
        <v>36</v>
      </c>
      <c r="D128" s="14">
        <v>160</v>
      </c>
      <c r="E128" s="15">
        <v>6400</v>
      </c>
      <c r="F128" s="15">
        <v>600</v>
      </c>
      <c r="G128" s="15">
        <v>400</v>
      </c>
      <c r="H128" s="15">
        <f t="shared" si="10"/>
        <v>7400</v>
      </c>
      <c r="I128" s="15">
        <f t="shared" si="11"/>
        <v>1184000</v>
      </c>
      <c r="J128" s="16"/>
      <c r="K128" s="15"/>
      <c r="L128" s="15">
        <f t="shared" si="6"/>
        <v>3200</v>
      </c>
      <c r="M128" s="16"/>
      <c r="N128" s="16"/>
      <c r="O128" s="15">
        <f t="shared" si="7"/>
        <v>40000</v>
      </c>
      <c r="P128" s="15">
        <f t="shared" si="8"/>
        <v>43200</v>
      </c>
      <c r="Q128" s="15">
        <f t="shared" si="9"/>
        <v>1140800</v>
      </c>
      <c r="R128" s="17">
        <v>938</v>
      </c>
    </row>
    <row r="129" spans="1:18" ht="16.5" x14ac:dyDescent="0.25">
      <c r="A129" s="12">
        <v>939</v>
      </c>
      <c r="B129" s="13" t="s">
        <v>140</v>
      </c>
      <c r="C129" s="13" t="s">
        <v>25</v>
      </c>
      <c r="D129" s="14">
        <v>121</v>
      </c>
      <c r="E129" s="15">
        <v>6400</v>
      </c>
      <c r="F129" s="15">
        <v>400</v>
      </c>
      <c r="G129" s="15">
        <v>400</v>
      </c>
      <c r="H129" s="15">
        <f t="shared" si="10"/>
        <v>7200</v>
      </c>
      <c r="I129" s="15">
        <f t="shared" si="11"/>
        <v>871200</v>
      </c>
      <c r="J129" s="16"/>
      <c r="K129" s="23">
        <v>600000</v>
      </c>
      <c r="L129" s="15">
        <f t="shared" si="6"/>
        <v>2420</v>
      </c>
      <c r="M129" s="16"/>
      <c r="N129" s="16"/>
      <c r="O129" s="15">
        <f t="shared" si="7"/>
        <v>30250</v>
      </c>
      <c r="P129" s="15">
        <f t="shared" si="8"/>
        <v>632670</v>
      </c>
      <c r="Q129" s="15">
        <f t="shared" si="9"/>
        <v>238530</v>
      </c>
      <c r="R129" s="17">
        <v>939</v>
      </c>
    </row>
    <row r="130" spans="1:18" ht="16.5" x14ac:dyDescent="0.25">
      <c r="A130" s="12">
        <v>946</v>
      </c>
      <c r="B130" s="13" t="s">
        <v>141</v>
      </c>
      <c r="C130" s="13" t="s">
        <v>23</v>
      </c>
      <c r="D130" s="14">
        <v>558</v>
      </c>
      <c r="E130" s="15">
        <v>6400</v>
      </c>
      <c r="F130" s="15">
        <v>500</v>
      </c>
      <c r="G130" s="15">
        <v>400</v>
      </c>
      <c r="H130" s="15">
        <f t="shared" si="10"/>
        <v>7300</v>
      </c>
      <c r="I130" s="15">
        <f t="shared" si="11"/>
        <v>4073400</v>
      </c>
      <c r="J130" s="16"/>
      <c r="K130" s="15">
        <v>400000</v>
      </c>
      <c r="L130" s="15">
        <f t="shared" si="6"/>
        <v>11160</v>
      </c>
      <c r="M130" s="20"/>
      <c r="N130" s="20"/>
      <c r="O130" s="15">
        <f t="shared" si="7"/>
        <v>139500</v>
      </c>
      <c r="P130" s="15">
        <f t="shared" si="8"/>
        <v>550660</v>
      </c>
      <c r="Q130" s="15">
        <f t="shared" si="9"/>
        <v>3522740</v>
      </c>
      <c r="R130" s="17">
        <v>946</v>
      </c>
    </row>
    <row r="131" spans="1:18" ht="16.5" x14ac:dyDescent="0.25">
      <c r="A131" s="12">
        <v>948</v>
      </c>
      <c r="B131" s="13" t="s">
        <v>142</v>
      </c>
      <c r="C131" s="13" t="s">
        <v>25</v>
      </c>
      <c r="D131" s="19"/>
      <c r="E131" s="15">
        <v>6400</v>
      </c>
      <c r="F131" s="15">
        <v>300</v>
      </c>
      <c r="G131" s="15">
        <v>400</v>
      </c>
      <c r="H131" s="15">
        <f t="shared" si="10"/>
        <v>7100</v>
      </c>
      <c r="I131" s="15">
        <f t="shared" si="11"/>
        <v>0</v>
      </c>
      <c r="J131" s="20"/>
      <c r="K131" s="15"/>
      <c r="L131" s="15">
        <f t="shared" si="6"/>
        <v>0</v>
      </c>
      <c r="M131" s="16"/>
      <c r="N131" s="16"/>
      <c r="O131" s="15">
        <f t="shared" si="7"/>
        <v>0</v>
      </c>
      <c r="P131" s="15">
        <f t="shared" si="8"/>
        <v>0</v>
      </c>
      <c r="Q131" s="15">
        <f t="shared" si="9"/>
        <v>0</v>
      </c>
      <c r="R131" s="17">
        <v>948</v>
      </c>
    </row>
    <row r="132" spans="1:18" ht="16.5" x14ac:dyDescent="0.25">
      <c r="A132" s="12">
        <v>951</v>
      </c>
      <c r="B132" s="13" t="s">
        <v>143</v>
      </c>
      <c r="C132" s="13" t="s">
        <v>25</v>
      </c>
      <c r="D132" s="14"/>
      <c r="E132" s="15">
        <v>6400</v>
      </c>
      <c r="F132" s="15">
        <v>300</v>
      </c>
      <c r="G132" s="15">
        <v>400</v>
      </c>
      <c r="H132" s="15">
        <f t="shared" si="10"/>
        <v>7100</v>
      </c>
      <c r="I132" s="15">
        <f t="shared" si="11"/>
        <v>0</v>
      </c>
      <c r="J132" s="16"/>
      <c r="K132" s="15"/>
      <c r="L132" s="15">
        <f t="shared" si="6"/>
        <v>0</v>
      </c>
      <c r="M132" s="16"/>
      <c r="N132" s="16"/>
      <c r="O132" s="15">
        <f t="shared" si="7"/>
        <v>0</v>
      </c>
      <c r="P132" s="15">
        <f t="shared" si="8"/>
        <v>0</v>
      </c>
      <c r="Q132" s="15">
        <f t="shared" si="9"/>
        <v>0</v>
      </c>
      <c r="R132" s="17">
        <v>951</v>
      </c>
    </row>
    <row r="133" spans="1:18" ht="16.5" x14ac:dyDescent="0.25">
      <c r="A133" s="12">
        <v>952</v>
      </c>
      <c r="B133" s="13" t="s">
        <v>144</v>
      </c>
      <c r="C133" s="13" t="s">
        <v>43</v>
      </c>
      <c r="D133" s="14">
        <v>7</v>
      </c>
      <c r="E133" s="15">
        <v>6400</v>
      </c>
      <c r="F133" s="15">
        <v>400</v>
      </c>
      <c r="G133" s="15">
        <v>400</v>
      </c>
      <c r="H133" s="15">
        <f t="shared" si="10"/>
        <v>7200</v>
      </c>
      <c r="I133" s="15">
        <f t="shared" si="11"/>
        <v>50400</v>
      </c>
      <c r="J133" s="16"/>
      <c r="K133" s="15"/>
      <c r="L133" s="15">
        <f t="shared" ref="L133:L196" si="12">D133*20</f>
        <v>140</v>
      </c>
      <c r="M133" s="20"/>
      <c r="N133" s="20"/>
      <c r="O133" s="15">
        <f t="shared" ref="O133:O196" si="13">250*D133</f>
        <v>1750</v>
      </c>
      <c r="P133" s="15">
        <f t="shared" ref="P133:P196" si="14">SUM(J133:O133)</f>
        <v>1890</v>
      </c>
      <c r="Q133" s="15">
        <f t="shared" ref="Q133:Q196" si="15">I133-P133</f>
        <v>48510</v>
      </c>
      <c r="R133" s="17">
        <v>952</v>
      </c>
    </row>
    <row r="134" spans="1:18" ht="16.5" x14ac:dyDescent="0.25">
      <c r="A134" s="12">
        <v>953</v>
      </c>
      <c r="B134" s="13" t="s">
        <v>145</v>
      </c>
      <c r="C134" s="13" t="s">
        <v>25</v>
      </c>
      <c r="D134" s="19">
        <v>60</v>
      </c>
      <c r="E134" s="15">
        <v>6400</v>
      </c>
      <c r="F134" s="15">
        <v>400</v>
      </c>
      <c r="G134" s="15">
        <v>400</v>
      </c>
      <c r="H134" s="15">
        <f t="shared" ref="H134:H197" si="16">SUM(E134:G134)</f>
        <v>7200</v>
      </c>
      <c r="I134" s="15">
        <f t="shared" ref="I134:I197" si="17">H134*D134</f>
        <v>432000</v>
      </c>
      <c r="J134" s="20"/>
      <c r="K134" s="15"/>
      <c r="L134" s="15">
        <f t="shared" si="12"/>
        <v>1200</v>
      </c>
      <c r="M134" s="20"/>
      <c r="N134" s="20"/>
      <c r="O134" s="15">
        <f t="shared" si="13"/>
        <v>15000</v>
      </c>
      <c r="P134" s="15">
        <f t="shared" si="14"/>
        <v>16200</v>
      </c>
      <c r="Q134" s="15">
        <f t="shared" si="15"/>
        <v>415800</v>
      </c>
      <c r="R134" s="17">
        <v>953</v>
      </c>
    </row>
    <row r="135" spans="1:18" ht="16.5" x14ac:dyDescent="0.25">
      <c r="A135" s="12">
        <v>957</v>
      </c>
      <c r="B135" s="13" t="s">
        <v>146</v>
      </c>
      <c r="C135" s="13" t="s">
        <v>43</v>
      </c>
      <c r="D135" s="19"/>
      <c r="E135" s="15">
        <v>6400</v>
      </c>
      <c r="F135" s="15">
        <v>400</v>
      </c>
      <c r="G135" s="15">
        <v>400</v>
      </c>
      <c r="H135" s="15">
        <f t="shared" si="16"/>
        <v>7200</v>
      </c>
      <c r="I135" s="15">
        <f t="shared" si="17"/>
        <v>0</v>
      </c>
      <c r="J135" s="20"/>
      <c r="K135" s="15"/>
      <c r="L135" s="15">
        <f t="shared" si="12"/>
        <v>0</v>
      </c>
      <c r="M135" s="20"/>
      <c r="N135" s="20"/>
      <c r="O135" s="15">
        <f t="shared" si="13"/>
        <v>0</v>
      </c>
      <c r="P135" s="15">
        <f t="shared" si="14"/>
        <v>0</v>
      </c>
      <c r="Q135" s="15">
        <f t="shared" si="15"/>
        <v>0</v>
      </c>
      <c r="R135" s="17">
        <v>957</v>
      </c>
    </row>
    <row r="136" spans="1:18" ht="16.5" x14ac:dyDescent="0.25">
      <c r="A136" s="12">
        <v>959</v>
      </c>
      <c r="B136" s="13" t="s">
        <v>147</v>
      </c>
      <c r="C136" s="13" t="s">
        <v>43</v>
      </c>
      <c r="D136" s="19"/>
      <c r="E136" s="15">
        <v>6400</v>
      </c>
      <c r="F136" s="15">
        <v>300</v>
      </c>
      <c r="G136" s="15">
        <v>400</v>
      </c>
      <c r="H136" s="15">
        <f t="shared" si="16"/>
        <v>7100</v>
      </c>
      <c r="I136" s="15">
        <f t="shared" si="17"/>
        <v>0</v>
      </c>
      <c r="J136" s="20"/>
      <c r="K136" s="15"/>
      <c r="L136" s="15">
        <f t="shared" si="12"/>
        <v>0</v>
      </c>
      <c r="M136" s="20"/>
      <c r="N136" s="20"/>
      <c r="O136" s="15">
        <f t="shared" si="13"/>
        <v>0</v>
      </c>
      <c r="P136" s="15">
        <f t="shared" si="14"/>
        <v>0</v>
      </c>
      <c r="Q136" s="15">
        <f t="shared" si="15"/>
        <v>0</v>
      </c>
      <c r="R136" s="17">
        <v>959</v>
      </c>
    </row>
    <row r="137" spans="1:18" ht="16.5" x14ac:dyDescent="0.25">
      <c r="A137" s="12">
        <v>962</v>
      </c>
      <c r="B137" s="13" t="s">
        <v>148</v>
      </c>
      <c r="C137" s="13" t="s">
        <v>21</v>
      </c>
      <c r="D137" s="19"/>
      <c r="E137" s="15">
        <v>6400</v>
      </c>
      <c r="F137" s="15">
        <v>300</v>
      </c>
      <c r="G137" s="15">
        <v>400</v>
      </c>
      <c r="H137" s="15">
        <f t="shared" si="16"/>
        <v>7100</v>
      </c>
      <c r="I137" s="15">
        <f t="shared" si="17"/>
        <v>0</v>
      </c>
      <c r="J137" s="20"/>
      <c r="K137" s="15"/>
      <c r="L137" s="15">
        <f t="shared" si="12"/>
        <v>0</v>
      </c>
      <c r="M137" s="16"/>
      <c r="N137" s="16"/>
      <c r="O137" s="15">
        <f t="shared" si="13"/>
        <v>0</v>
      </c>
      <c r="P137" s="15">
        <f t="shared" si="14"/>
        <v>0</v>
      </c>
      <c r="Q137" s="15">
        <f t="shared" si="15"/>
        <v>0</v>
      </c>
      <c r="R137" s="17">
        <v>962</v>
      </c>
    </row>
    <row r="138" spans="1:18" ht="16.5" x14ac:dyDescent="0.25">
      <c r="A138" s="12">
        <v>963</v>
      </c>
      <c r="B138" s="13" t="s">
        <v>149</v>
      </c>
      <c r="C138" s="13" t="s">
        <v>25</v>
      </c>
      <c r="D138" s="14"/>
      <c r="E138" s="15">
        <v>6400</v>
      </c>
      <c r="F138" s="15">
        <v>300</v>
      </c>
      <c r="G138" s="15">
        <v>400</v>
      </c>
      <c r="H138" s="15">
        <f t="shared" si="16"/>
        <v>7100</v>
      </c>
      <c r="I138" s="15">
        <f t="shared" si="17"/>
        <v>0</v>
      </c>
      <c r="J138" s="16"/>
      <c r="K138" s="15"/>
      <c r="L138" s="15">
        <f t="shared" si="12"/>
        <v>0</v>
      </c>
      <c r="M138" s="16"/>
      <c r="N138" s="16"/>
      <c r="O138" s="15">
        <f t="shared" si="13"/>
        <v>0</v>
      </c>
      <c r="P138" s="15">
        <f t="shared" si="14"/>
        <v>0</v>
      </c>
      <c r="Q138" s="15">
        <f t="shared" si="15"/>
        <v>0</v>
      </c>
      <c r="R138" s="17">
        <v>963</v>
      </c>
    </row>
    <row r="139" spans="1:18" ht="16.5" x14ac:dyDescent="0.25">
      <c r="A139" s="12">
        <v>964</v>
      </c>
      <c r="B139" s="13" t="s">
        <v>150</v>
      </c>
      <c r="C139" s="13" t="s">
        <v>47</v>
      </c>
      <c r="D139" s="14">
        <v>85</v>
      </c>
      <c r="E139" s="15">
        <v>6400</v>
      </c>
      <c r="F139" s="15">
        <v>400</v>
      </c>
      <c r="G139" s="15">
        <v>400</v>
      </c>
      <c r="H139" s="15">
        <f t="shared" si="16"/>
        <v>7200</v>
      </c>
      <c r="I139" s="15">
        <f t="shared" si="17"/>
        <v>612000</v>
      </c>
      <c r="J139" s="16"/>
      <c r="K139" s="15">
        <v>600000</v>
      </c>
      <c r="L139" s="15">
        <f t="shared" si="12"/>
        <v>1700</v>
      </c>
      <c r="M139" s="16"/>
      <c r="N139" s="16"/>
      <c r="O139" s="15">
        <f t="shared" si="13"/>
        <v>21250</v>
      </c>
      <c r="P139" s="15">
        <f t="shared" si="14"/>
        <v>622950</v>
      </c>
      <c r="Q139" s="15">
        <f t="shared" si="15"/>
        <v>-10950</v>
      </c>
      <c r="R139" s="17">
        <v>964</v>
      </c>
    </row>
    <row r="140" spans="1:18" ht="16.5" x14ac:dyDescent="0.25">
      <c r="A140" s="12">
        <v>965</v>
      </c>
      <c r="B140" s="13" t="s">
        <v>151</v>
      </c>
      <c r="C140" s="13" t="s">
        <v>19</v>
      </c>
      <c r="D140" s="14"/>
      <c r="E140" s="15">
        <v>6400</v>
      </c>
      <c r="F140" s="15">
        <v>400</v>
      </c>
      <c r="G140" s="15">
        <v>400</v>
      </c>
      <c r="H140" s="15">
        <f t="shared" si="16"/>
        <v>7200</v>
      </c>
      <c r="I140" s="15">
        <f t="shared" si="17"/>
        <v>0</v>
      </c>
      <c r="J140" s="16"/>
      <c r="K140" s="15">
        <v>1000000</v>
      </c>
      <c r="L140" s="15">
        <f t="shared" si="12"/>
        <v>0</v>
      </c>
      <c r="M140" s="20"/>
      <c r="N140" s="20"/>
      <c r="O140" s="15">
        <f t="shared" si="13"/>
        <v>0</v>
      </c>
      <c r="P140" s="15">
        <f t="shared" si="14"/>
        <v>1000000</v>
      </c>
      <c r="Q140" s="15">
        <f t="shared" si="15"/>
        <v>-1000000</v>
      </c>
      <c r="R140" s="17">
        <v>965</v>
      </c>
    </row>
    <row r="141" spans="1:18" ht="16.5" x14ac:dyDescent="0.25">
      <c r="A141" s="12">
        <v>967</v>
      </c>
      <c r="B141" s="13" t="s">
        <v>152</v>
      </c>
      <c r="C141" s="13" t="s">
        <v>30</v>
      </c>
      <c r="D141" s="19"/>
      <c r="E141" s="15">
        <v>6400</v>
      </c>
      <c r="F141" s="15">
        <v>300</v>
      </c>
      <c r="G141" s="15">
        <v>400</v>
      </c>
      <c r="H141" s="15">
        <f t="shared" si="16"/>
        <v>7100</v>
      </c>
      <c r="I141" s="15">
        <f t="shared" si="17"/>
        <v>0</v>
      </c>
      <c r="J141" s="20"/>
      <c r="K141" s="15"/>
      <c r="L141" s="15">
        <f t="shared" si="12"/>
        <v>0</v>
      </c>
      <c r="M141" s="16"/>
      <c r="N141" s="16"/>
      <c r="O141" s="15">
        <f t="shared" si="13"/>
        <v>0</v>
      </c>
      <c r="P141" s="15">
        <f t="shared" si="14"/>
        <v>0</v>
      </c>
      <c r="Q141" s="15">
        <f t="shared" si="15"/>
        <v>0</v>
      </c>
      <c r="R141" s="17">
        <v>967</v>
      </c>
    </row>
    <row r="142" spans="1:18" ht="16.5" x14ac:dyDescent="0.25">
      <c r="A142" s="12">
        <v>969</v>
      </c>
      <c r="B142" s="13" t="s">
        <v>153</v>
      </c>
      <c r="C142" s="13" t="s">
        <v>25</v>
      </c>
      <c r="D142" s="14"/>
      <c r="E142" s="15">
        <v>6400</v>
      </c>
      <c r="F142" s="15">
        <v>300</v>
      </c>
      <c r="G142" s="15">
        <v>400</v>
      </c>
      <c r="H142" s="15">
        <f t="shared" si="16"/>
        <v>7100</v>
      </c>
      <c r="I142" s="15">
        <f t="shared" si="17"/>
        <v>0</v>
      </c>
      <c r="J142" s="16"/>
      <c r="K142" s="15"/>
      <c r="L142" s="15">
        <f t="shared" si="12"/>
        <v>0</v>
      </c>
      <c r="M142" s="20"/>
      <c r="N142" s="20"/>
      <c r="O142" s="15">
        <f t="shared" si="13"/>
        <v>0</v>
      </c>
      <c r="P142" s="15">
        <f t="shared" si="14"/>
        <v>0</v>
      </c>
      <c r="Q142" s="15">
        <f t="shared" si="15"/>
        <v>0</v>
      </c>
      <c r="R142" s="17">
        <v>969</v>
      </c>
    </row>
    <row r="143" spans="1:18" ht="16.5" x14ac:dyDescent="0.25">
      <c r="A143" s="12">
        <v>976</v>
      </c>
      <c r="B143" s="13" t="s">
        <v>154</v>
      </c>
      <c r="C143" s="13" t="s">
        <v>54</v>
      </c>
      <c r="D143" s="19"/>
      <c r="E143" s="15">
        <v>6400</v>
      </c>
      <c r="F143" s="15">
        <v>300</v>
      </c>
      <c r="G143" s="15">
        <v>400</v>
      </c>
      <c r="H143" s="15">
        <f t="shared" si="16"/>
        <v>7100</v>
      </c>
      <c r="I143" s="15">
        <f t="shared" si="17"/>
        <v>0</v>
      </c>
      <c r="J143" s="20"/>
      <c r="K143" s="15"/>
      <c r="L143" s="15">
        <f t="shared" si="12"/>
        <v>0</v>
      </c>
      <c r="M143" s="16"/>
      <c r="N143" s="16"/>
      <c r="O143" s="15">
        <f t="shared" si="13"/>
        <v>0</v>
      </c>
      <c r="P143" s="15">
        <f t="shared" si="14"/>
        <v>0</v>
      </c>
      <c r="Q143" s="15">
        <f t="shared" si="15"/>
        <v>0</v>
      </c>
      <c r="R143" s="17">
        <v>976</v>
      </c>
    </row>
    <row r="144" spans="1:18" ht="16.5" x14ac:dyDescent="0.25">
      <c r="A144" s="12">
        <v>980</v>
      </c>
      <c r="B144" s="13" t="s">
        <v>155</v>
      </c>
      <c r="C144" s="13" t="s">
        <v>25</v>
      </c>
      <c r="D144" s="16"/>
      <c r="E144" s="15">
        <v>6400</v>
      </c>
      <c r="F144" s="15">
        <v>500</v>
      </c>
      <c r="G144" s="15">
        <v>400</v>
      </c>
      <c r="H144" s="15">
        <f t="shared" si="16"/>
        <v>7300</v>
      </c>
      <c r="I144" s="15">
        <f t="shared" si="17"/>
        <v>0</v>
      </c>
      <c r="J144" s="16"/>
      <c r="K144" s="15"/>
      <c r="L144" s="15">
        <f t="shared" si="12"/>
        <v>0</v>
      </c>
      <c r="M144" s="16"/>
      <c r="N144" s="16"/>
      <c r="O144" s="15">
        <f t="shared" si="13"/>
        <v>0</v>
      </c>
      <c r="P144" s="15">
        <f t="shared" si="14"/>
        <v>0</v>
      </c>
      <c r="Q144" s="15">
        <f t="shared" si="15"/>
        <v>0</v>
      </c>
      <c r="R144" s="17">
        <v>980</v>
      </c>
    </row>
    <row r="145" spans="1:18" ht="16.5" x14ac:dyDescent="0.25">
      <c r="A145" s="12">
        <v>983</v>
      </c>
      <c r="B145" s="13" t="s">
        <v>156</v>
      </c>
      <c r="C145" s="13" t="s">
        <v>138</v>
      </c>
      <c r="D145" s="14">
        <v>166</v>
      </c>
      <c r="E145" s="15">
        <v>6400</v>
      </c>
      <c r="F145" s="15">
        <v>500</v>
      </c>
      <c r="G145" s="15">
        <v>400</v>
      </c>
      <c r="H145" s="15">
        <f t="shared" si="16"/>
        <v>7300</v>
      </c>
      <c r="I145" s="15">
        <f t="shared" si="17"/>
        <v>1211800</v>
      </c>
      <c r="J145" s="16"/>
      <c r="K145" s="15"/>
      <c r="L145" s="15">
        <f t="shared" si="12"/>
        <v>3320</v>
      </c>
      <c r="M145" s="16"/>
      <c r="N145" s="16"/>
      <c r="O145" s="15">
        <f t="shared" si="13"/>
        <v>41500</v>
      </c>
      <c r="P145" s="15">
        <f t="shared" si="14"/>
        <v>44820</v>
      </c>
      <c r="Q145" s="15">
        <f t="shared" si="15"/>
        <v>1166980</v>
      </c>
      <c r="R145" s="17">
        <v>983</v>
      </c>
    </row>
    <row r="146" spans="1:18" ht="16.5" x14ac:dyDescent="0.25">
      <c r="A146" s="12">
        <v>984</v>
      </c>
      <c r="B146" s="13" t="s">
        <v>157</v>
      </c>
      <c r="C146" s="13" t="s">
        <v>30</v>
      </c>
      <c r="D146" s="14">
        <v>77</v>
      </c>
      <c r="E146" s="15">
        <v>6400</v>
      </c>
      <c r="F146" s="15">
        <v>400</v>
      </c>
      <c r="G146" s="15">
        <v>400</v>
      </c>
      <c r="H146" s="15">
        <f t="shared" si="16"/>
        <v>7200</v>
      </c>
      <c r="I146" s="15">
        <f t="shared" si="17"/>
        <v>554400</v>
      </c>
      <c r="J146" s="16"/>
      <c r="K146" s="15"/>
      <c r="L146" s="15">
        <f t="shared" si="12"/>
        <v>1540</v>
      </c>
      <c r="M146" s="16"/>
      <c r="N146" s="16"/>
      <c r="O146" s="15">
        <f t="shared" si="13"/>
        <v>19250</v>
      </c>
      <c r="P146" s="15">
        <f t="shared" si="14"/>
        <v>20790</v>
      </c>
      <c r="Q146" s="15">
        <f t="shared" si="15"/>
        <v>533610</v>
      </c>
      <c r="R146" s="17">
        <v>984</v>
      </c>
    </row>
    <row r="147" spans="1:18" ht="16.5" x14ac:dyDescent="0.25">
      <c r="A147" s="12">
        <v>986</v>
      </c>
      <c r="B147" s="13" t="s">
        <v>158</v>
      </c>
      <c r="C147" s="13" t="s">
        <v>25</v>
      </c>
      <c r="D147" s="14"/>
      <c r="E147" s="15">
        <v>6400</v>
      </c>
      <c r="F147" s="15">
        <v>300</v>
      </c>
      <c r="G147" s="15">
        <v>400</v>
      </c>
      <c r="H147" s="15">
        <f t="shared" si="16"/>
        <v>7100</v>
      </c>
      <c r="I147" s="15">
        <f t="shared" si="17"/>
        <v>0</v>
      </c>
      <c r="J147" s="16"/>
      <c r="K147" s="15"/>
      <c r="L147" s="15">
        <f t="shared" si="12"/>
        <v>0</v>
      </c>
      <c r="M147" s="20"/>
      <c r="N147" s="20"/>
      <c r="O147" s="15">
        <f t="shared" si="13"/>
        <v>0</v>
      </c>
      <c r="P147" s="15">
        <f t="shared" si="14"/>
        <v>0</v>
      </c>
      <c r="Q147" s="15">
        <f t="shared" si="15"/>
        <v>0</v>
      </c>
      <c r="R147" s="17">
        <v>986</v>
      </c>
    </row>
    <row r="148" spans="1:18" ht="16.5" x14ac:dyDescent="0.25">
      <c r="A148" s="12">
        <v>993</v>
      </c>
      <c r="B148" s="13" t="s">
        <v>99</v>
      </c>
      <c r="C148" s="13" t="s">
        <v>47</v>
      </c>
      <c r="D148" s="19"/>
      <c r="E148" s="15">
        <v>6400</v>
      </c>
      <c r="F148" s="15">
        <v>300</v>
      </c>
      <c r="G148" s="15">
        <v>400</v>
      </c>
      <c r="H148" s="15">
        <f t="shared" si="16"/>
        <v>7100</v>
      </c>
      <c r="I148" s="15">
        <f t="shared" si="17"/>
        <v>0</v>
      </c>
      <c r="J148" s="20"/>
      <c r="K148" s="15"/>
      <c r="L148" s="15">
        <f t="shared" si="12"/>
        <v>0</v>
      </c>
      <c r="M148" s="16"/>
      <c r="N148" s="16"/>
      <c r="O148" s="15">
        <f t="shared" si="13"/>
        <v>0</v>
      </c>
      <c r="P148" s="15">
        <f t="shared" si="14"/>
        <v>0</v>
      </c>
      <c r="Q148" s="15">
        <f t="shared" si="15"/>
        <v>0</v>
      </c>
      <c r="R148" s="17">
        <v>993</v>
      </c>
    </row>
    <row r="149" spans="1:18" ht="16.5" x14ac:dyDescent="0.25">
      <c r="A149" s="12">
        <v>1003</v>
      </c>
      <c r="B149" s="13" t="s">
        <v>127</v>
      </c>
      <c r="C149" s="13" t="s">
        <v>30</v>
      </c>
      <c r="D149" s="14">
        <v>295</v>
      </c>
      <c r="E149" s="15">
        <v>6400</v>
      </c>
      <c r="F149" s="15">
        <v>600</v>
      </c>
      <c r="G149" s="15">
        <v>400</v>
      </c>
      <c r="H149" s="15">
        <f t="shared" si="16"/>
        <v>7400</v>
      </c>
      <c r="I149" s="15">
        <f t="shared" si="17"/>
        <v>2183000</v>
      </c>
      <c r="J149" s="16"/>
      <c r="K149" s="15"/>
      <c r="L149" s="15">
        <f t="shared" si="12"/>
        <v>5900</v>
      </c>
      <c r="M149" s="16"/>
      <c r="N149" s="16"/>
      <c r="O149" s="15">
        <f t="shared" si="13"/>
        <v>73750</v>
      </c>
      <c r="P149" s="15">
        <f t="shared" si="14"/>
        <v>79650</v>
      </c>
      <c r="Q149" s="15">
        <f t="shared" si="15"/>
        <v>2103350</v>
      </c>
      <c r="R149" s="17">
        <v>1003</v>
      </c>
    </row>
    <row r="150" spans="1:18" ht="16.5" x14ac:dyDescent="0.25">
      <c r="A150" s="12">
        <v>1005</v>
      </c>
      <c r="B150" s="13" t="s">
        <v>159</v>
      </c>
      <c r="C150" s="13" t="s">
        <v>43</v>
      </c>
      <c r="D150" s="14"/>
      <c r="E150" s="15">
        <v>6400</v>
      </c>
      <c r="F150" s="15">
        <v>300</v>
      </c>
      <c r="G150" s="15">
        <v>400</v>
      </c>
      <c r="H150" s="15">
        <f t="shared" si="16"/>
        <v>7100</v>
      </c>
      <c r="I150" s="15">
        <f t="shared" si="17"/>
        <v>0</v>
      </c>
      <c r="J150" s="16"/>
      <c r="K150" s="15"/>
      <c r="L150" s="15">
        <f t="shared" si="12"/>
        <v>0</v>
      </c>
      <c r="M150" s="16"/>
      <c r="N150" s="16"/>
      <c r="O150" s="15">
        <f t="shared" si="13"/>
        <v>0</v>
      </c>
      <c r="P150" s="15">
        <f t="shared" si="14"/>
        <v>0</v>
      </c>
      <c r="Q150" s="15">
        <f t="shared" si="15"/>
        <v>0</v>
      </c>
      <c r="R150" s="17">
        <v>1005</v>
      </c>
    </row>
    <row r="151" spans="1:18" ht="16.5" x14ac:dyDescent="0.25">
      <c r="A151" s="12">
        <v>1007</v>
      </c>
      <c r="B151" s="13" t="s">
        <v>160</v>
      </c>
      <c r="C151" s="13" t="s">
        <v>30</v>
      </c>
      <c r="D151" s="14"/>
      <c r="E151" s="15">
        <v>6400</v>
      </c>
      <c r="F151" s="15">
        <v>300</v>
      </c>
      <c r="G151" s="15">
        <v>400</v>
      </c>
      <c r="H151" s="15">
        <f t="shared" si="16"/>
        <v>7100</v>
      </c>
      <c r="I151" s="15">
        <f t="shared" si="17"/>
        <v>0</v>
      </c>
      <c r="J151" s="16"/>
      <c r="K151" s="15"/>
      <c r="L151" s="15">
        <f t="shared" si="12"/>
        <v>0</v>
      </c>
      <c r="M151" s="16"/>
      <c r="N151" s="16"/>
      <c r="O151" s="15">
        <f t="shared" si="13"/>
        <v>0</v>
      </c>
      <c r="P151" s="15">
        <f t="shared" si="14"/>
        <v>0</v>
      </c>
      <c r="Q151" s="15">
        <f t="shared" si="15"/>
        <v>0</v>
      </c>
      <c r="R151" s="17">
        <v>1007</v>
      </c>
    </row>
    <row r="152" spans="1:18" ht="16.5" x14ac:dyDescent="0.25">
      <c r="A152" s="12">
        <v>1008</v>
      </c>
      <c r="B152" s="13" t="s">
        <v>161</v>
      </c>
      <c r="C152" s="13" t="s">
        <v>82</v>
      </c>
      <c r="D152" s="14"/>
      <c r="E152" s="15">
        <v>6400</v>
      </c>
      <c r="F152" s="15">
        <v>300</v>
      </c>
      <c r="G152" s="15">
        <v>400</v>
      </c>
      <c r="H152" s="15">
        <f t="shared" si="16"/>
        <v>7100</v>
      </c>
      <c r="I152" s="15">
        <f t="shared" si="17"/>
        <v>0</v>
      </c>
      <c r="J152" s="16"/>
      <c r="K152" s="15"/>
      <c r="L152" s="15">
        <f t="shared" si="12"/>
        <v>0</v>
      </c>
      <c r="M152" s="16"/>
      <c r="N152" s="16"/>
      <c r="O152" s="15">
        <f t="shared" si="13"/>
        <v>0</v>
      </c>
      <c r="P152" s="15">
        <f t="shared" si="14"/>
        <v>0</v>
      </c>
      <c r="Q152" s="15">
        <f t="shared" si="15"/>
        <v>0</v>
      </c>
      <c r="R152" s="17">
        <v>1008</v>
      </c>
    </row>
    <row r="153" spans="1:18" ht="16.5" x14ac:dyDescent="0.25">
      <c r="A153" s="12">
        <v>1015</v>
      </c>
      <c r="B153" s="13" t="s">
        <v>421</v>
      </c>
      <c r="C153" s="13" t="s">
        <v>23</v>
      </c>
      <c r="D153" s="14"/>
      <c r="E153" s="15">
        <v>6400</v>
      </c>
      <c r="F153" s="15">
        <v>300</v>
      </c>
      <c r="G153" s="15">
        <v>400</v>
      </c>
      <c r="H153" s="15">
        <f t="shared" si="16"/>
        <v>7100</v>
      </c>
      <c r="I153" s="15">
        <f t="shared" si="17"/>
        <v>0</v>
      </c>
      <c r="J153" s="16"/>
      <c r="K153" s="15"/>
      <c r="L153" s="15">
        <f t="shared" si="12"/>
        <v>0</v>
      </c>
      <c r="M153" s="16"/>
      <c r="N153" s="16"/>
      <c r="O153" s="15">
        <f t="shared" si="13"/>
        <v>0</v>
      </c>
      <c r="P153" s="15">
        <f t="shared" si="14"/>
        <v>0</v>
      </c>
      <c r="Q153" s="15">
        <f t="shared" si="15"/>
        <v>0</v>
      </c>
      <c r="R153" s="17">
        <v>1015</v>
      </c>
    </row>
    <row r="154" spans="1:18" ht="16.5" x14ac:dyDescent="0.25">
      <c r="A154" s="12">
        <v>1019</v>
      </c>
      <c r="B154" s="13" t="s">
        <v>162</v>
      </c>
      <c r="C154" s="13" t="s">
        <v>25</v>
      </c>
      <c r="D154" s="14"/>
      <c r="E154" s="15">
        <v>6400</v>
      </c>
      <c r="F154" s="15">
        <v>300</v>
      </c>
      <c r="G154" s="15">
        <v>400</v>
      </c>
      <c r="H154" s="15">
        <f t="shared" si="16"/>
        <v>7100</v>
      </c>
      <c r="I154" s="15">
        <f t="shared" si="17"/>
        <v>0</v>
      </c>
      <c r="J154" s="16"/>
      <c r="K154" s="15"/>
      <c r="L154" s="15">
        <f t="shared" si="12"/>
        <v>0</v>
      </c>
      <c r="M154" s="20"/>
      <c r="N154" s="20"/>
      <c r="O154" s="15">
        <f t="shared" si="13"/>
        <v>0</v>
      </c>
      <c r="P154" s="15">
        <f t="shared" si="14"/>
        <v>0</v>
      </c>
      <c r="Q154" s="15">
        <f t="shared" si="15"/>
        <v>0</v>
      </c>
      <c r="R154" s="17">
        <v>1019</v>
      </c>
    </row>
    <row r="155" spans="1:18" ht="16.5" x14ac:dyDescent="0.25">
      <c r="A155" s="12">
        <v>1044</v>
      </c>
      <c r="B155" s="13" t="s">
        <v>163</v>
      </c>
      <c r="C155" s="13" t="s">
        <v>21</v>
      </c>
      <c r="D155" s="19"/>
      <c r="E155" s="15">
        <v>6400</v>
      </c>
      <c r="F155" s="15">
        <v>300</v>
      </c>
      <c r="G155" s="15">
        <v>400</v>
      </c>
      <c r="H155" s="15">
        <f t="shared" si="16"/>
        <v>7100</v>
      </c>
      <c r="I155" s="15">
        <f t="shared" si="17"/>
        <v>0</v>
      </c>
      <c r="J155" s="20"/>
      <c r="K155" s="15"/>
      <c r="L155" s="15">
        <f t="shared" si="12"/>
        <v>0</v>
      </c>
      <c r="M155" s="16"/>
      <c r="N155" s="16"/>
      <c r="O155" s="15">
        <f t="shared" si="13"/>
        <v>0</v>
      </c>
      <c r="P155" s="15">
        <f t="shared" si="14"/>
        <v>0</v>
      </c>
      <c r="Q155" s="15">
        <f t="shared" si="15"/>
        <v>0</v>
      </c>
      <c r="R155" s="17">
        <v>1044</v>
      </c>
    </row>
    <row r="156" spans="1:18" ht="16.5" x14ac:dyDescent="0.25">
      <c r="A156" s="12">
        <v>1046</v>
      </c>
      <c r="B156" s="13" t="s">
        <v>164</v>
      </c>
      <c r="C156" s="13" t="s">
        <v>21</v>
      </c>
      <c r="D156" s="14">
        <v>134</v>
      </c>
      <c r="E156" s="15">
        <v>6400</v>
      </c>
      <c r="F156" s="15">
        <v>400</v>
      </c>
      <c r="G156" s="15">
        <v>400</v>
      </c>
      <c r="H156" s="15">
        <f t="shared" si="16"/>
        <v>7200</v>
      </c>
      <c r="I156" s="15">
        <f t="shared" si="17"/>
        <v>964800</v>
      </c>
      <c r="J156" s="16"/>
      <c r="K156" s="15">
        <v>400000</v>
      </c>
      <c r="L156" s="15">
        <f t="shared" si="12"/>
        <v>2680</v>
      </c>
      <c r="M156" s="20"/>
      <c r="N156" s="20"/>
      <c r="O156" s="15">
        <f t="shared" si="13"/>
        <v>33500</v>
      </c>
      <c r="P156" s="15">
        <f t="shared" si="14"/>
        <v>436180</v>
      </c>
      <c r="Q156" s="15">
        <f t="shared" si="15"/>
        <v>528620</v>
      </c>
      <c r="R156" s="17">
        <v>1046</v>
      </c>
    </row>
    <row r="157" spans="1:18" ht="16.5" x14ac:dyDescent="0.25">
      <c r="A157" s="12">
        <v>1049</v>
      </c>
      <c r="B157" s="13" t="s">
        <v>165</v>
      </c>
      <c r="C157" s="13" t="s">
        <v>43</v>
      </c>
      <c r="D157" s="19">
        <v>98</v>
      </c>
      <c r="E157" s="15">
        <v>6400</v>
      </c>
      <c r="F157" s="15">
        <v>600</v>
      </c>
      <c r="G157" s="15">
        <v>400</v>
      </c>
      <c r="H157" s="15">
        <f t="shared" si="16"/>
        <v>7400</v>
      </c>
      <c r="I157" s="15">
        <f t="shared" si="17"/>
        <v>725200</v>
      </c>
      <c r="J157" s="20"/>
      <c r="K157" s="15"/>
      <c r="L157" s="15">
        <f t="shared" si="12"/>
        <v>1960</v>
      </c>
      <c r="M157" s="16"/>
      <c r="N157" s="16"/>
      <c r="O157" s="15">
        <f t="shared" si="13"/>
        <v>24500</v>
      </c>
      <c r="P157" s="15">
        <f t="shared" si="14"/>
        <v>26460</v>
      </c>
      <c r="Q157" s="15">
        <f t="shared" si="15"/>
        <v>698740</v>
      </c>
      <c r="R157" s="17">
        <v>1049</v>
      </c>
    </row>
    <row r="158" spans="1:18" ht="16.5" x14ac:dyDescent="0.25">
      <c r="A158" s="12">
        <v>1051</v>
      </c>
      <c r="B158" s="13" t="s">
        <v>166</v>
      </c>
      <c r="C158" s="13" t="s">
        <v>43</v>
      </c>
      <c r="D158" s="16"/>
      <c r="E158" s="15">
        <v>6400</v>
      </c>
      <c r="F158" s="15">
        <v>300</v>
      </c>
      <c r="G158" s="15">
        <v>400</v>
      </c>
      <c r="H158" s="15">
        <f t="shared" si="16"/>
        <v>7100</v>
      </c>
      <c r="I158" s="15">
        <f t="shared" si="17"/>
        <v>0</v>
      </c>
      <c r="J158" s="16"/>
      <c r="K158" s="15"/>
      <c r="L158" s="15">
        <f t="shared" si="12"/>
        <v>0</v>
      </c>
      <c r="M158" s="16"/>
      <c r="N158" s="16"/>
      <c r="O158" s="15">
        <f t="shared" si="13"/>
        <v>0</v>
      </c>
      <c r="P158" s="15">
        <f t="shared" si="14"/>
        <v>0</v>
      </c>
      <c r="Q158" s="15">
        <f t="shared" si="15"/>
        <v>0</v>
      </c>
      <c r="R158" s="17">
        <v>1051</v>
      </c>
    </row>
    <row r="159" spans="1:18" ht="16.5" x14ac:dyDescent="0.25">
      <c r="A159" s="12">
        <v>1052</v>
      </c>
      <c r="B159" s="13" t="s">
        <v>167</v>
      </c>
      <c r="C159" s="13" t="s">
        <v>43</v>
      </c>
      <c r="D159" s="16"/>
      <c r="E159" s="15">
        <v>6400</v>
      </c>
      <c r="F159" s="15">
        <v>300</v>
      </c>
      <c r="G159" s="15">
        <v>400</v>
      </c>
      <c r="H159" s="15">
        <f t="shared" si="16"/>
        <v>7100</v>
      </c>
      <c r="I159" s="15">
        <f t="shared" si="17"/>
        <v>0</v>
      </c>
      <c r="J159" s="16"/>
      <c r="K159" s="15"/>
      <c r="L159" s="15">
        <f t="shared" si="12"/>
        <v>0</v>
      </c>
      <c r="M159" s="20"/>
      <c r="N159" s="20"/>
      <c r="O159" s="15">
        <f t="shared" si="13"/>
        <v>0</v>
      </c>
      <c r="P159" s="15">
        <f t="shared" si="14"/>
        <v>0</v>
      </c>
      <c r="Q159" s="15">
        <f t="shared" si="15"/>
        <v>0</v>
      </c>
      <c r="R159" s="17">
        <v>1052</v>
      </c>
    </row>
    <row r="160" spans="1:18" ht="16.5" x14ac:dyDescent="0.25">
      <c r="A160" s="12">
        <v>1057</v>
      </c>
      <c r="B160" s="13" t="s">
        <v>59</v>
      </c>
      <c r="C160" s="13" t="s">
        <v>43</v>
      </c>
      <c r="D160" s="19"/>
      <c r="E160" s="15">
        <v>6400</v>
      </c>
      <c r="F160" s="15">
        <v>400</v>
      </c>
      <c r="G160" s="15">
        <v>400</v>
      </c>
      <c r="H160" s="15">
        <f t="shared" si="16"/>
        <v>7200</v>
      </c>
      <c r="I160" s="15">
        <f t="shared" si="17"/>
        <v>0</v>
      </c>
      <c r="J160" s="20"/>
      <c r="K160" s="15"/>
      <c r="L160" s="15">
        <f t="shared" si="12"/>
        <v>0</v>
      </c>
      <c r="M160" s="20"/>
      <c r="N160" s="20"/>
      <c r="O160" s="15">
        <f t="shared" si="13"/>
        <v>0</v>
      </c>
      <c r="P160" s="15">
        <f t="shared" si="14"/>
        <v>0</v>
      </c>
      <c r="Q160" s="15">
        <f t="shared" si="15"/>
        <v>0</v>
      </c>
      <c r="R160" s="17">
        <v>1057</v>
      </c>
    </row>
    <row r="161" spans="1:18" ht="16.5" x14ac:dyDescent="0.25">
      <c r="A161" s="12">
        <v>1059</v>
      </c>
      <c r="B161" s="13" t="s">
        <v>157</v>
      </c>
      <c r="C161" s="13" t="s">
        <v>25</v>
      </c>
      <c r="D161" s="19"/>
      <c r="E161" s="15">
        <v>6400</v>
      </c>
      <c r="F161" s="15">
        <v>300</v>
      </c>
      <c r="G161" s="15">
        <v>400</v>
      </c>
      <c r="H161" s="15">
        <f t="shared" si="16"/>
        <v>7100</v>
      </c>
      <c r="I161" s="15">
        <f t="shared" si="17"/>
        <v>0</v>
      </c>
      <c r="J161" s="20"/>
      <c r="K161" s="15"/>
      <c r="L161" s="15">
        <f t="shared" si="12"/>
        <v>0</v>
      </c>
      <c r="M161" s="20"/>
      <c r="N161" s="20"/>
      <c r="O161" s="15">
        <f t="shared" si="13"/>
        <v>0</v>
      </c>
      <c r="P161" s="15">
        <f t="shared" si="14"/>
        <v>0</v>
      </c>
      <c r="Q161" s="15">
        <f t="shared" si="15"/>
        <v>0</v>
      </c>
      <c r="R161" s="17">
        <v>1059</v>
      </c>
    </row>
    <row r="162" spans="1:18" ht="16.5" x14ac:dyDescent="0.25">
      <c r="A162" s="12">
        <v>1060</v>
      </c>
      <c r="B162" s="13" t="s">
        <v>168</v>
      </c>
      <c r="C162" s="13" t="s">
        <v>54</v>
      </c>
      <c r="D162" s="19"/>
      <c r="E162" s="15">
        <v>6400</v>
      </c>
      <c r="F162" s="15">
        <v>300</v>
      </c>
      <c r="G162" s="15">
        <v>400</v>
      </c>
      <c r="H162" s="15">
        <f t="shared" si="16"/>
        <v>7100</v>
      </c>
      <c r="I162" s="15">
        <f t="shared" si="17"/>
        <v>0</v>
      </c>
      <c r="J162" s="20"/>
      <c r="K162" s="15"/>
      <c r="L162" s="15">
        <f t="shared" si="12"/>
        <v>0</v>
      </c>
      <c r="M162" s="16"/>
      <c r="N162" s="16"/>
      <c r="O162" s="15">
        <f t="shared" si="13"/>
        <v>0</v>
      </c>
      <c r="P162" s="15">
        <f t="shared" si="14"/>
        <v>0</v>
      </c>
      <c r="Q162" s="15">
        <f t="shared" si="15"/>
        <v>0</v>
      </c>
      <c r="R162" s="17">
        <v>1060</v>
      </c>
    </row>
    <row r="163" spans="1:18" ht="16.5" x14ac:dyDescent="0.25">
      <c r="A163" s="12">
        <v>1061</v>
      </c>
      <c r="B163" s="13" t="s">
        <v>169</v>
      </c>
      <c r="C163" s="13" t="s">
        <v>19</v>
      </c>
      <c r="D163" s="14"/>
      <c r="E163" s="15">
        <v>6400</v>
      </c>
      <c r="F163" s="15">
        <v>300</v>
      </c>
      <c r="G163" s="15">
        <v>400</v>
      </c>
      <c r="H163" s="15">
        <f t="shared" si="16"/>
        <v>7100</v>
      </c>
      <c r="I163" s="15">
        <f t="shared" si="17"/>
        <v>0</v>
      </c>
      <c r="J163" s="16"/>
      <c r="K163" s="15"/>
      <c r="L163" s="15">
        <f t="shared" si="12"/>
        <v>0</v>
      </c>
      <c r="M163" s="20"/>
      <c r="N163" s="20"/>
      <c r="O163" s="15">
        <f t="shared" si="13"/>
        <v>0</v>
      </c>
      <c r="P163" s="15">
        <f t="shared" si="14"/>
        <v>0</v>
      </c>
      <c r="Q163" s="15">
        <f t="shared" si="15"/>
        <v>0</v>
      </c>
      <c r="R163" s="17">
        <v>1061</v>
      </c>
    </row>
    <row r="164" spans="1:18" ht="16.5" x14ac:dyDescent="0.25">
      <c r="A164" s="12">
        <v>1062</v>
      </c>
      <c r="B164" s="13" t="s">
        <v>170</v>
      </c>
      <c r="C164" s="13" t="s">
        <v>47</v>
      </c>
      <c r="D164" s="19"/>
      <c r="E164" s="15">
        <v>6400</v>
      </c>
      <c r="F164" s="15">
        <v>300</v>
      </c>
      <c r="G164" s="15">
        <v>400</v>
      </c>
      <c r="H164" s="15">
        <f t="shared" si="16"/>
        <v>7100</v>
      </c>
      <c r="I164" s="15">
        <f t="shared" si="17"/>
        <v>0</v>
      </c>
      <c r="J164" s="20"/>
      <c r="K164" s="15"/>
      <c r="L164" s="15">
        <f t="shared" si="12"/>
        <v>0</v>
      </c>
      <c r="M164" s="16"/>
      <c r="N164" s="16"/>
      <c r="O164" s="15">
        <f t="shared" si="13"/>
        <v>0</v>
      </c>
      <c r="P164" s="15">
        <f t="shared" si="14"/>
        <v>0</v>
      </c>
      <c r="Q164" s="15">
        <f t="shared" si="15"/>
        <v>0</v>
      </c>
      <c r="R164" s="17">
        <v>1062</v>
      </c>
    </row>
    <row r="165" spans="1:18" ht="16.5" x14ac:dyDescent="0.25">
      <c r="A165" s="12">
        <v>1064</v>
      </c>
      <c r="B165" s="13" t="s">
        <v>166</v>
      </c>
      <c r="C165" s="13" t="s">
        <v>43</v>
      </c>
      <c r="D165" s="14">
        <v>222</v>
      </c>
      <c r="E165" s="15">
        <v>6400</v>
      </c>
      <c r="F165" s="15">
        <v>500</v>
      </c>
      <c r="G165" s="15">
        <v>400</v>
      </c>
      <c r="H165" s="15">
        <f t="shared" si="16"/>
        <v>7300</v>
      </c>
      <c r="I165" s="15">
        <f t="shared" si="17"/>
        <v>1620600</v>
      </c>
      <c r="J165" s="16"/>
      <c r="K165" s="15">
        <v>400000</v>
      </c>
      <c r="L165" s="15">
        <f t="shared" si="12"/>
        <v>4440</v>
      </c>
      <c r="M165" s="20"/>
      <c r="N165" s="20"/>
      <c r="O165" s="15">
        <f t="shared" si="13"/>
        <v>55500</v>
      </c>
      <c r="P165" s="15">
        <f t="shared" si="14"/>
        <v>459940</v>
      </c>
      <c r="Q165" s="15">
        <f t="shared" si="15"/>
        <v>1160660</v>
      </c>
      <c r="R165" s="17">
        <v>1064</v>
      </c>
    </row>
    <row r="166" spans="1:18" ht="16.5" x14ac:dyDescent="0.25">
      <c r="A166" s="12">
        <v>1065</v>
      </c>
      <c r="B166" s="13" t="s">
        <v>171</v>
      </c>
      <c r="C166" s="13" t="s">
        <v>25</v>
      </c>
      <c r="D166" s="19"/>
      <c r="E166" s="15">
        <v>6400</v>
      </c>
      <c r="F166" s="15">
        <v>300</v>
      </c>
      <c r="G166" s="15">
        <v>400</v>
      </c>
      <c r="H166" s="15">
        <f t="shared" si="16"/>
        <v>7100</v>
      </c>
      <c r="I166" s="15">
        <f t="shared" si="17"/>
        <v>0</v>
      </c>
      <c r="J166" s="20"/>
      <c r="K166" s="15"/>
      <c r="L166" s="15">
        <f t="shared" si="12"/>
        <v>0</v>
      </c>
      <c r="M166" s="16"/>
      <c r="N166" s="16"/>
      <c r="O166" s="15">
        <f t="shared" si="13"/>
        <v>0</v>
      </c>
      <c r="P166" s="15">
        <f t="shared" si="14"/>
        <v>0</v>
      </c>
      <c r="Q166" s="15">
        <f t="shared" si="15"/>
        <v>0</v>
      </c>
      <c r="R166" s="17">
        <v>1065</v>
      </c>
    </row>
    <row r="167" spans="1:18" ht="16.5" x14ac:dyDescent="0.25">
      <c r="A167" s="12">
        <v>1070</v>
      </c>
      <c r="B167" s="13" t="s">
        <v>172</v>
      </c>
      <c r="C167" s="13" t="s">
        <v>21</v>
      </c>
      <c r="D167" s="14"/>
      <c r="E167" s="15">
        <v>6400</v>
      </c>
      <c r="F167" s="15">
        <v>300</v>
      </c>
      <c r="G167" s="15">
        <v>400</v>
      </c>
      <c r="H167" s="15">
        <f t="shared" si="16"/>
        <v>7100</v>
      </c>
      <c r="I167" s="15">
        <f t="shared" si="17"/>
        <v>0</v>
      </c>
      <c r="J167" s="16"/>
      <c r="K167" s="15"/>
      <c r="L167" s="15">
        <f t="shared" si="12"/>
        <v>0</v>
      </c>
      <c r="M167" s="20"/>
      <c r="N167" s="20"/>
      <c r="O167" s="15">
        <f t="shared" si="13"/>
        <v>0</v>
      </c>
      <c r="P167" s="15">
        <f t="shared" si="14"/>
        <v>0</v>
      </c>
      <c r="Q167" s="15">
        <f t="shared" si="15"/>
        <v>0</v>
      </c>
      <c r="R167" s="17">
        <v>1070</v>
      </c>
    </row>
    <row r="168" spans="1:18" ht="16.5" x14ac:dyDescent="0.25">
      <c r="A168" s="12">
        <v>1073</v>
      </c>
      <c r="B168" s="13" t="s">
        <v>173</v>
      </c>
      <c r="C168" s="13" t="s">
        <v>25</v>
      </c>
      <c r="D168" s="19"/>
      <c r="E168" s="15">
        <v>6400</v>
      </c>
      <c r="F168" s="15">
        <v>300</v>
      </c>
      <c r="G168" s="15">
        <v>400</v>
      </c>
      <c r="H168" s="15">
        <f t="shared" si="16"/>
        <v>7100</v>
      </c>
      <c r="I168" s="15">
        <f t="shared" si="17"/>
        <v>0</v>
      </c>
      <c r="J168" s="20"/>
      <c r="K168" s="15"/>
      <c r="L168" s="15">
        <f t="shared" si="12"/>
        <v>0</v>
      </c>
      <c r="M168" s="16"/>
      <c r="N168" s="16"/>
      <c r="O168" s="15">
        <f t="shared" si="13"/>
        <v>0</v>
      </c>
      <c r="P168" s="15">
        <f t="shared" si="14"/>
        <v>0</v>
      </c>
      <c r="Q168" s="15">
        <f t="shared" si="15"/>
        <v>0</v>
      </c>
      <c r="R168" s="17">
        <v>1073</v>
      </c>
    </row>
    <row r="169" spans="1:18" ht="16.5" x14ac:dyDescent="0.25">
      <c r="A169" s="12">
        <v>1084</v>
      </c>
      <c r="B169" s="13" t="s">
        <v>174</v>
      </c>
      <c r="C169" s="13" t="s">
        <v>16</v>
      </c>
      <c r="D169" s="14">
        <v>180</v>
      </c>
      <c r="E169" s="15">
        <v>6400</v>
      </c>
      <c r="F169" s="15">
        <v>500</v>
      </c>
      <c r="G169" s="15">
        <v>400</v>
      </c>
      <c r="H169" s="15">
        <f t="shared" si="16"/>
        <v>7300</v>
      </c>
      <c r="I169" s="15">
        <f t="shared" si="17"/>
        <v>1314000</v>
      </c>
      <c r="J169" s="16"/>
      <c r="K169" s="15">
        <v>800000</v>
      </c>
      <c r="L169" s="15">
        <f t="shared" si="12"/>
        <v>3600</v>
      </c>
      <c r="M169" s="16"/>
      <c r="N169" s="16"/>
      <c r="O169" s="15">
        <f t="shared" si="13"/>
        <v>45000</v>
      </c>
      <c r="P169" s="15">
        <f t="shared" si="14"/>
        <v>848600</v>
      </c>
      <c r="Q169" s="15">
        <f t="shared" si="15"/>
        <v>465400</v>
      </c>
      <c r="R169" s="17">
        <v>1084</v>
      </c>
    </row>
    <row r="170" spans="1:18" ht="16.5" x14ac:dyDescent="0.25">
      <c r="A170" s="12">
        <v>1092</v>
      </c>
      <c r="B170" s="13" t="s">
        <v>175</v>
      </c>
      <c r="C170" s="13" t="s">
        <v>54</v>
      </c>
      <c r="D170" s="14">
        <v>55</v>
      </c>
      <c r="E170" s="15">
        <v>6400</v>
      </c>
      <c r="F170" s="15">
        <v>500</v>
      </c>
      <c r="G170" s="15">
        <v>400</v>
      </c>
      <c r="H170" s="15">
        <f t="shared" si="16"/>
        <v>7300</v>
      </c>
      <c r="I170" s="15">
        <f t="shared" si="17"/>
        <v>401500</v>
      </c>
      <c r="J170" s="16"/>
      <c r="K170" s="15">
        <v>400000</v>
      </c>
      <c r="L170" s="15">
        <f t="shared" si="12"/>
        <v>1100</v>
      </c>
      <c r="M170" s="16"/>
      <c r="N170" s="16"/>
      <c r="O170" s="15">
        <f t="shared" si="13"/>
        <v>13750</v>
      </c>
      <c r="P170" s="15">
        <f t="shared" si="14"/>
        <v>414850</v>
      </c>
      <c r="Q170" s="15">
        <f t="shared" si="15"/>
        <v>-13350</v>
      </c>
      <c r="R170" s="17">
        <v>1092</v>
      </c>
    </row>
    <row r="171" spans="1:18" ht="16.5" x14ac:dyDescent="0.25">
      <c r="A171" s="12">
        <v>1103</v>
      </c>
      <c r="B171" s="13" t="s">
        <v>176</v>
      </c>
      <c r="C171" s="13" t="s">
        <v>36</v>
      </c>
      <c r="D171" s="14"/>
      <c r="E171" s="15">
        <v>6400</v>
      </c>
      <c r="F171" s="15">
        <v>400</v>
      </c>
      <c r="G171" s="15">
        <v>400</v>
      </c>
      <c r="H171" s="15">
        <f t="shared" si="16"/>
        <v>7200</v>
      </c>
      <c r="I171" s="15">
        <f t="shared" si="17"/>
        <v>0</v>
      </c>
      <c r="J171" s="16"/>
      <c r="K171" s="15"/>
      <c r="L171" s="15">
        <f t="shared" si="12"/>
        <v>0</v>
      </c>
      <c r="M171" s="20"/>
      <c r="N171" s="20"/>
      <c r="O171" s="15">
        <f t="shared" si="13"/>
        <v>0</v>
      </c>
      <c r="P171" s="15">
        <f t="shared" si="14"/>
        <v>0</v>
      </c>
      <c r="Q171" s="15">
        <f t="shared" si="15"/>
        <v>0</v>
      </c>
      <c r="R171" s="17">
        <v>1103</v>
      </c>
    </row>
    <row r="172" spans="1:18" ht="16.5" x14ac:dyDescent="0.25">
      <c r="A172" s="12">
        <v>1107</v>
      </c>
      <c r="B172" s="13" t="s">
        <v>177</v>
      </c>
      <c r="C172" s="13" t="s">
        <v>36</v>
      </c>
      <c r="D172" s="19"/>
      <c r="E172" s="15">
        <v>6400</v>
      </c>
      <c r="F172" s="15">
        <v>300</v>
      </c>
      <c r="G172" s="15">
        <v>400</v>
      </c>
      <c r="H172" s="15">
        <f t="shared" si="16"/>
        <v>7100</v>
      </c>
      <c r="I172" s="15">
        <f t="shared" si="17"/>
        <v>0</v>
      </c>
      <c r="J172" s="20"/>
      <c r="K172" s="15"/>
      <c r="L172" s="15">
        <f t="shared" si="12"/>
        <v>0</v>
      </c>
      <c r="M172" s="20"/>
      <c r="N172" s="20"/>
      <c r="O172" s="15">
        <f t="shared" si="13"/>
        <v>0</v>
      </c>
      <c r="P172" s="15">
        <f t="shared" si="14"/>
        <v>0</v>
      </c>
      <c r="Q172" s="15">
        <f t="shared" si="15"/>
        <v>0</v>
      </c>
      <c r="R172" s="17">
        <v>1107</v>
      </c>
    </row>
    <row r="173" spans="1:18" ht="16.5" x14ac:dyDescent="0.25">
      <c r="A173" s="12">
        <v>1112</v>
      </c>
      <c r="B173" s="13" t="s">
        <v>178</v>
      </c>
      <c r="C173" s="13" t="s">
        <v>16</v>
      </c>
      <c r="D173" s="19"/>
      <c r="E173" s="15">
        <v>6400</v>
      </c>
      <c r="F173" s="15">
        <v>300</v>
      </c>
      <c r="G173" s="15">
        <v>400</v>
      </c>
      <c r="H173" s="15">
        <f t="shared" si="16"/>
        <v>7100</v>
      </c>
      <c r="I173" s="15">
        <f t="shared" si="17"/>
        <v>0</v>
      </c>
      <c r="J173" s="20"/>
      <c r="K173" s="15"/>
      <c r="L173" s="15">
        <f t="shared" si="12"/>
        <v>0</v>
      </c>
      <c r="M173" s="20"/>
      <c r="N173" s="20"/>
      <c r="O173" s="15">
        <f t="shared" si="13"/>
        <v>0</v>
      </c>
      <c r="P173" s="15">
        <f t="shared" si="14"/>
        <v>0</v>
      </c>
      <c r="Q173" s="15">
        <f t="shared" si="15"/>
        <v>0</v>
      </c>
      <c r="R173" s="17">
        <v>1112</v>
      </c>
    </row>
    <row r="174" spans="1:18" ht="16.5" x14ac:dyDescent="0.25">
      <c r="A174" s="12">
        <v>1113</v>
      </c>
      <c r="B174" s="13" t="s">
        <v>179</v>
      </c>
      <c r="C174" s="13" t="s">
        <v>25</v>
      </c>
      <c r="D174" s="19"/>
      <c r="E174" s="15">
        <v>6400</v>
      </c>
      <c r="F174" s="15">
        <v>300</v>
      </c>
      <c r="G174" s="15">
        <v>400</v>
      </c>
      <c r="H174" s="15">
        <f t="shared" si="16"/>
        <v>7100</v>
      </c>
      <c r="I174" s="15">
        <f t="shared" si="17"/>
        <v>0</v>
      </c>
      <c r="J174" s="20"/>
      <c r="K174" s="15"/>
      <c r="L174" s="15">
        <f t="shared" si="12"/>
        <v>0</v>
      </c>
      <c r="M174" s="16"/>
      <c r="N174" s="16"/>
      <c r="O174" s="15">
        <f t="shared" si="13"/>
        <v>0</v>
      </c>
      <c r="P174" s="15">
        <f t="shared" si="14"/>
        <v>0</v>
      </c>
      <c r="Q174" s="15">
        <f t="shared" si="15"/>
        <v>0</v>
      </c>
      <c r="R174" s="17">
        <v>1113</v>
      </c>
    </row>
    <row r="175" spans="1:18" ht="16.5" x14ac:dyDescent="0.25">
      <c r="A175" s="12">
        <v>1114</v>
      </c>
      <c r="B175" s="13" t="s">
        <v>180</v>
      </c>
      <c r="C175" s="13" t="s">
        <v>25</v>
      </c>
      <c r="D175" s="14">
        <v>237</v>
      </c>
      <c r="E175" s="15">
        <v>6400</v>
      </c>
      <c r="F175" s="15">
        <v>400</v>
      </c>
      <c r="G175" s="15">
        <v>400</v>
      </c>
      <c r="H175" s="15">
        <f t="shared" si="16"/>
        <v>7200</v>
      </c>
      <c r="I175" s="15">
        <f t="shared" si="17"/>
        <v>1706400</v>
      </c>
      <c r="J175" s="16"/>
      <c r="K175" s="15">
        <v>200000</v>
      </c>
      <c r="L175" s="15">
        <f t="shared" si="12"/>
        <v>4740</v>
      </c>
      <c r="M175" s="16"/>
      <c r="N175" s="16"/>
      <c r="O175" s="15">
        <f t="shared" si="13"/>
        <v>59250</v>
      </c>
      <c r="P175" s="15">
        <f t="shared" si="14"/>
        <v>263990</v>
      </c>
      <c r="Q175" s="15">
        <f t="shared" si="15"/>
        <v>1442410</v>
      </c>
      <c r="R175" s="17">
        <v>1114</v>
      </c>
    </row>
    <row r="176" spans="1:18" ht="16.5" x14ac:dyDescent="0.25">
      <c r="A176" s="12">
        <v>1115</v>
      </c>
      <c r="B176" s="13" t="s">
        <v>181</v>
      </c>
      <c r="C176" s="13" t="s">
        <v>25</v>
      </c>
      <c r="D176" s="16"/>
      <c r="E176" s="15">
        <v>6400</v>
      </c>
      <c r="F176" s="15">
        <v>300</v>
      </c>
      <c r="G176" s="15">
        <v>400</v>
      </c>
      <c r="H176" s="15">
        <f t="shared" si="16"/>
        <v>7100</v>
      </c>
      <c r="I176" s="15">
        <f t="shared" si="17"/>
        <v>0</v>
      </c>
      <c r="J176" s="16"/>
      <c r="K176" s="15">
        <v>200000</v>
      </c>
      <c r="L176" s="15">
        <f t="shared" si="12"/>
        <v>0</v>
      </c>
      <c r="M176" s="16"/>
      <c r="N176" s="16"/>
      <c r="O176" s="15">
        <f t="shared" si="13"/>
        <v>0</v>
      </c>
      <c r="P176" s="15">
        <f t="shared" si="14"/>
        <v>200000</v>
      </c>
      <c r="Q176" s="15">
        <f t="shared" si="15"/>
        <v>-200000</v>
      </c>
      <c r="R176" s="17">
        <v>1115</v>
      </c>
    </row>
    <row r="177" spans="1:18" ht="16.5" x14ac:dyDescent="0.25">
      <c r="A177" s="12">
        <v>1119</v>
      </c>
      <c r="B177" s="13" t="s">
        <v>182</v>
      </c>
      <c r="C177" s="13" t="s">
        <v>19</v>
      </c>
      <c r="D177" s="14"/>
      <c r="E177" s="15">
        <v>6400</v>
      </c>
      <c r="F177" s="15">
        <v>300</v>
      </c>
      <c r="G177" s="15">
        <v>400</v>
      </c>
      <c r="H177" s="15">
        <f t="shared" si="16"/>
        <v>7100</v>
      </c>
      <c r="I177" s="15">
        <f t="shared" si="17"/>
        <v>0</v>
      </c>
      <c r="J177" s="16"/>
      <c r="K177" s="15"/>
      <c r="L177" s="15">
        <f t="shared" si="12"/>
        <v>0</v>
      </c>
      <c r="M177" s="16"/>
      <c r="N177" s="16"/>
      <c r="O177" s="15">
        <f t="shared" si="13"/>
        <v>0</v>
      </c>
      <c r="P177" s="15">
        <f t="shared" si="14"/>
        <v>0</v>
      </c>
      <c r="Q177" s="15">
        <f t="shared" si="15"/>
        <v>0</v>
      </c>
      <c r="R177" s="17">
        <v>1119</v>
      </c>
    </row>
    <row r="178" spans="1:18" ht="16.5" x14ac:dyDescent="0.25">
      <c r="A178" s="12">
        <v>1122</v>
      </c>
      <c r="B178" s="13" t="s">
        <v>183</v>
      </c>
      <c r="C178" s="13" t="s">
        <v>184</v>
      </c>
      <c r="D178" s="14"/>
      <c r="E178" s="15">
        <v>6400</v>
      </c>
      <c r="F178" s="15">
        <v>300</v>
      </c>
      <c r="G178" s="15">
        <v>400</v>
      </c>
      <c r="H178" s="15">
        <f t="shared" si="16"/>
        <v>7100</v>
      </c>
      <c r="I178" s="15">
        <f t="shared" si="17"/>
        <v>0</v>
      </c>
      <c r="J178" s="16"/>
      <c r="K178" s="15"/>
      <c r="L178" s="15">
        <f t="shared" si="12"/>
        <v>0</v>
      </c>
      <c r="M178" s="16"/>
      <c r="N178" s="16"/>
      <c r="O178" s="15">
        <f t="shared" si="13"/>
        <v>0</v>
      </c>
      <c r="P178" s="15">
        <f t="shared" si="14"/>
        <v>0</v>
      </c>
      <c r="Q178" s="15">
        <f t="shared" si="15"/>
        <v>0</v>
      </c>
      <c r="R178" s="17">
        <v>1122</v>
      </c>
    </row>
    <row r="179" spans="1:18" ht="16.5" x14ac:dyDescent="0.25">
      <c r="A179" s="12">
        <v>1129</v>
      </c>
      <c r="B179" s="13" t="s">
        <v>185</v>
      </c>
      <c r="C179" s="13" t="s">
        <v>186</v>
      </c>
      <c r="D179" s="14"/>
      <c r="E179" s="15">
        <v>6400</v>
      </c>
      <c r="F179" s="15">
        <v>300</v>
      </c>
      <c r="G179" s="15">
        <v>400</v>
      </c>
      <c r="H179" s="15">
        <f t="shared" si="16"/>
        <v>7100</v>
      </c>
      <c r="I179" s="15">
        <f t="shared" si="17"/>
        <v>0</v>
      </c>
      <c r="J179" s="16"/>
      <c r="K179" s="15"/>
      <c r="L179" s="15">
        <f t="shared" si="12"/>
        <v>0</v>
      </c>
      <c r="M179" s="16"/>
      <c r="N179" s="16"/>
      <c r="O179" s="15">
        <f t="shared" si="13"/>
        <v>0</v>
      </c>
      <c r="P179" s="15">
        <f t="shared" si="14"/>
        <v>0</v>
      </c>
      <c r="Q179" s="15">
        <f t="shared" si="15"/>
        <v>0</v>
      </c>
      <c r="R179" s="17">
        <v>1129</v>
      </c>
    </row>
    <row r="180" spans="1:18" ht="16.5" x14ac:dyDescent="0.25">
      <c r="A180" s="12">
        <v>1133</v>
      </c>
      <c r="B180" s="13" t="s">
        <v>187</v>
      </c>
      <c r="C180" s="13" t="s">
        <v>188</v>
      </c>
      <c r="D180" s="14">
        <v>49</v>
      </c>
      <c r="E180" s="15">
        <v>6400</v>
      </c>
      <c r="F180" s="15">
        <v>400</v>
      </c>
      <c r="G180" s="15">
        <v>400</v>
      </c>
      <c r="H180" s="15">
        <f t="shared" si="16"/>
        <v>7200</v>
      </c>
      <c r="I180" s="15">
        <f t="shared" si="17"/>
        <v>352800</v>
      </c>
      <c r="J180" s="16"/>
      <c r="K180" s="15">
        <v>400000</v>
      </c>
      <c r="L180" s="15">
        <f t="shared" si="12"/>
        <v>980</v>
      </c>
      <c r="M180" s="20"/>
      <c r="N180" s="20"/>
      <c r="O180" s="15">
        <f t="shared" si="13"/>
        <v>12250</v>
      </c>
      <c r="P180" s="15">
        <f t="shared" si="14"/>
        <v>413230</v>
      </c>
      <c r="Q180" s="15">
        <f t="shared" si="15"/>
        <v>-60430</v>
      </c>
      <c r="R180" s="17">
        <v>1133</v>
      </c>
    </row>
    <row r="181" spans="1:18" ht="16.5" x14ac:dyDescent="0.25">
      <c r="A181" s="12">
        <v>1135</v>
      </c>
      <c r="B181" s="13" t="s">
        <v>59</v>
      </c>
      <c r="C181" s="13" t="s">
        <v>54</v>
      </c>
      <c r="D181" s="19"/>
      <c r="E181" s="15">
        <v>6400</v>
      </c>
      <c r="F181" s="15">
        <v>300</v>
      </c>
      <c r="G181" s="15">
        <v>400</v>
      </c>
      <c r="H181" s="15">
        <f t="shared" si="16"/>
        <v>7100</v>
      </c>
      <c r="I181" s="15">
        <f t="shared" si="17"/>
        <v>0</v>
      </c>
      <c r="J181" s="20"/>
      <c r="K181" s="15"/>
      <c r="L181" s="15">
        <f t="shared" si="12"/>
        <v>0</v>
      </c>
      <c r="M181" s="16"/>
      <c r="N181" s="16"/>
      <c r="O181" s="15">
        <f t="shared" si="13"/>
        <v>0</v>
      </c>
      <c r="P181" s="15">
        <f t="shared" si="14"/>
        <v>0</v>
      </c>
      <c r="Q181" s="15">
        <f t="shared" si="15"/>
        <v>0</v>
      </c>
      <c r="R181" s="17">
        <v>1135</v>
      </c>
    </row>
    <row r="182" spans="1:18" ht="16.5" x14ac:dyDescent="0.25">
      <c r="A182" s="12">
        <v>1140</v>
      </c>
      <c r="B182" s="13" t="s">
        <v>189</v>
      </c>
      <c r="C182" s="13" t="s">
        <v>138</v>
      </c>
      <c r="D182" s="14">
        <v>101</v>
      </c>
      <c r="E182" s="15">
        <v>6400</v>
      </c>
      <c r="F182" s="15">
        <v>400</v>
      </c>
      <c r="G182" s="15">
        <v>400</v>
      </c>
      <c r="H182" s="15">
        <f t="shared" si="16"/>
        <v>7200</v>
      </c>
      <c r="I182" s="15">
        <f t="shared" si="17"/>
        <v>727200</v>
      </c>
      <c r="J182" s="16"/>
      <c r="K182" s="15"/>
      <c r="L182" s="15">
        <f t="shared" si="12"/>
        <v>2020</v>
      </c>
      <c r="M182" s="20"/>
      <c r="N182" s="20"/>
      <c r="O182" s="15">
        <f t="shared" si="13"/>
        <v>25250</v>
      </c>
      <c r="P182" s="15">
        <f t="shared" si="14"/>
        <v>27270</v>
      </c>
      <c r="Q182" s="15">
        <f t="shared" si="15"/>
        <v>699930</v>
      </c>
      <c r="R182" s="17">
        <v>1140</v>
      </c>
    </row>
    <row r="183" spans="1:18" ht="16.5" x14ac:dyDescent="0.25">
      <c r="A183" s="12">
        <v>1141</v>
      </c>
      <c r="B183" s="13" t="s">
        <v>88</v>
      </c>
      <c r="C183" s="13" t="s">
        <v>21</v>
      </c>
      <c r="D183" s="19"/>
      <c r="E183" s="15">
        <v>6400</v>
      </c>
      <c r="F183" s="15">
        <v>300</v>
      </c>
      <c r="G183" s="15">
        <v>400</v>
      </c>
      <c r="H183" s="15">
        <f t="shared" si="16"/>
        <v>7100</v>
      </c>
      <c r="I183" s="15">
        <f t="shared" si="17"/>
        <v>0</v>
      </c>
      <c r="J183" s="20"/>
      <c r="K183" s="15"/>
      <c r="L183" s="15">
        <f t="shared" si="12"/>
        <v>0</v>
      </c>
      <c r="M183" s="16"/>
      <c r="N183" s="16"/>
      <c r="O183" s="15">
        <f t="shared" si="13"/>
        <v>0</v>
      </c>
      <c r="P183" s="15">
        <f t="shared" si="14"/>
        <v>0</v>
      </c>
      <c r="Q183" s="15">
        <f t="shared" si="15"/>
        <v>0</v>
      </c>
      <c r="R183" s="17">
        <v>1141</v>
      </c>
    </row>
    <row r="184" spans="1:18" ht="16.5" x14ac:dyDescent="0.25">
      <c r="A184" s="12">
        <v>1151</v>
      </c>
      <c r="B184" s="13" t="s">
        <v>190</v>
      </c>
      <c r="C184" s="13" t="s">
        <v>30</v>
      </c>
      <c r="D184" s="14"/>
      <c r="E184" s="15">
        <v>6400</v>
      </c>
      <c r="F184" s="15">
        <v>400</v>
      </c>
      <c r="G184" s="15">
        <v>400</v>
      </c>
      <c r="H184" s="15">
        <f t="shared" si="16"/>
        <v>7200</v>
      </c>
      <c r="I184" s="15">
        <f t="shared" si="17"/>
        <v>0</v>
      </c>
      <c r="J184" s="16"/>
      <c r="K184" s="15"/>
      <c r="L184" s="15">
        <f t="shared" si="12"/>
        <v>0</v>
      </c>
      <c r="M184" s="16"/>
      <c r="N184" s="16"/>
      <c r="O184" s="15">
        <f t="shared" si="13"/>
        <v>0</v>
      </c>
      <c r="P184" s="15">
        <f t="shared" si="14"/>
        <v>0</v>
      </c>
      <c r="Q184" s="15">
        <f t="shared" si="15"/>
        <v>0</v>
      </c>
      <c r="R184" s="17">
        <v>1151</v>
      </c>
    </row>
    <row r="185" spans="1:18" ht="16.5" x14ac:dyDescent="0.25">
      <c r="A185" s="12">
        <v>1152</v>
      </c>
      <c r="B185" s="13" t="s">
        <v>191</v>
      </c>
      <c r="C185" s="13" t="s">
        <v>30</v>
      </c>
      <c r="D185" s="14">
        <v>224</v>
      </c>
      <c r="E185" s="15">
        <v>6400</v>
      </c>
      <c r="F185" s="15">
        <v>600</v>
      </c>
      <c r="G185" s="15">
        <v>400</v>
      </c>
      <c r="H185" s="15">
        <f t="shared" si="16"/>
        <v>7400</v>
      </c>
      <c r="I185" s="15">
        <f t="shared" si="17"/>
        <v>1657600</v>
      </c>
      <c r="J185" s="16"/>
      <c r="K185" s="15">
        <v>400000</v>
      </c>
      <c r="L185" s="15">
        <f t="shared" si="12"/>
        <v>4480</v>
      </c>
      <c r="M185" s="20"/>
      <c r="N185" s="20"/>
      <c r="O185" s="15">
        <f t="shared" si="13"/>
        <v>56000</v>
      </c>
      <c r="P185" s="15">
        <f t="shared" si="14"/>
        <v>460480</v>
      </c>
      <c r="Q185" s="15">
        <f t="shared" si="15"/>
        <v>1197120</v>
      </c>
      <c r="R185" s="17">
        <v>1152</v>
      </c>
    </row>
    <row r="186" spans="1:18" ht="16.5" x14ac:dyDescent="0.25">
      <c r="A186" s="12">
        <v>1157</v>
      </c>
      <c r="B186" s="13" t="s">
        <v>192</v>
      </c>
      <c r="C186" s="13" t="s">
        <v>21</v>
      </c>
      <c r="D186" s="19"/>
      <c r="E186" s="15">
        <v>6400</v>
      </c>
      <c r="F186" s="15">
        <v>300</v>
      </c>
      <c r="G186" s="15">
        <v>400</v>
      </c>
      <c r="H186" s="15">
        <f t="shared" si="16"/>
        <v>7100</v>
      </c>
      <c r="I186" s="15">
        <f t="shared" si="17"/>
        <v>0</v>
      </c>
      <c r="J186" s="20"/>
      <c r="K186" s="15"/>
      <c r="L186" s="15">
        <f t="shared" si="12"/>
        <v>0</v>
      </c>
      <c r="M186" s="16"/>
      <c r="N186" s="16"/>
      <c r="O186" s="15">
        <f t="shared" si="13"/>
        <v>0</v>
      </c>
      <c r="P186" s="15">
        <f t="shared" si="14"/>
        <v>0</v>
      </c>
      <c r="Q186" s="15">
        <f t="shared" si="15"/>
        <v>0</v>
      </c>
      <c r="R186" s="17">
        <v>1157</v>
      </c>
    </row>
    <row r="187" spans="1:18" ht="16.5" x14ac:dyDescent="0.25">
      <c r="A187" s="12">
        <v>1159</v>
      </c>
      <c r="B187" s="13" t="s">
        <v>193</v>
      </c>
      <c r="C187" s="13" t="s">
        <v>194</v>
      </c>
      <c r="D187" s="14">
        <v>202</v>
      </c>
      <c r="E187" s="15">
        <v>6400</v>
      </c>
      <c r="F187" s="15">
        <v>500</v>
      </c>
      <c r="G187" s="15">
        <v>400</v>
      </c>
      <c r="H187" s="15">
        <f t="shared" si="16"/>
        <v>7300</v>
      </c>
      <c r="I187" s="15">
        <f t="shared" si="17"/>
        <v>1474600</v>
      </c>
      <c r="J187" s="16"/>
      <c r="K187" s="15">
        <v>400000</v>
      </c>
      <c r="L187" s="15">
        <f t="shared" si="12"/>
        <v>4040</v>
      </c>
      <c r="M187" s="20"/>
      <c r="N187" s="20"/>
      <c r="O187" s="15">
        <f t="shared" si="13"/>
        <v>50500</v>
      </c>
      <c r="P187" s="15">
        <f t="shared" si="14"/>
        <v>454540</v>
      </c>
      <c r="Q187" s="15">
        <f t="shared" si="15"/>
        <v>1020060</v>
      </c>
      <c r="R187" s="17">
        <v>1159</v>
      </c>
    </row>
    <row r="188" spans="1:18" ht="16.5" x14ac:dyDescent="0.25">
      <c r="A188" s="12">
        <v>1163</v>
      </c>
      <c r="B188" s="13" t="s">
        <v>195</v>
      </c>
      <c r="C188" s="13" t="s">
        <v>25</v>
      </c>
      <c r="D188" s="25"/>
      <c r="E188" s="15">
        <v>6400</v>
      </c>
      <c r="F188" s="15">
        <v>400</v>
      </c>
      <c r="G188" s="15">
        <v>400</v>
      </c>
      <c r="H188" s="15">
        <f t="shared" si="16"/>
        <v>7200</v>
      </c>
      <c r="I188" s="15">
        <f t="shared" si="17"/>
        <v>0</v>
      </c>
      <c r="J188" s="20"/>
      <c r="K188" s="15"/>
      <c r="L188" s="15">
        <f t="shared" si="12"/>
        <v>0</v>
      </c>
      <c r="M188" s="20"/>
      <c r="N188" s="20"/>
      <c r="O188" s="15">
        <f t="shared" si="13"/>
        <v>0</v>
      </c>
      <c r="P188" s="15">
        <f t="shared" si="14"/>
        <v>0</v>
      </c>
      <c r="Q188" s="15">
        <f t="shared" si="15"/>
        <v>0</v>
      </c>
      <c r="R188" s="17">
        <v>1163</v>
      </c>
    </row>
    <row r="189" spans="1:18" ht="16.5" x14ac:dyDescent="0.25">
      <c r="A189" s="12">
        <v>1173</v>
      </c>
      <c r="B189" s="13" t="s">
        <v>196</v>
      </c>
      <c r="C189" s="13" t="s">
        <v>19</v>
      </c>
      <c r="D189" s="26">
        <v>504</v>
      </c>
      <c r="E189" s="15">
        <v>6400</v>
      </c>
      <c r="F189" s="15">
        <v>400</v>
      </c>
      <c r="G189" s="15">
        <v>400</v>
      </c>
      <c r="H189" s="15">
        <f t="shared" si="16"/>
        <v>7200</v>
      </c>
      <c r="I189" s="15">
        <f t="shared" si="17"/>
        <v>3628800</v>
      </c>
      <c r="J189" s="20"/>
      <c r="K189" s="15"/>
      <c r="L189" s="15">
        <f t="shared" si="12"/>
        <v>10080</v>
      </c>
      <c r="M189" s="20"/>
      <c r="N189" s="20"/>
      <c r="O189" s="15">
        <f t="shared" si="13"/>
        <v>126000</v>
      </c>
      <c r="P189" s="15">
        <f t="shared" si="14"/>
        <v>136080</v>
      </c>
      <c r="Q189" s="15">
        <f t="shared" si="15"/>
        <v>3492720</v>
      </c>
      <c r="R189" s="17">
        <v>1173</v>
      </c>
    </row>
    <row r="190" spans="1:18" ht="18.75" x14ac:dyDescent="0.25">
      <c r="A190" s="12">
        <v>1175</v>
      </c>
      <c r="B190" s="13" t="s">
        <v>197</v>
      </c>
      <c r="C190" s="13" t="s">
        <v>36</v>
      </c>
      <c r="D190" s="27"/>
      <c r="E190" s="15">
        <v>6400</v>
      </c>
      <c r="F190" s="15">
        <v>300</v>
      </c>
      <c r="G190" s="15">
        <v>400</v>
      </c>
      <c r="H190" s="15">
        <f t="shared" si="16"/>
        <v>7100</v>
      </c>
      <c r="I190" s="15">
        <f t="shared" si="17"/>
        <v>0</v>
      </c>
      <c r="J190" s="20"/>
      <c r="K190" s="15"/>
      <c r="L190" s="15">
        <f t="shared" si="12"/>
        <v>0</v>
      </c>
      <c r="M190" s="20"/>
      <c r="N190" s="20"/>
      <c r="O190" s="15">
        <f t="shared" si="13"/>
        <v>0</v>
      </c>
      <c r="P190" s="15">
        <f t="shared" si="14"/>
        <v>0</v>
      </c>
      <c r="Q190" s="15">
        <f t="shared" si="15"/>
        <v>0</v>
      </c>
      <c r="R190" s="17">
        <v>1175</v>
      </c>
    </row>
    <row r="191" spans="1:18" ht="16.5" x14ac:dyDescent="0.25">
      <c r="A191" s="12">
        <v>1176</v>
      </c>
      <c r="B191" s="13" t="s">
        <v>198</v>
      </c>
      <c r="C191" s="13" t="s">
        <v>47</v>
      </c>
      <c r="D191" s="19"/>
      <c r="E191" s="15">
        <v>6400</v>
      </c>
      <c r="F191" s="15">
        <v>300</v>
      </c>
      <c r="G191" s="15">
        <v>400</v>
      </c>
      <c r="H191" s="15">
        <f t="shared" si="16"/>
        <v>7100</v>
      </c>
      <c r="I191" s="15">
        <f t="shared" si="17"/>
        <v>0</v>
      </c>
      <c r="J191" s="20"/>
      <c r="K191" s="15"/>
      <c r="L191" s="15">
        <f t="shared" si="12"/>
        <v>0</v>
      </c>
      <c r="M191" s="20"/>
      <c r="N191" s="20"/>
      <c r="O191" s="15">
        <f t="shared" si="13"/>
        <v>0</v>
      </c>
      <c r="P191" s="15">
        <f t="shared" si="14"/>
        <v>0</v>
      </c>
      <c r="Q191" s="15">
        <f t="shared" si="15"/>
        <v>0</v>
      </c>
      <c r="R191" s="17">
        <v>1176</v>
      </c>
    </row>
    <row r="192" spans="1:18" ht="16.5" x14ac:dyDescent="0.25">
      <c r="A192" s="12">
        <v>1179</v>
      </c>
      <c r="B192" s="13" t="s">
        <v>199</v>
      </c>
      <c r="C192" s="13" t="s">
        <v>25</v>
      </c>
      <c r="D192" s="20"/>
      <c r="E192" s="15">
        <v>6400</v>
      </c>
      <c r="F192" s="15">
        <v>300</v>
      </c>
      <c r="G192" s="15">
        <v>400</v>
      </c>
      <c r="H192" s="15">
        <f t="shared" si="16"/>
        <v>7100</v>
      </c>
      <c r="I192" s="15">
        <f t="shared" si="17"/>
        <v>0</v>
      </c>
      <c r="J192" s="20"/>
      <c r="K192" s="15"/>
      <c r="L192" s="15">
        <f t="shared" si="12"/>
        <v>0</v>
      </c>
      <c r="M192" s="16"/>
      <c r="N192" s="16"/>
      <c r="O192" s="15">
        <f t="shared" si="13"/>
        <v>0</v>
      </c>
      <c r="P192" s="15">
        <f t="shared" si="14"/>
        <v>0</v>
      </c>
      <c r="Q192" s="15">
        <f t="shared" si="15"/>
        <v>0</v>
      </c>
      <c r="R192" s="17">
        <v>1179</v>
      </c>
    </row>
    <row r="193" spans="1:18" ht="16.5" x14ac:dyDescent="0.25">
      <c r="A193" s="12">
        <v>1186</v>
      </c>
      <c r="B193" s="13" t="s">
        <v>200</v>
      </c>
      <c r="C193" s="13" t="s">
        <v>43</v>
      </c>
      <c r="D193" s="14">
        <v>99</v>
      </c>
      <c r="E193" s="15">
        <v>6400</v>
      </c>
      <c r="F193" s="15">
        <v>500</v>
      </c>
      <c r="G193" s="15">
        <v>400</v>
      </c>
      <c r="H193" s="15">
        <f t="shared" si="16"/>
        <v>7300</v>
      </c>
      <c r="I193" s="15">
        <f t="shared" si="17"/>
        <v>722700</v>
      </c>
      <c r="J193" s="16"/>
      <c r="K193" s="15"/>
      <c r="L193" s="15">
        <f t="shared" si="12"/>
        <v>1980</v>
      </c>
      <c r="M193" s="16"/>
      <c r="N193" s="16"/>
      <c r="O193" s="15">
        <f t="shared" si="13"/>
        <v>24750</v>
      </c>
      <c r="P193" s="15">
        <f t="shared" si="14"/>
        <v>26730</v>
      </c>
      <c r="Q193" s="15">
        <f t="shared" si="15"/>
        <v>695970</v>
      </c>
      <c r="R193" s="17">
        <v>1186</v>
      </c>
    </row>
    <row r="194" spans="1:18" ht="16.5" x14ac:dyDescent="0.25">
      <c r="A194" s="12">
        <v>1189</v>
      </c>
      <c r="B194" s="13" t="s">
        <v>201</v>
      </c>
      <c r="C194" s="13" t="s">
        <v>25</v>
      </c>
      <c r="D194" s="16"/>
      <c r="E194" s="15">
        <v>6400</v>
      </c>
      <c r="F194" s="15">
        <v>300</v>
      </c>
      <c r="G194" s="15">
        <v>400</v>
      </c>
      <c r="H194" s="15">
        <f t="shared" si="16"/>
        <v>7100</v>
      </c>
      <c r="I194" s="15">
        <f t="shared" si="17"/>
        <v>0</v>
      </c>
      <c r="J194" s="16"/>
      <c r="K194" s="15"/>
      <c r="L194" s="15">
        <f t="shared" si="12"/>
        <v>0</v>
      </c>
      <c r="M194" s="16"/>
      <c r="N194" s="16"/>
      <c r="O194" s="15">
        <f t="shared" si="13"/>
        <v>0</v>
      </c>
      <c r="P194" s="15">
        <f t="shared" si="14"/>
        <v>0</v>
      </c>
      <c r="Q194" s="15">
        <f t="shared" si="15"/>
        <v>0</v>
      </c>
      <c r="R194" s="17">
        <v>1189</v>
      </c>
    </row>
    <row r="195" spans="1:18" ht="16.5" x14ac:dyDescent="0.25">
      <c r="A195" s="12">
        <v>1190</v>
      </c>
      <c r="B195" s="13" t="s">
        <v>119</v>
      </c>
      <c r="C195" s="13" t="s">
        <v>25</v>
      </c>
      <c r="D195" s="16"/>
      <c r="E195" s="15">
        <v>6400</v>
      </c>
      <c r="F195" s="15">
        <v>400</v>
      </c>
      <c r="G195" s="15">
        <v>400</v>
      </c>
      <c r="H195" s="15">
        <f t="shared" si="16"/>
        <v>7200</v>
      </c>
      <c r="I195" s="15">
        <f t="shared" si="17"/>
        <v>0</v>
      </c>
      <c r="J195" s="16"/>
      <c r="K195" s="15"/>
      <c r="L195" s="15">
        <f t="shared" si="12"/>
        <v>0</v>
      </c>
      <c r="M195" s="16"/>
      <c r="N195" s="16"/>
      <c r="O195" s="15">
        <f t="shared" si="13"/>
        <v>0</v>
      </c>
      <c r="P195" s="15">
        <f t="shared" si="14"/>
        <v>0</v>
      </c>
      <c r="Q195" s="15">
        <f t="shared" si="15"/>
        <v>0</v>
      </c>
      <c r="R195" s="17">
        <v>1190</v>
      </c>
    </row>
    <row r="196" spans="1:18" ht="16.5" x14ac:dyDescent="0.25">
      <c r="A196" s="12">
        <v>1191</v>
      </c>
      <c r="B196" s="13" t="s">
        <v>202</v>
      </c>
      <c r="C196" s="13" t="s">
        <v>36</v>
      </c>
      <c r="D196" s="14"/>
      <c r="E196" s="15">
        <v>6400</v>
      </c>
      <c r="F196" s="15">
        <v>300</v>
      </c>
      <c r="G196" s="15">
        <v>400</v>
      </c>
      <c r="H196" s="15">
        <f t="shared" si="16"/>
        <v>7100</v>
      </c>
      <c r="I196" s="15">
        <f t="shared" si="17"/>
        <v>0</v>
      </c>
      <c r="J196" s="16"/>
      <c r="K196" s="15"/>
      <c r="L196" s="15">
        <f t="shared" si="12"/>
        <v>0</v>
      </c>
      <c r="M196" s="20"/>
      <c r="N196" s="20"/>
      <c r="O196" s="15">
        <f t="shared" si="13"/>
        <v>0</v>
      </c>
      <c r="P196" s="15">
        <f t="shared" si="14"/>
        <v>0</v>
      </c>
      <c r="Q196" s="15">
        <f t="shared" si="15"/>
        <v>0</v>
      </c>
      <c r="R196" s="17">
        <v>1191</v>
      </c>
    </row>
    <row r="197" spans="1:18" ht="16.5" x14ac:dyDescent="0.25">
      <c r="A197" s="12">
        <v>1195</v>
      </c>
      <c r="B197" s="13" t="s">
        <v>203</v>
      </c>
      <c r="C197" s="13" t="s">
        <v>43</v>
      </c>
      <c r="D197" s="19"/>
      <c r="E197" s="15">
        <v>6400</v>
      </c>
      <c r="F197" s="15">
        <v>300</v>
      </c>
      <c r="G197" s="15">
        <v>400</v>
      </c>
      <c r="H197" s="15">
        <f t="shared" si="16"/>
        <v>7100</v>
      </c>
      <c r="I197" s="15">
        <f t="shared" si="17"/>
        <v>0</v>
      </c>
      <c r="J197" s="20"/>
      <c r="K197" s="15"/>
      <c r="L197" s="15">
        <f t="shared" ref="L197:L260" si="18">D197*20</f>
        <v>0</v>
      </c>
      <c r="M197" s="16"/>
      <c r="N197" s="16"/>
      <c r="O197" s="15">
        <f t="shared" ref="O197:O260" si="19">250*D197</f>
        <v>0</v>
      </c>
      <c r="P197" s="15">
        <f t="shared" ref="P197:P260" si="20">SUM(J197:O197)</f>
        <v>0</v>
      </c>
      <c r="Q197" s="15">
        <f t="shared" ref="Q197:Q260" si="21">I197-P197</f>
        <v>0</v>
      </c>
      <c r="R197" s="17">
        <v>1195</v>
      </c>
    </row>
    <row r="198" spans="1:18" ht="16.5" x14ac:dyDescent="0.25">
      <c r="A198" s="12">
        <v>1197</v>
      </c>
      <c r="B198" s="13" t="s">
        <v>204</v>
      </c>
      <c r="C198" s="13" t="s">
        <v>25</v>
      </c>
      <c r="D198" s="16"/>
      <c r="E198" s="15">
        <v>6400</v>
      </c>
      <c r="F198" s="15">
        <v>400</v>
      </c>
      <c r="G198" s="15">
        <v>400</v>
      </c>
      <c r="H198" s="15">
        <f t="shared" ref="H198:H261" si="22">SUM(E198:G198)</f>
        <v>7200</v>
      </c>
      <c r="I198" s="15">
        <f t="shared" ref="I198:I261" si="23">H198*D198</f>
        <v>0</v>
      </c>
      <c r="J198" s="16"/>
      <c r="K198" s="15"/>
      <c r="L198" s="15">
        <f t="shared" si="18"/>
        <v>0</v>
      </c>
      <c r="M198" s="16"/>
      <c r="N198" s="16"/>
      <c r="O198" s="15">
        <f t="shared" si="19"/>
        <v>0</v>
      </c>
      <c r="P198" s="15">
        <f t="shared" si="20"/>
        <v>0</v>
      </c>
      <c r="Q198" s="15">
        <f t="shared" si="21"/>
        <v>0</v>
      </c>
      <c r="R198" s="17">
        <v>1197</v>
      </c>
    </row>
    <row r="199" spans="1:18" ht="16.5" x14ac:dyDescent="0.25">
      <c r="A199" s="12">
        <v>1208</v>
      </c>
      <c r="B199" s="13" t="s">
        <v>405</v>
      </c>
      <c r="C199" s="13" t="s">
        <v>54</v>
      </c>
      <c r="D199" s="16"/>
      <c r="E199" s="15">
        <v>6400</v>
      </c>
      <c r="F199" s="15">
        <v>300</v>
      </c>
      <c r="G199" s="15">
        <v>400</v>
      </c>
      <c r="H199" s="15">
        <f t="shared" si="22"/>
        <v>7100</v>
      </c>
      <c r="I199" s="15">
        <f t="shared" si="23"/>
        <v>0</v>
      </c>
      <c r="J199" s="16"/>
      <c r="K199" s="15"/>
      <c r="L199" s="15">
        <f t="shared" si="18"/>
        <v>0</v>
      </c>
      <c r="M199" s="16"/>
      <c r="N199" s="16"/>
      <c r="O199" s="15">
        <f t="shared" si="19"/>
        <v>0</v>
      </c>
      <c r="P199" s="15">
        <f t="shared" si="20"/>
        <v>0</v>
      </c>
      <c r="Q199" s="15">
        <f t="shared" si="21"/>
        <v>0</v>
      </c>
      <c r="R199" s="17">
        <v>1208</v>
      </c>
    </row>
    <row r="200" spans="1:18" ht="16.5" x14ac:dyDescent="0.25">
      <c r="A200" s="12">
        <v>1213</v>
      </c>
      <c r="B200" s="13" t="s">
        <v>205</v>
      </c>
      <c r="C200" s="13" t="s">
        <v>43</v>
      </c>
      <c r="D200" s="14">
        <v>12</v>
      </c>
      <c r="E200" s="15">
        <v>6400</v>
      </c>
      <c r="F200" s="15">
        <v>400</v>
      </c>
      <c r="G200" s="15">
        <v>400</v>
      </c>
      <c r="H200" s="15">
        <f t="shared" si="22"/>
        <v>7200</v>
      </c>
      <c r="I200" s="15">
        <f t="shared" si="23"/>
        <v>86400</v>
      </c>
      <c r="J200" s="16"/>
      <c r="K200" s="15"/>
      <c r="L200" s="15">
        <f t="shared" si="18"/>
        <v>240</v>
      </c>
      <c r="M200" s="16"/>
      <c r="N200" s="16"/>
      <c r="O200" s="15">
        <f t="shared" si="19"/>
        <v>3000</v>
      </c>
      <c r="P200" s="15">
        <f t="shared" si="20"/>
        <v>3240</v>
      </c>
      <c r="Q200" s="15">
        <f t="shared" si="21"/>
        <v>83160</v>
      </c>
      <c r="R200" s="17">
        <v>1213</v>
      </c>
    </row>
    <row r="201" spans="1:18" ht="16.5" x14ac:dyDescent="0.25">
      <c r="A201" s="12">
        <v>1217</v>
      </c>
      <c r="B201" s="13" t="s">
        <v>206</v>
      </c>
      <c r="C201" s="13" t="s">
        <v>19</v>
      </c>
      <c r="D201" s="14"/>
      <c r="E201" s="15">
        <v>6400</v>
      </c>
      <c r="F201" s="15">
        <v>300</v>
      </c>
      <c r="G201" s="15">
        <v>400</v>
      </c>
      <c r="H201" s="15">
        <f t="shared" si="22"/>
        <v>7100</v>
      </c>
      <c r="I201" s="15">
        <f t="shared" si="23"/>
        <v>0</v>
      </c>
      <c r="J201" s="16"/>
      <c r="K201" s="15"/>
      <c r="L201" s="15">
        <f t="shared" si="18"/>
        <v>0</v>
      </c>
      <c r="M201" s="16"/>
      <c r="N201" s="16"/>
      <c r="O201" s="15">
        <f t="shared" si="19"/>
        <v>0</v>
      </c>
      <c r="P201" s="15">
        <f t="shared" si="20"/>
        <v>0</v>
      </c>
      <c r="Q201" s="15">
        <f t="shared" si="21"/>
        <v>0</v>
      </c>
      <c r="R201" s="17">
        <v>1217</v>
      </c>
    </row>
    <row r="202" spans="1:18" ht="16.5" x14ac:dyDescent="0.25">
      <c r="A202" s="12">
        <v>1223</v>
      </c>
      <c r="B202" s="13" t="s">
        <v>70</v>
      </c>
      <c r="C202" s="13" t="s">
        <v>16</v>
      </c>
      <c r="D202" s="14"/>
      <c r="E202" s="15">
        <v>6400</v>
      </c>
      <c r="F202" s="15">
        <v>400</v>
      </c>
      <c r="G202" s="15">
        <v>400</v>
      </c>
      <c r="H202" s="15">
        <f t="shared" si="22"/>
        <v>7200</v>
      </c>
      <c r="I202" s="15">
        <f t="shared" si="23"/>
        <v>0</v>
      </c>
      <c r="J202" s="16"/>
      <c r="K202" s="15">
        <v>156000</v>
      </c>
      <c r="L202" s="15">
        <f t="shared" si="18"/>
        <v>0</v>
      </c>
      <c r="M202" s="16"/>
      <c r="N202" s="16"/>
      <c r="O202" s="15">
        <f t="shared" si="19"/>
        <v>0</v>
      </c>
      <c r="P202" s="15">
        <f t="shared" si="20"/>
        <v>156000</v>
      </c>
      <c r="Q202" s="15">
        <f t="shared" si="21"/>
        <v>-156000</v>
      </c>
      <c r="R202" s="17">
        <v>1223</v>
      </c>
    </row>
    <row r="203" spans="1:18" ht="16.5" x14ac:dyDescent="0.25">
      <c r="A203" s="12">
        <v>1225</v>
      </c>
      <c r="B203" s="13" t="s">
        <v>207</v>
      </c>
      <c r="C203" s="13" t="s">
        <v>25</v>
      </c>
      <c r="D203" s="16">
        <v>57</v>
      </c>
      <c r="E203" s="15">
        <v>6400</v>
      </c>
      <c r="F203" s="15">
        <v>400</v>
      </c>
      <c r="G203" s="15">
        <v>400</v>
      </c>
      <c r="H203" s="15">
        <f t="shared" si="22"/>
        <v>7200</v>
      </c>
      <c r="I203" s="15">
        <f t="shared" si="23"/>
        <v>410400</v>
      </c>
      <c r="J203" s="16"/>
      <c r="K203" s="15">
        <v>400000</v>
      </c>
      <c r="L203" s="15">
        <f t="shared" si="18"/>
        <v>1140</v>
      </c>
      <c r="M203" s="20"/>
      <c r="N203" s="20"/>
      <c r="O203" s="15">
        <f t="shared" si="19"/>
        <v>14250</v>
      </c>
      <c r="P203" s="15">
        <f t="shared" si="20"/>
        <v>415390</v>
      </c>
      <c r="Q203" s="15">
        <f t="shared" si="21"/>
        <v>-4990</v>
      </c>
      <c r="R203" s="17">
        <v>1225</v>
      </c>
    </row>
    <row r="204" spans="1:18" ht="16.5" x14ac:dyDescent="0.25">
      <c r="A204" s="12">
        <v>1229</v>
      </c>
      <c r="B204" s="13" t="s">
        <v>208</v>
      </c>
      <c r="C204" s="13" t="s">
        <v>47</v>
      </c>
      <c r="D204" s="19"/>
      <c r="E204" s="15">
        <v>6400</v>
      </c>
      <c r="F204" s="15">
        <v>300</v>
      </c>
      <c r="G204" s="15">
        <v>400</v>
      </c>
      <c r="H204" s="15">
        <f t="shared" si="22"/>
        <v>7100</v>
      </c>
      <c r="I204" s="15">
        <f t="shared" si="23"/>
        <v>0</v>
      </c>
      <c r="J204" s="20"/>
      <c r="K204" s="15"/>
      <c r="L204" s="15">
        <f t="shared" si="18"/>
        <v>0</v>
      </c>
      <c r="M204" s="16"/>
      <c r="N204" s="16"/>
      <c r="O204" s="15">
        <f t="shared" si="19"/>
        <v>0</v>
      </c>
      <c r="P204" s="15">
        <f t="shared" si="20"/>
        <v>0</v>
      </c>
      <c r="Q204" s="15">
        <f t="shared" si="21"/>
        <v>0</v>
      </c>
      <c r="R204" s="17">
        <v>1229</v>
      </c>
    </row>
    <row r="205" spans="1:18" ht="16.5" x14ac:dyDescent="0.25">
      <c r="A205" s="12">
        <v>1230</v>
      </c>
      <c r="B205" s="13" t="s">
        <v>209</v>
      </c>
      <c r="C205" s="13" t="s">
        <v>54</v>
      </c>
      <c r="D205" s="14"/>
      <c r="E205" s="15">
        <v>6400</v>
      </c>
      <c r="F205" s="15">
        <v>300</v>
      </c>
      <c r="G205" s="15">
        <v>400</v>
      </c>
      <c r="H205" s="15">
        <f t="shared" si="22"/>
        <v>7100</v>
      </c>
      <c r="I205" s="15">
        <f t="shared" si="23"/>
        <v>0</v>
      </c>
      <c r="J205" s="16"/>
      <c r="K205" s="15"/>
      <c r="L205" s="15">
        <f t="shared" si="18"/>
        <v>0</v>
      </c>
      <c r="M205" s="16"/>
      <c r="N205" s="16"/>
      <c r="O205" s="15">
        <f t="shared" si="19"/>
        <v>0</v>
      </c>
      <c r="P205" s="15">
        <f t="shared" si="20"/>
        <v>0</v>
      </c>
      <c r="Q205" s="15">
        <f t="shared" si="21"/>
        <v>0</v>
      </c>
      <c r="R205" s="17">
        <v>1230</v>
      </c>
    </row>
    <row r="206" spans="1:18" ht="16.5" x14ac:dyDescent="0.25">
      <c r="A206" s="12">
        <v>1236</v>
      </c>
      <c r="B206" s="13" t="s">
        <v>210</v>
      </c>
      <c r="C206" s="13" t="s">
        <v>54</v>
      </c>
      <c r="D206" s="14"/>
      <c r="E206" s="15">
        <v>6400</v>
      </c>
      <c r="F206" s="15">
        <v>500</v>
      </c>
      <c r="G206" s="15">
        <v>400</v>
      </c>
      <c r="H206" s="15">
        <f t="shared" si="22"/>
        <v>7300</v>
      </c>
      <c r="I206" s="15">
        <f t="shared" si="23"/>
        <v>0</v>
      </c>
      <c r="J206" s="16"/>
      <c r="K206" s="15"/>
      <c r="L206" s="15">
        <f t="shared" si="18"/>
        <v>0</v>
      </c>
      <c r="M206" s="16"/>
      <c r="N206" s="16"/>
      <c r="O206" s="15">
        <f t="shared" si="19"/>
        <v>0</v>
      </c>
      <c r="P206" s="15">
        <f t="shared" si="20"/>
        <v>0</v>
      </c>
      <c r="Q206" s="15">
        <f t="shared" si="21"/>
        <v>0</v>
      </c>
      <c r="R206" s="17">
        <v>1236</v>
      </c>
    </row>
    <row r="207" spans="1:18" ht="16.5" x14ac:dyDescent="0.25">
      <c r="A207" s="12">
        <v>1239</v>
      </c>
      <c r="B207" s="13" t="s">
        <v>211</v>
      </c>
      <c r="C207" s="13" t="s">
        <v>43</v>
      </c>
      <c r="D207" s="14">
        <v>20</v>
      </c>
      <c r="E207" s="15">
        <v>6400</v>
      </c>
      <c r="F207" s="15">
        <v>400</v>
      </c>
      <c r="G207" s="15">
        <v>400</v>
      </c>
      <c r="H207" s="15">
        <f t="shared" si="22"/>
        <v>7200</v>
      </c>
      <c r="I207" s="15">
        <f t="shared" si="23"/>
        <v>144000</v>
      </c>
      <c r="J207" s="16">
        <v>100000</v>
      </c>
      <c r="K207" s="15"/>
      <c r="L207" s="15">
        <f t="shared" si="18"/>
        <v>400</v>
      </c>
      <c r="M207" s="16"/>
      <c r="N207" s="16"/>
      <c r="O207" s="15">
        <f t="shared" si="19"/>
        <v>5000</v>
      </c>
      <c r="P207" s="15">
        <f t="shared" si="20"/>
        <v>105400</v>
      </c>
      <c r="Q207" s="15">
        <f t="shared" si="21"/>
        <v>38600</v>
      </c>
      <c r="R207" s="17">
        <v>1239</v>
      </c>
    </row>
    <row r="208" spans="1:18" ht="16.5" x14ac:dyDescent="0.25">
      <c r="A208" s="12">
        <v>1240</v>
      </c>
      <c r="B208" s="13" t="s">
        <v>212</v>
      </c>
      <c r="C208" s="13" t="s">
        <v>47</v>
      </c>
      <c r="D208" s="14"/>
      <c r="E208" s="15">
        <v>6400</v>
      </c>
      <c r="F208" s="15">
        <v>300</v>
      </c>
      <c r="G208" s="15">
        <v>400</v>
      </c>
      <c r="H208" s="15">
        <f t="shared" si="22"/>
        <v>7100</v>
      </c>
      <c r="I208" s="15">
        <f t="shared" si="23"/>
        <v>0</v>
      </c>
      <c r="J208" s="16"/>
      <c r="K208" s="15"/>
      <c r="L208" s="15">
        <f t="shared" si="18"/>
        <v>0</v>
      </c>
      <c r="M208" s="16"/>
      <c r="N208" s="16"/>
      <c r="O208" s="15">
        <f t="shared" si="19"/>
        <v>0</v>
      </c>
      <c r="P208" s="15">
        <f t="shared" si="20"/>
        <v>0</v>
      </c>
      <c r="Q208" s="15">
        <f t="shared" si="21"/>
        <v>0</v>
      </c>
      <c r="R208" s="17">
        <v>1240</v>
      </c>
    </row>
    <row r="209" spans="1:18" ht="16.5" x14ac:dyDescent="0.25">
      <c r="A209" s="12">
        <v>1242</v>
      </c>
      <c r="B209" s="13" t="s">
        <v>213</v>
      </c>
      <c r="C209" s="13" t="s">
        <v>30</v>
      </c>
      <c r="D209" s="14"/>
      <c r="E209" s="15">
        <v>6400</v>
      </c>
      <c r="F209" s="15">
        <v>300</v>
      </c>
      <c r="G209" s="15">
        <v>400</v>
      </c>
      <c r="H209" s="15">
        <f t="shared" si="22"/>
        <v>7100</v>
      </c>
      <c r="I209" s="15">
        <f t="shared" si="23"/>
        <v>0</v>
      </c>
      <c r="J209" s="16"/>
      <c r="K209" s="15"/>
      <c r="L209" s="15">
        <f t="shared" si="18"/>
        <v>0</v>
      </c>
      <c r="M209" s="16"/>
      <c r="N209" s="16"/>
      <c r="O209" s="15">
        <f t="shared" si="19"/>
        <v>0</v>
      </c>
      <c r="P209" s="15">
        <f t="shared" si="20"/>
        <v>0</v>
      </c>
      <c r="Q209" s="15">
        <f t="shared" si="21"/>
        <v>0</v>
      </c>
      <c r="R209" s="17">
        <v>1242</v>
      </c>
    </row>
    <row r="210" spans="1:18" ht="16.5" x14ac:dyDescent="0.25">
      <c r="A210" s="12">
        <v>1243</v>
      </c>
      <c r="B210" s="13" t="s">
        <v>214</v>
      </c>
      <c r="C210" s="13" t="s">
        <v>30</v>
      </c>
      <c r="D210" s="14"/>
      <c r="E210" s="15">
        <v>6400</v>
      </c>
      <c r="F210" s="15">
        <v>300</v>
      </c>
      <c r="G210" s="15">
        <v>400</v>
      </c>
      <c r="H210" s="15">
        <f t="shared" si="22"/>
        <v>7100</v>
      </c>
      <c r="I210" s="15">
        <f t="shared" si="23"/>
        <v>0</v>
      </c>
      <c r="J210" s="16"/>
      <c r="K210" s="15"/>
      <c r="L210" s="15">
        <f t="shared" si="18"/>
        <v>0</v>
      </c>
      <c r="M210" s="16"/>
      <c r="N210" s="16"/>
      <c r="O210" s="15">
        <f t="shared" si="19"/>
        <v>0</v>
      </c>
      <c r="P210" s="15">
        <f t="shared" si="20"/>
        <v>0</v>
      </c>
      <c r="Q210" s="15">
        <f t="shared" si="21"/>
        <v>0</v>
      </c>
      <c r="R210" s="17">
        <v>1243</v>
      </c>
    </row>
    <row r="211" spans="1:18" ht="16.5" x14ac:dyDescent="0.25">
      <c r="A211" s="12">
        <v>1244</v>
      </c>
      <c r="B211" s="13" t="s">
        <v>215</v>
      </c>
      <c r="C211" s="13" t="s">
        <v>30</v>
      </c>
      <c r="D211" s="14">
        <v>151</v>
      </c>
      <c r="E211" s="15">
        <v>6400</v>
      </c>
      <c r="F211" s="15">
        <v>500</v>
      </c>
      <c r="G211" s="15">
        <v>400</v>
      </c>
      <c r="H211" s="15">
        <f t="shared" si="22"/>
        <v>7300</v>
      </c>
      <c r="I211" s="15">
        <f t="shared" si="23"/>
        <v>1102300</v>
      </c>
      <c r="J211" s="16"/>
      <c r="K211" s="15">
        <v>200000</v>
      </c>
      <c r="L211" s="15">
        <f t="shared" si="18"/>
        <v>3020</v>
      </c>
      <c r="M211" s="16"/>
      <c r="N211" s="16"/>
      <c r="O211" s="15">
        <f t="shared" si="19"/>
        <v>37750</v>
      </c>
      <c r="P211" s="15">
        <f t="shared" si="20"/>
        <v>240770</v>
      </c>
      <c r="Q211" s="15">
        <f t="shared" si="21"/>
        <v>861530</v>
      </c>
      <c r="R211" s="17">
        <v>1244</v>
      </c>
    </row>
    <row r="212" spans="1:18" ht="16.5" x14ac:dyDescent="0.25">
      <c r="A212" s="12">
        <v>1245</v>
      </c>
      <c r="B212" s="13" t="s">
        <v>216</v>
      </c>
      <c r="C212" s="13" t="s">
        <v>21</v>
      </c>
      <c r="D212" s="14"/>
      <c r="E212" s="15">
        <v>6400</v>
      </c>
      <c r="F212" s="15">
        <v>300</v>
      </c>
      <c r="G212" s="15">
        <v>400</v>
      </c>
      <c r="H212" s="15">
        <f t="shared" si="22"/>
        <v>7100</v>
      </c>
      <c r="I212" s="15">
        <f t="shared" si="23"/>
        <v>0</v>
      </c>
      <c r="J212" s="16"/>
      <c r="K212" s="15"/>
      <c r="L212" s="15">
        <f t="shared" si="18"/>
        <v>0</v>
      </c>
      <c r="M212" s="16"/>
      <c r="N212" s="16"/>
      <c r="O212" s="15">
        <f t="shared" si="19"/>
        <v>0</v>
      </c>
      <c r="P212" s="15">
        <f t="shared" si="20"/>
        <v>0</v>
      </c>
      <c r="Q212" s="15">
        <f t="shared" si="21"/>
        <v>0</v>
      </c>
      <c r="R212" s="17">
        <v>1245</v>
      </c>
    </row>
    <row r="213" spans="1:18" ht="16.5" x14ac:dyDescent="0.25">
      <c r="A213" s="12">
        <v>1247</v>
      </c>
      <c r="B213" s="13" t="s">
        <v>217</v>
      </c>
      <c r="C213" s="13" t="s">
        <v>138</v>
      </c>
      <c r="D213" s="14"/>
      <c r="E213" s="15">
        <v>6400</v>
      </c>
      <c r="F213" s="15">
        <v>400</v>
      </c>
      <c r="G213" s="15">
        <v>400</v>
      </c>
      <c r="H213" s="15">
        <f t="shared" si="22"/>
        <v>7200</v>
      </c>
      <c r="I213" s="15">
        <f t="shared" si="23"/>
        <v>0</v>
      </c>
      <c r="J213" s="16"/>
      <c r="K213" s="15"/>
      <c r="L213" s="15">
        <f t="shared" si="18"/>
        <v>0</v>
      </c>
      <c r="M213" s="16"/>
      <c r="N213" s="16"/>
      <c r="O213" s="15">
        <f t="shared" si="19"/>
        <v>0</v>
      </c>
      <c r="P213" s="15">
        <f t="shared" si="20"/>
        <v>0</v>
      </c>
      <c r="Q213" s="15">
        <f t="shared" si="21"/>
        <v>0</v>
      </c>
      <c r="R213" s="17">
        <v>1247</v>
      </c>
    </row>
    <row r="214" spans="1:18" ht="16.5" x14ac:dyDescent="0.25">
      <c r="A214" s="12">
        <v>1248</v>
      </c>
      <c r="B214" s="13" t="s">
        <v>216</v>
      </c>
      <c r="C214" s="13" t="s">
        <v>43</v>
      </c>
      <c r="D214" s="14"/>
      <c r="E214" s="15">
        <v>6400</v>
      </c>
      <c r="F214" s="15">
        <v>300</v>
      </c>
      <c r="G214" s="15">
        <v>400</v>
      </c>
      <c r="H214" s="15">
        <f t="shared" si="22"/>
        <v>7100</v>
      </c>
      <c r="I214" s="15">
        <f t="shared" si="23"/>
        <v>0</v>
      </c>
      <c r="J214" s="16"/>
      <c r="K214" s="15"/>
      <c r="L214" s="15">
        <f t="shared" si="18"/>
        <v>0</v>
      </c>
      <c r="M214" s="16"/>
      <c r="N214" s="16"/>
      <c r="O214" s="15">
        <f t="shared" si="19"/>
        <v>0</v>
      </c>
      <c r="P214" s="15">
        <f t="shared" si="20"/>
        <v>0</v>
      </c>
      <c r="Q214" s="15">
        <f t="shared" si="21"/>
        <v>0</v>
      </c>
      <c r="R214" s="17">
        <v>1248</v>
      </c>
    </row>
    <row r="215" spans="1:18" ht="16.5" x14ac:dyDescent="0.25">
      <c r="A215" s="12">
        <v>1250</v>
      </c>
      <c r="B215" s="13" t="s">
        <v>218</v>
      </c>
      <c r="C215" s="13" t="s">
        <v>25</v>
      </c>
      <c r="D215" s="14"/>
      <c r="E215" s="15">
        <v>6400</v>
      </c>
      <c r="F215" s="15">
        <v>300</v>
      </c>
      <c r="G215" s="15">
        <v>400</v>
      </c>
      <c r="H215" s="15">
        <f t="shared" si="22"/>
        <v>7100</v>
      </c>
      <c r="I215" s="15">
        <f t="shared" si="23"/>
        <v>0</v>
      </c>
      <c r="J215" s="16"/>
      <c r="K215" s="15">
        <v>200000</v>
      </c>
      <c r="L215" s="15">
        <f t="shared" si="18"/>
        <v>0</v>
      </c>
      <c r="M215" s="16"/>
      <c r="N215" s="16"/>
      <c r="O215" s="15">
        <f t="shared" si="19"/>
        <v>0</v>
      </c>
      <c r="P215" s="15">
        <f t="shared" si="20"/>
        <v>200000</v>
      </c>
      <c r="Q215" s="15">
        <f t="shared" si="21"/>
        <v>-200000</v>
      </c>
      <c r="R215" s="17">
        <v>1250</v>
      </c>
    </row>
    <row r="216" spans="1:18" ht="16.5" x14ac:dyDescent="0.25">
      <c r="A216" s="12">
        <v>1251</v>
      </c>
      <c r="B216" s="13" t="s">
        <v>219</v>
      </c>
      <c r="C216" s="13" t="s">
        <v>25</v>
      </c>
      <c r="D216" s="14"/>
      <c r="E216" s="15">
        <v>6400</v>
      </c>
      <c r="F216" s="15">
        <v>300</v>
      </c>
      <c r="G216" s="15">
        <v>400</v>
      </c>
      <c r="H216" s="15">
        <f t="shared" si="22"/>
        <v>7100</v>
      </c>
      <c r="I216" s="15">
        <f t="shared" si="23"/>
        <v>0</v>
      </c>
      <c r="J216" s="16"/>
      <c r="K216" s="15"/>
      <c r="L216" s="15">
        <f t="shared" si="18"/>
        <v>0</v>
      </c>
      <c r="M216" s="20"/>
      <c r="N216" s="20"/>
      <c r="O216" s="15">
        <f t="shared" si="19"/>
        <v>0</v>
      </c>
      <c r="P216" s="15">
        <f t="shared" si="20"/>
        <v>0</v>
      </c>
      <c r="Q216" s="15">
        <f t="shared" si="21"/>
        <v>0</v>
      </c>
      <c r="R216" s="17">
        <v>1251</v>
      </c>
    </row>
    <row r="217" spans="1:18" ht="16.5" x14ac:dyDescent="0.25">
      <c r="A217" s="12">
        <v>1252</v>
      </c>
      <c r="B217" s="13" t="s">
        <v>220</v>
      </c>
      <c r="C217" s="13" t="s">
        <v>16</v>
      </c>
      <c r="D217" s="26"/>
      <c r="E217" s="15">
        <v>6400</v>
      </c>
      <c r="F217" s="15">
        <v>300</v>
      </c>
      <c r="G217" s="15">
        <v>400</v>
      </c>
      <c r="H217" s="15">
        <f t="shared" si="22"/>
        <v>7100</v>
      </c>
      <c r="I217" s="15">
        <f t="shared" si="23"/>
        <v>0</v>
      </c>
      <c r="J217" s="20"/>
      <c r="K217" s="15"/>
      <c r="L217" s="15">
        <f t="shared" si="18"/>
        <v>0</v>
      </c>
      <c r="M217" s="16"/>
      <c r="N217" s="16"/>
      <c r="O217" s="15">
        <f t="shared" si="19"/>
        <v>0</v>
      </c>
      <c r="P217" s="15">
        <f t="shared" si="20"/>
        <v>0</v>
      </c>
      <c r="Q217" s="15">
        <f t="shared" si="21"/>
        <v>0</v>
      </c>
      <c r="R217" s="17">
        <v>1252</v>
      </c>
    </row>
    <row r="218" spans="1:18" ht="16.5" x14ac:dyDescent="0.25">
      <c r="A218" s="12">
        <v>1256</v>
      </c>
      <c r="B218" s="13" t="s">
        <v>221</v>
      </c>
      <c r="C218" s="13" t="s">
        <v>138</v>
      </c>
      <c r="D218" s="14">
        <v>71</v>
      </c>
      <c r="E218" s="15">
        <v>6400</v>
      </c>
      <c r="F218" s="15">
        <v>400</v>
      </c>
      <c r="G218" s="15">
        <v>400</v>
      </c>
      <c r="H218" s="15">
        <f t="shared" si="22"/>
        <v>7200</v>
      </c>
      <c r="I218" s="15">
        <f t="shared" si="23"/>
        <v>511200</v>
      </c>
      <c r="J218" s="16"/>
      <c r="K218" s="15"/>
      <c r="L218" s="15">
        <f t="shared" si="18"/>
        <v>1420</v>
      </c>
      <c r="M218" s="20"/>
      <c r="N218" s="20"/>
      <c r="O218" s="15">
        <f t="shared" si="19"/>
        <v>17750</v>
      </c>
      <c r="P218" s="15">
        <f t="shared" si="20"/>
        <v>19170</v>
      </c>
      <c r="Q218" s="15">
        <f t="shared" si="21"/>
        <v>492030</v>
      </c>
      <c r="R218" s="17">
        <v>1256</v>
      </c>
    </row>
    <row r="219" spans="1:18" ht="16.5" x14ac:dyDescent="0.25">
      <c r="A219" s="12">
        <v>1262</v>
      </c>
      <c r="B219" s="13" t="s">
        <v>222</v>
      </c>
      <c r="C219" s="13" t="s">
        <v>138</v>
      </c>
      <c r="D219" s="19"/>
      <c r="E219" s="15">
        <v>6400</v>
      </c>
      <c r="F219" s="15">
        <v>300</v>
      </c>
      <c r="G219" s="15">
        <v>400</v>
      </c>
      <c r="H219" s="15">
        <f t="shared" si="22"/>
        <v>7100</v>
      </c>
      <c r="I219" s="15">
        <f t="shared" si="23"/>
        <v>0</v>
      </c>
      <c r="J219" s="20"/>
      <c r="K219" s="15"/>
      <c r="L219" s="15">
        <f t="shared" si="18"/>
        <v>0</v>
      </c>
      <c r="M219" s="16"/>
      <c r="N219" s="16"/>
      <c r="O219" s="15">
        <f t="shared" si="19"/>
        <v>0</v>
      </c>
      <c r="P219" s="15">
        <f t="shared" si="20"/>
        <v>0</v>
      </c>
      <c r="Q219" s="15">
        <f t="shared" si="21"/>
        <v>0</v>
      </c>
      <c r="R219" s="17">
        <v>1262</v>
      </c>
    </row>
    <row r="220" spans="1:18" ht="16.5" x14ac:dyDescent="0.25">
      <c r="A220" s="12">
        <v>1263</v>
      </c>
      <c r="B220" s="13" t="s">
        <v>223</v>
      </c>
      <c r="C220" s="13" t="s">
        <v>25</v>
      </c>
      <c r="D220" s="14">
        <v>109</v>
      </c>
      <c r="E220" s="15">
        <v>6400</v>
      </c>
      <c r="F220" s="15">
        <v>400</v>
      </c>
      <c r="G220" s="15">
        <v>400</v>
      </c>
      <c r="H220" s="15">
        <f t="shared" si="22"/>
        <v>7200</v>
      </c>
      <c r="I220" s="15">
        <f t="shared" si="23"/>
        <v>784800</v>
      </c>
      <c r="J220" s="16"/>
      <c r="K220" s="15">
        <v>200000</v>
      </c>
      <c r="L220" s="15">
        <f t="shared" si="18"/>
        <v>2180</v>
      </c>
      <c r="M220" s="16"/>
      <c r="N220" s="16"/>
      <c r="O220" s="15">
        <f t="shared" si="19"/>
        <v>27250</v>
      </c>
      <c r="P220" s="15">
        <f t="shared" si="20"/>
        <v>229430</v>
      </c>
      <c r="Q220" s="15">
        <f t="shared" si="21"/>
        <v>555370</v>
      </c>
      <c r="R220" s="17">
        <v>1263</v>
      </c>
    </row>
    <row r="221" spans="1:18" ht="16.5" x14ac:dyDescent="0.25">
      <c r="A221" s="12">
        <v>1264</v>
      </c>
      <c r="B221" s="13" t="s">
        <v>224</v>
      </c>
      <c r="C221" s="13" t="s">
        <v>82</v>
      </c>
      <c r="D221" s="16"/>
      <c r="E221" s="15">
        <v>6400</v>
      </c>
      <c r="F221" s="15">
        <v>300</v>
      </c>
      <c r="G221" s="15">
        <v>400</v>
      </c>
      <c r="H221" s="15">
        <f t="shared" si="22"/>
        <v>7100</v>
      </c>
      <c r="I221" s="15">
        <f t="shared" si="23"/>
        <v>0</v>
      </c>
      <c r="J221" s="16"/>
      <c r="K221" s="15"/>
      <c r="L221" s="15">
        <f t="shared" si="18"/>
        <v>0</v>
      </c>
      <c r="M221" s="16"/>
      <c r="N221" s="16"/>
      <c r="O221" s="15">
        <f t="shared" si="19"/>
        <v>0</v>
      </c>
      <c r="P221" s="15">
        <f t="shared" si="20"/>
        <v>0</v>
      </c>
      <c r="Q221" s="15">
        <f t="shared" si="21"/>
        <v>0</v>
      </c>
      <c r="R221" s="17">
        <v>1264</v>
      </c>
    </row>
    <row r="222" spans="1:18" ht="16.5" x14ac:dyDescent="0.25">
      <c r="A222" s="12">
        <v>1265</v>
      </c>
      <c r="B222" s="13" t="s">
        <v>31</v>
      </c>
      <c r="C222" s="13" t="s">
        <v>30</v>
      </c>
      <c r="D222" s="14">
        <v>52</v>
      </c>
      <c r="E222" s="15">
        <v>6400</v>
      </c>
      <c r="F222" s="15">
        <v>500</v>
      </c>
      <c r="G222" s="15">
        <v>400</v>
      </c>
      <c r="H222" s="15">
        <f t="shared" si="22"/>
        <v>7300</v>
      </c>
      <c r="I222" s="15">
        <f t="shared" si="23"/>
        <v>379600</v>
      </c>
      <c r="J222" s="16"/>
      <c r="K222" s="15">
        <v>200000</v>
      </c>
      <c r="L222" s="15">
        <f t="shared" si="18"/>
        <v>1040</v>
      </c>
      <c r="M222" s="16"/>
      <c r="N222" s="16"/>
      <c r="O222" s="15">
        <f t="shared" si="19"/>
        <v>13000</v>
      </c>
      <c r="P222" s="15">
        <f t="shared" si="20"/>
        <v>214040</v>
      </c>
      <c r="Q222" s="15">
        <f t="shared" si="21"/>
        <v>165560</v>
      </c>
      <c r="R222" s="17">
        <v>1265</v>
      </c>
    </row>
    <row r="223" spans="1:18" ht="16.5" x14ac:dyDescent="0.25">
      <c r="A223" s="12">
        <v>1266</v>
      </c>
      <c r="B223" s="13" t="s">
        <v>225</v>
      </c>
      <c r="C223" s="13" t="s">
        <v>25</v>
      </c>
      <c r="D223" s="14"/>
      <c r="E223" s="15">
        <v>6400</v>
      </c>
      <c r="F223" s="15">
        <v>400</v>
      </c>
      <c r="G223" s="15">
        <v>400</v>
      </c>
      <c r="H223" s="15">
        <f t="shared" si="22"/>
        <v>7200</v>
      </c>
      <c r="I223" s="15">
        <f t="shared" si="23"/>
        <v>0</v>
      </c>
      <c r="J223" s="20"/>
      <c r="K223" s="15"/>
      <c r="L223" s="15">
        <f t="shared" si="18"/>
        <v>0</v>
      </c>
      <c r="M223" s="16"/>
      <c r="N223" s="16"/>
      <c r="O223" s="15">
        <f t="shared" si="19"/>
        <v>0</v>
      </c>
      <c r="P223" s="15">
        <f t="shared" si="20"/>
        <v>0</v>
      </c>
      <c r="Q223" s="15">
        <f t="shared" si="21"/>
        <v>0</v>
      </c>
      <c r="R223" s="17">
        <v>1266</v>
      </c>
    </row>
    <row r="224" spans="1:18" ht="16.5" x14ac:dyDescent="0.25">
      <c r="A224" s="12">
        <v>1269</v>
      </c>
      <c r="B224" s="13" t="s">
        <v>226</v>
      </c>
      <c r="C224" s="13" t="s">
        <v>21</v>
      </c>
      <c r="D224" s="14"/>
      <c r="E224" s="15">
        <v>6400</v>
      </c>
      <c r="F224" s="15">
        <v>300</v>
      </c>
      <c r="G224" s="15">
        <v>400</v>
      </c>
      <c r="H224" s="15">
        <f t="shared" si="22"/>
        <v>7100</v>
      </c>
      <c r="I224" s="15">
        <f t="shared" si="23"/>
        <v>0</v>
      </c>
      <c r="J224" s="16"/>
      <c r="K224" s="15"/>
      <c r="L224" s="15">
        <f t="shared" si="18"/>
        <v>0</v>
      </c>
      <c r="M224" s="16"/>
      <c r="N224" s="16"/>
      <c r="O224" s="15">
        <f t="shared" si="19"/>
        <v>0</v>
      </c>
      <c r="P224" s="15">
        <f t="shared" si="20"/>
        <v>0</v>
      </c>
      <c r="Q224" s="15">
        <f t="shared" si="21"/>
        <v>0</v>
      </c>
      <c r="R224" s="17">
        <v>1269</v>
      </c>
    </row>
    <row r="225" spans="1:18" ht="16.5" x14ac:dyDescent="0.25">
      <c r="A225" s="12">
        <v>1271</v>
      </c>
      <c r="B225" s="13" t="s">
        <v>227</v>
      </c>
      <c r="C225" s="13" t="s">
        <v>25</v>
      </c>
      <c r="D225" s="14">
        <v>141</v>
      </c>
      <c r="E225" s="15">
        <v>6400</v>
      </c>
      <c r="F225" s="15">
        <v>500</v>
      </c>
      <c r="G225" s="15">
        <v>400</v>
      </c>
      <c r="H225" s="15">
        <f t="shared" si="22"/>
        <v>7300</v>
      </c>
      <c r="I225" s="15">
        <f t="shared" si="23"/>
        <v>1029300</v>
      </c>
      <c r="J225" s="16"/>
      <c r="K225" s="15">
        <v>400000</v>
      </c>
      <c r="L225" s="15">
        <f t="shared" si="18"/>
        <v>2820</v>
      </c>
      <c r="M225" s="20"/>
      <c r="N225" s="20"/>
      <c r="O225" s="15">
        <f t="shared" si="19"/>
        <v>35250</v>
      </c>
      <c r="P225" s="15">
        <f t="shared" si="20"/>
        <v>438070</v>
      </c>
      <c r="Q225" s="15">
        <f t="shared" si="21"/>
        <v>591230</v>
      </c>
      <c r="R225" s="17">
        <v>1271</v>
      </c>
    </row>
    <row r="226" spans="1:18" ht="16.5" x14ac:dyDescent="0.25">
      <c r="A226" s="12">
        <v>1273</v>
      </c>
      <c r="B226" s="13" t="s">
        <v>228</v>
      </c>
      <c r="C226" s="13" t="s">
        <v>30</v>
      </c>
      <c r="D226" s="19"/>
      <c r="E226" s="15">
        <v>6400</v>
      </c>
      <c r="F226" s="15">
        <v>400</v>
      </c>
      <c r="G226" s="15">
        <v>400</v>
      </c>
      <c r="H226" s="15">
        <f t="shared" si="22"/>
        <v>7200</v>
      </c>
      <c r="I226" s="15">
        <f t="shared" si="23"/>
        <v>0</v>
      </c>
      <c r="J226" s="20"/>
      <c r="K226" s="15"/>
      <c r="L226" s="15">
        <f t="shared" si="18"/>
        <v>0</v>
      </c>
      <c r="M226" s="16"/>
      <c r="N226" s="16"/>
      <c r="O226" s="15">
        <f t="shared" si="19"/>
        <v>0</v>
      </c>
      <c r="P226" s="15">
        <f t="shared" si="20"/>
        <v>0</v>
      </c>
      <c r="Q226" s="15">
        <f t="shared" si="21"/>
        <v>0</v>
      </c>
      <c r="R226" s="17">
        <v>1273</v>
      </c>
    </row>
    <row r="227" spans="1:18" ht="16.5" x14ac:dyDescent="0.25">
      <c r="A227" s="12">
        <v>1276</v>
      </c>
      <c r="B227" s="13" t="s">
        <v>65</v>
      </c>
      <c r="C227" s="13" t="s">
        <v>17</v>
      </c>
      <c r="D227" s="14"/>
      <c r="E227" s="15">
        <v>6400</v>
      </c>
      <c r="F227" s="15">
        <v>400</v>
      </c>
      <c r="G227" s="15">
        <v>400</v>
      </c>
      <c r="H227" s="15">
        <f t="shared" si="22"/>
        <v>7200</v>
      </c>
      <c r="I227" s="15">
        <f t="shared" si="23"/>
        <v>0</v>
      </c>
      <c r="J227" s="16"/>
      <c r="K227" s="15"/>
      <c r="L227" s="15">
        <f t="shared" si="18"/>
        <v>0</v>
      </c>
      <c r="M227" s="16"/>
      <c r="N227" s="16"/>
      <c r="O227" s="15">
        <f t="shared" si="19"/>
        <v>0</v>
      </c>
      <c r="P227" s="15">
        <f t="shared" si="20"/>
        <v>0</v>
      </c>
      <c r="Q227" s="15">
        <f t="shared" si="21"/>
        <v>0</v>
      </c>
      <c r="R227" s="17">
        <v>1276</v>
      </c>
    </row>
    <row r="228" spans="1:18" ht="16.5" x14ac:dyDescent="0.25">
      <c r="A228" s="12">
        <v>1279</v>
      </c>
      <c r="B228" s="13" t="s">
        <v>122</v>
      </c>
      <c r="C228" s="13" t="s">
        <v>43</v>
      </c>
      <c r="D228" s="14">
        <v>244</v>
      </c>
      <c r="E228" s="15">
        <v>6400</v>
      </c>
      <c r="F228" s="15">
        <v>600</v>
      </c>
      <c r="G228" s="15">
        <v>400</v>
      </c>
      <c r="H228" s="15">
        <f t="shared" si="22"/>
        <v>7400</v>
      </c>
      <c r="I228" s="15">
        <f t="shared" si="23"/>
        <v>1805600</v>
      </c>
      <c r="J228" s="16"/>
      <c r="K228" s="15">
        <v>400000</v>
      </c>
      <c r="L228" s="15">
        <f t="shared" si="18"/>
        <v>4880</v>
      </c>
      <c r="M228" s="20"/>
      <c r="N228" s="20"/>
      <c r="O228" s="15">
        <f t="shared" si="19"/>
        <v>61000</v>
      </c>
      <c r="P228" s="15">
        <f t="shared" si="20"/>
        <v>465880</v>
      </c>
      <c r="Q228" s="15">
        <f t="shared" si="21"/>
        <v>1339720</v>
      </c>
      <c r="R228" s="17">
        <v>1279</v>
      </c>
    </row>
    <row r="229" spans="1:18" ht="16.5" x14ac:dyDescent="0.25">
      <c r="A229" s="12">
        <v>1280</v>
      </c>
      <c r="B229" s="13" t="s">
        <v>229</v>
      </c>
      <c r="C229" s="13" t="s">
        <v>43</v>
      </c>
      <c r="D229" s="19"/>
      <c r="E229" s="15">
        <v>6400</v>
      </c>
      <c r="F229" s="15">
        <v>300</v>
      </c>
      <c r="G229" s="15">
        <v>400</v>
      </c>
      <c r="H229" s="15">
        <f t="shared" si="22"/>
        <v>7100</v>
      </c>
      <c r="I229" s="15">
        <f t="shared" si="23"/>
        <v>0</v>
      </c>
      <c r="J229" s="20"/>
      <c r="K229" s="15"/>
      <c r="L229" s="15">
        <f t="shared" si="18"/>
        <v>0</v>
      </c>
      <c r="M229" s="16"/>
      <c r="N229" s="16"/>
      <c r="O229" s="15">
        <f t="shared" si="19"/>
        <v>0</v>
      </c>
      <c r="P229" s="15">
        <f t="shared" si="20"/>
        <v>0</v>
      </c>
      <c r="Q229" s="15">
        <f t="shared" si="21"/>
        <v>0</v>
      </c>
      <c r="R229" s="17">
        <v>1280</v>
      </c>
    </row>
    <row r="230" spans="1:18" ht="16.5" x14ac:dyDescent="0.25">
      <c r="A230" s="12">
        <v>1282</v>
      </c>
      <c r="B230" s="13" t="s">
        <v>230</v>
      </c>
      <c r="C230" s="13" t="s">
        <v>23</v>
      </c>
      <c r="D230" s="14"/>
      <c r="E230" s="15">
        <v>6400</v>
      </c>
      <c r="F230" s="15">
        <v>300</v>
      </c>
      <c r="G230" s="15">
        <v>400</v>
      </c>
      <c r="H230" s="15">
        <f t="shared" si="22"/>
        <v>7100</v>
      </c>
      <c r="I230" s="15">
        <f t="shared" si="23"/>
        <v>0</v>
      </c>
      <c r="J230" s="16"/>
      <c r="K230" s="15"/>
      <c r="L230" s="15">
        <f t="shared" si="18"/>
        <v>0</v>
      </c>
      <c r="M230" s="16"/>
      <c r="N230" s="16"/>
      <c r="O230" s="15">
        <f t="shared" si="19"/>
        <v>0</v>
      </c>
      <c r="P230" s="15">
        <f t="shared" si="20"/>
        <v>0</v>
      </c>
      <c r="Q230" s="15">
        <f t="shared" si="21"/>
        <v>0</v>
      </c>
      <c r="R230" s="17">
        <v>1282</v>
      </c>
    </row>
    <row r="231" spans="1:18" ht="16.5" x14ac:dyDescent="0.25">
      <c r="A231" s="12">
        <v>1283</v>
      </c>
      <c r="B231" s="13" t="s">
        <v>231</v>
      </c>
      <c r="C231" s="13" t="s">
        <v>25</v>
      </c>
      <c r="D231" s="16">
        <v>357</v>
      </c>
      <c r="E231" s="15">
        <v>6400</v>
      </c>
      <c r="F231" s="15">
        <v>500</v>
      </c>
      <c r="G231" s="15">
        <v>400</v>
      </c>
      <c r="H231" s="15">
        <f t="shared" si="22"/>
        <v>7300</v>
      </c>
      <c r="I231" s="15">
        <f t="shared" si="23"/>
        <v>2606100</v>
      </c>
      <c r="J231" s="16"/>
      <c r="K231" s="15">
        <v>600000</v>
      </c>
      <c r="L231" s="15">
        <f t="shared" si="18"/>
        <v>7140</v>
      </c>
      <c r="M231" s="16"/>
      <c r="N231" s="16"/>
      <c r="O231" s="15">
        <f t="shared" si="19"/>
        <v>89250</v>
      </c>
      <c r="P231" s="15">
        <f t="shared" si="20"/>
        <v>696390</v>
      </c>
      <c r="Q231" s="15">
        <f t="shared" si="21"/>
        <v>1909710</v>
      </c>
      <c r="R231" s="17">
        <v>1283</v>
      </c>
    </row>
    <row r="232" spans="1:18" ht="16.5" x14ac:dyDescent="0.25">
      <c r="A232" s="12">
        <v>1284</v>
      </c>
      <c r="B232" s="13" t="s">
        <v>230</v>
      </c>
      <c r="C232" s="13" t="s">
        <v>23</v>
      </c>
      <c r="D232" s="16"/>
      <c r="E232" s="15">
        <v>6400</v>
      </c>
      <c r="F232" s="15">
        <v>400</v>
      </c>
      <c r="G232" s="15">
        <v>400</v>
      </c>
      <c r="H232" s="15">
        <f t="shared" si="22"/>
        <v>7200</v>
      </c>
      <c r="I232" s="15">
        <f t="shared" si="23"/>
        <v>0</v>
      </c>
      <c r="J232" s="16"/>
      <c r="K232" s="15"/>
      <c r="L232" s="15">
        <f t="shared" si="18"/>
        <v>0</v>
      </c>
      <c r="M232" s="16"/>
      <c r="N232" s="16"/>
      <c r="O232" s="15">
        <f t="shared" si="19"/>
        <v>0</v>
      </c>
      <c r="P232" s="15">
        <f t="shared" si="20"/>
        <v>0</v>
      </c>
      <c r="Q232" s="15">
        <f t="shared" si="21"/>
        <v>0</v>
      </c>
      <c r="R232" s="17">
        <v>1284</v>
      </c>
    </row>
    <row r="233" spans="1:18" ht="16.5" x14ac:dyDescent="0.25">
      <c r="A233" s="12">
        <v>1293</v>
      </c>
      <c r="B233" s="13" t="s">
        <v>232</v>
      </c>
      <c r="C233" s="13" t="s">
        <v>47</v>
      </c>
      <c r="D233" s="14"/>
      <c r="E233" s="15">
        <v>6400</v>
      </c>
      <c r="F233" s="15">
        <v>200</v>
      </c>
      <c r="G233" s="15">
        <v>400</v>
      </c>
      <c r="H233" s="15">
        <f t="shared" si="22"/>
        <v>7000</v>
      </c>
      <c r="I233" s="15">
        <f t="shared" si="23"/>
        <v>0</v>
      </c>
      <c r="J233" s="16"/>
      <c r="K233" s="15"/>
      <c r="L233" s="15">
        <f t="shared" si="18"/>
        <v>0</v>
      </c>
      <c r="M233" s="16"/>
      <c r="N233" s="16"/>
      <c r="O233" s="15">
        <f t="shared" si="19"/>
        <v>0</v>
      </c>
      <c r="P233" s="15">
        <f t="shared" si="20"/>
        <v>0</v>
      </c>
      <c r="Q233" s="15">
        <f t="shared" si="21"/>
        <v>0</v>
      </c>
      <c r="R233" s="17">
        <v>1293</v>
      </c>
    </row>
    <row r="234" spans="1:18" ht="16.5" x14ac:dyDescent="0.25">
      <c r="A234" s="12">
        <v>1295</v>
      </c>
      <c r="B234" s="13" t="s">
        <v>233</v>
      </c>
      <c r="C234" s="13" t="s">
        <v>25</v>
      </c>
      <c r="D234" s="16"/>
      <c r="E234" s="15">
        <v>6400</v>
      </c>
      <c r="F234" s="15">
        <v>300</v>
      </c>
      <c r="G234" s="15">
        <v>400</v>
      </c>
      <c r="H234" s="15">
        <f t="shared" si="22"/>
        <v>7100</v>
      </c>
      <c r="I234" s="15">
        <f t="shared" si="23"/>
        <v>0</v>
      </c>
      <c r="J234" s="16"/>
      <c r="K234" s="15"/>
      <c r="L234" s="15">
        <f t="shared" si="18"/>
        <v>0</v>
      </c>
      <c r="M234" s="20"/>
      <c r="N234" s="20"/>
      <c r="O234" s="15">
        <f t="shared" si="19"/>
        <v>0</v>
      </c>
      <c r="P234" s="15">
        <f t="shared" si="20"/>
        <v>0</v>
      </c>
      <c r="Q234" s="15">
        <f t="shared" si="21"/>
        <v>0</v>
      </c>
      <c r="R234" s="17">
        <v>1295</v>
      </c>
    </row>
    <row r="235" spans="1:18" ht="16.5" x14ac:dyDescent="0.25">
      <c r="A235" s="12">
        <v>1299</v>
      </c>
      <c r="B235" s="13" t="s">
        <v>234</v>
      </c>
      <c r="C235" s="13" t="s">
        <v>82</v>
      </c>
      <c r="D235" s="19"/>
      <c r="E235" s="15">
        <v>6400</v>
      </c>
      <c r="F235" s="15">
        <v>300</v>
      </c>
      <c r="G235" s="15">
        <v>400</v>
      </c>
      <c r="H235" s="15">
        <f t="shared" si="22"/>
        <v>7100</v>
      </c>
      <c r="I235" s="15">
        <f t="shared" si="23"/>
        <v>0</v>
      </c>
      <c r="J235" s="20"/>
      <c r="K235" s="15"/>
      <c r="L235" s="15">
        <f t="shared" si="18"/>
        <v>0</v>
      </c>
      <c r="M235" s="16"/>
      <c r="N235" s="16"/>
      <c r="O235" s="15">
        <f t="shared" si="19"/>
        <v>0</v>
      </c>
      <c r="P235" s="15">
        <f t="shared" si="20"/>
        <v>0</v>
      </c>
      <c r="Q235" s="15">
        <f t="shared" si="21"/>
        <v>0</v>
      </c>
      <c r="R235" s="17">
        <v>1299</v>
      </c>
    </row>
    <row r="236" spans="1:18" ht="16.5" x14ac:dyDescent="0.25">
      <c r="A236" s="12">
        <v>1300</v>
      </c>
      <c r="B236" s="13" t="s">
        <v>235</v>
      </c>
      <c r="C236" s="13" t="s">
        <v>43</v>
      </c>
      <c r="D236" s="14"/>
      <c r="E236" s="15">
        <v>6400</v>
      </c>
      <c r="F236" s="15">
        <v>300</v>
      </c>
      <c r="G236" s="15">
        <v>400</v>
      </c>
      <c r="H236" s="15">
        <f t="shared" si="22"/>
        <v>7100</v>
      </c>
      <c r="I236" s="15">
        <f t="shared" si="23"/>
        <v>0</v>
      </c>
      <c r="J236" s="16"/>
      <c r="K236" s="15"/>
      <c r="L236" s="15">
        <f t="shared" si="18"/>
        <v>0</v>
      </c>
      <c r="M236" s="16"/>
      <c r="N236" s="16"/>
      <c r="O236" s="15">
        <f t="shared" si="19"/>
        <v>0</v>
      </c>
      <c r="P236" s="15">
        <f t="shared" si="20"/>
        <v>0</v>
      </c>
      <c r="Q236" s="15">
        <f t="shared" si="21"/>
        <v>0</v>
      </c>
      <c r="R236" s="17">
        <v>1300</v>
      </c>
    </row>
    <row r="237" spans="1:18" ht="16.5" x14ac:dyDescent="0.25">
      <c r="A237" s="12">
        <v>1308</v>
      </c>
      <c r="B237" s="13" t="s">
        <v>236</v>
      </c>
      <c r="C237" s="13" t="s">
        <v>25</v>
      </c>
      <c r="D237" s="16">
        <v>136</v>
      </c>
      <c r="E237" s="15">
        <v>6400</v>
      </c>
      <c r="F237" s="15">
        <v>400</v>
      </c>
      <c r="G237" s="15">
        <v>400</v>
      </c>
      <c r="H237" s="15">
        <f t="shared" si="22"/>
        <v>7200</v>
      </c>
      <c r="I237" s="15">
        <f t="shared" si="23"/>
        <v>979200</v>
      </c>
      <c r="J237" s="16"/>
      <c r="K237" s="15">
        <v>400000</v>
      </c>
      <c r="L237" s="15">
        <f t="shared" si="18"/>
        <v>2720</v>
      </c>
      <c r="M237" s="20"/>
      <c r="N237" s="20"/>
      <c r="O237" s="15">
        <f t="shared" si="19"/>
        <v>34000</v>
      </c>
      <c r="P237" s="15">
        <f t="shared" si="20"/>
        <v>436720</v>
      </c>
      <c r="Q237" s="15">
        <f t="shared" si="21"/>
        <v>542480</v>
      </c>
      <c r="R237" s="17">
        <v>1308</v>
      </c>
    </row>
    <row r="238" spans="1:18" ht="16.5" x14ac:dyDescent="0.25">
      <c r="A238" s="12">
        <v>1312</v>
      </c>
      <c r="B238" s="13" t="s">
        <v>216</v>
      </c>
      <c r="C238" s="13" t="s">
        <v>47</v>
      </c>
      <c r="D238" s="19">
        <v>147</v>
      </c>
      <c r="E238" s="15">
        <v>6400</v>
      </c>
      <c r="F238" s="15">
        <v>400</v>
      </c>
      <c r="G238" s="15">
        <v>400</v>
      </c>
      <c r="H238" s="15">
        <f t="shared" si="22"/>
        <v>7200</v>
      </c>
      <c r="I238" s="15">
        <f t="shared" si="23"/>
        <v>1058400</v>
      </c>
      <c r="J238" s="20"/>
      <c r="K238" s="15">
        <v>400000</v>
      </c>
      <c r="L238" s="15">
        <f t="shared" si="18"/>
        <v>2940</v>
      </c>
      <c r="M238" s="20"/>
      <c r="N238" s="20"/>
      <c r="O238" s="15">
        <f t="shared" si="19"/>
        <v>36750</v>
      </c>
      <c r="P238" s="15">
        <f t="shared" si="20"/>
        <v>439690</v>
      </c>
      <c r="Q238" s="15">
        <f t="shared" si="21"/>
        <v>618710</v>
      </c>
      <c r="R238" s="17">
        <v>1312</v>
      </c>
    </row>
    <row r="239" spans="1:18" ht="16.5" x14ac:dyDescent="0.25">
      <c r="A239" s="12">
        <v>1315</v>
      </c>
      <c r="B239" s="13" t="s">
        <v>48</v>
      </c>
      <c r="C239" s="13" t="s">
        <v>47</v>
      </c>
      <c r="D239" s="19"/>
      <c r="E239" s="15">
        <v>6400</v>
      </c>
      <c r="F239" s="15">
        <v>300</v>
      </c>
      <c r="G239" s="15">
        <v>400</v>
      </c>
      <c r="H239" s="15">
        <f t="shared" si="22"/>
        <v>7100</v>
      </c>
      <c r="I239" s="15">
        <f t="shared" si="23"/>
        <v>0</v>
      </c>
      <c r="J239" s="20"/>
      <c r="K239" s="15"/>
      <c r="L239" s="15">
        <f t="shared" si="18"/>
        <v>0</v>
      </c>
      <c r="M239" s="20"/>
      <c r="N239" s="20"/>
      <c r="O239" s="15">
        <f t="shared" si="19"/>
        <v>0</v>
      </c>
      <c r="P239" s="15">
        <f t="shared" si="20"/>
        <v>0</v>
      </c>
      <c r="Q239" s="15">
        <f t="shared" si="21"/>
        <v>0</v>
      </c>
      <c r="R239" s="17">
        <v>1315</v>
      </c>
    </row>
    <row r="240" spans="1:18" ht="16.5" x14ac:dyDescent="0.25">
      <c r="A240" s="12">
        <v>1316</v>
      </c>
      <c r="B240" s="13" t="s">
        <v>176</v>
      </c>
      <c r="C240" s="13" t="s">
        <v>25</v>
      </c>
      <c r="D240" s="20"/>
      <c r="E240" s="15">
        <v>6400</v>
      </c>
      <c r="F240" s="15">
        <v>300</v>
      </c>
      <c r="G240" s="15">
        <v>400</v>
      </c>
      <c r="H240" s="15">
        <f t="shared" si="22"/>
        <v>7100</v>
      </c>
      <c r="I240" s="15">
        <f t="shared" si="23"/>
        <v>0</v>
      </c>
      <c r="J240" s="20"/>
      <c r="K240" s="15"/>
      <c r="L240" s="15">
        <f t="shared" si="18"/>
        <v>0</v>
      </c>
      <c r="M240" s="16"/>
      <c r="N240" s="16"/>
      <c r="O240" s="15">
        <f t="shared" si="19"/>
        <v>0</v>
      </c>
      <c r="P240" s="15">
        <f t="shared" si="20"/>
        <v>0</v>
      </c>
      <c r="Q240" s="15">
        <f t="shared" si="21"/>
        <v>0</v>
      </c>
      <c r="R240" s="17">
        <v>1316</v>
      </c>
    </row>
    <row r="241" spans="1:18" ht="16.5" x14ac:dyDescent="0.25">
      <c r="A241" s="12">
        <v>1318</v>
      </c>
      <c r="B241" s="13" t="s">
        <v>237</v>
      </c>
      <c r="C241" s="13" t="s">
        <v>47</v>
      </c>
      <c r="D241" s="14"/>
      <c r="E241" s="15">
        <v>6400</v>
      </c>
      <c r="F241" s="15">
        <v>400</v>
      </c>
      <c r="G241" s="15">
        <v>400</v>
      </c>
      <c r="H241" s="15">
        <f t="shared" si="22"/>
        <v>7200</v>
      </c>
      <c r="I241" s="15">
        <f t="shared" si="23"/>
        <v>0</v>
      </c>
      <c r="J241" s="16"/>
      <c r="K241" s="15"/>
      <c r="L241" s="15">
        <f t="shared" si="18"/>
        <v>0</v>
      </c>
      <c r="M241" s="16"/>
      <c r="N241" s="16"/>
      <c r="O241" s="15">
        <f t="shared" si="19"/>
        <v>0</v>
      </c>
      <c r="P241" s="15">
        <f t="shared" si="20"/>
        <v>0</v>
      </c>
      <c r="Q241" s="15">
        <f t="shared" si="21"/>
        <v>0</v>
      </c>
      <c r="R241" s="17">
        <v>1318</v>
      </c>
    </row>
    <row r="242" spans="1:18" ht="16.5" x14ac:dyDescent="0.25">
      <c r="A242" s="12">
        <v>1322</v>
      </c>
      <c r="B242" s="13" t="s">
        <v>238</v>
      </c>
      <c r="C242" s="13" t="s">
        <v>186</v>
      </c>
      <c r="D242" s="16"/>
      <c r="E242" s="15">
        <v>6400</v>
      </c>
      <c r="F242" s="15">
        <v>400</v>
      </c>
      <c r="G242" s="15">
        <v>400</v>
      </c>
      <c r="H242" s="15">
        <f t="shared" si="22"/>
        <v>7200</v>
      </c>
      <c r="I242" s="15">
        <f t="shared" si="23"/>
        <v>0</v>
      </c>
      <c r="J242" s="16"/>
      <c r="K242" s="15"/>
      <c r="L242" s="15">
        <f t="shared" si="18"/>
        <v>0</v>
      </c>
      <c r="M242" s="16"/>
      <c r="N242" s="16"/>
      <c r="O242" s="15">
        <f t="shared" si="19"/>
        <v>0</v>
      </c>
      <c r="P242" s="15">
        <f t="shared" si="20"/>
        <v>0</v>
      </c>
      <c r="Q242" s="15">
        <f t="shared" si="21"/>
        <v>0</v>
      </c>
      <c r="R242" s="17">
        <v>1322</v>
      </c>
    </row>
    <row r="243" spans="1:18" ht="16.5" x14ac:dyDescent="0.25">
      <c r="A243" s="12">
        <v>1325</v>
      </c>
      <c r="B243" s="13" t="s">
        <v>239</v>
      </c>
      <c r="C243" s="13" t="s">
        <v>43</v>
      </c>
      <c r="D243" s="14"/>
      <c r="E243" s="15">
        <v>6400</v>
      </c>
      <c r="F243" s="15">
        <v>300</v>
      </c>
      <c r="G243" s="15">
        <v>400</v>
      </c>
      <c r="H243" s="15">
        <f t="shared" si="22"/>
        <v>7100</v>
      </c>
      <c r="I243" s="15">
        <f t="shared" si="23"/>
        <v>0</v>
      </c>
      <c r="J243" s="16"/>
      <c r="K243" s="15"/>
      <c r="L243" s="15">
        <f t="shared" si="18"/>
        <v>0</v>
      </c>
      <c r="M243" s="16"/>
      <c r="N243" s="16"/>
      <c r="O243" s="15">
        <f t="shared" si="19"/>
        <v>0</v>
      </c>
      <c r="P243" s="15">
        <f t="shared" si="20"/>
        <v>0</v>
      </c>
      <c r="Q243" s="15">
        <f t="shared" si="21"/>
        <v>0</v>
      </c>
      <c r="R243" s="17">
        <v>1325</v>
      </c>
    </row>
    <row r="244" spans="1:18" ht="16.5" x14ac:dyDescent="0.25">
      <c r="A244" s="12">
        <v>1328</v>
      </c>
      <c r="B244" s="13" t="s">
        <v>240</v>
      </c>
      <c r="C244" s="13" t="s">
        <v>138</v>
      </c>
      <c r="D244" s="14"/>
      <c r="E244" s="15">
        <v>6400</v>
      </c>
      <c r="F244" s="15">
        <v>300</v>
      </c>
      <c r="G244" s="15">
        <v>400</v>
      </c>
      <c r="H244" s="15">
        <f t="shared" si="22"/>
        <v>7100</v>
      </c>
      <c r="I244" s="15">
        <f t="shared" si="23"/>
        <v>0</v>
      </c>
      <c r="J244" s="16"/>
      <c r="K244" s="15"/>
      <c r="L244" s="15">
        <f t="shared" si="18"/>
        <v>0</v>
      </c>
      <c r="M244" s="20"/>
      <c r="N244" s="20"/>
      <c r="O244" s="15">
        <f t="shared" si="19"/>
        <v>0</v>
      </c>
      <c r="P244" s="15">
        <f t="shared" si="20"/>
        <v>0</v>
      </c>
      <c r="Q244" s="15">
        <f t="shared" si="21"/>
        <v>0</v>
      </c>
      <c r="R244" s="17">
        <v>1328</v>
      </c>
    </row>
    <row r="245" spans="1:18" ht="16.5" x14ac:dyDescent="0.25">
      <c r="A245" s="12">
        <v>1330</v>
      </c>
      <c r="B245" s="13" t="s">
        <v>241</v>
      </c>
      <c r="C245" s="13" t="s">
        <v>47</v>
      </c>
      <c r="D245" s="19"/>
      <c r="E245" s="15">
        <v>6400</v>
      </c>
      <c r="F245" s="15">
        <v>300</v>
      </c>
      <c r="G245" s="15">
        <v>400</v>
      </c>
      <c r="H245" s="15">
        <f t="shared" si="22"/>
        <v>7100</v>
      </c>
      <c r="I245" s="15">
        <f t="shared" si="23"/>
        <v>0</v>
      </c>
      <c r="J245" s="20"/>
      <c r="K245" s="15"/>
      <c r="L245" s="15">
        <f t="shared" si="18"/>
        <v>0</v>
      </c>
      <c r="M245" s="16"/>
      <c r="N245" s="16"/>
      <c r="O245" s="15">
        <f t="shared" si="19"/>
        <v>0</v>
      </c>
      <c r="P245" s="15">
        <f t="shared" si="20"/>
        <v>0</v>
      </c>
      <c r="Q245" s="15">
        <f t="shared" si="21"/>
        <v>0</v>
      </c>
      <c r="R245" s="17">
        <v>1330</v>
      </c>
    </row>
    <row r="246" spans="1:18" ht="16.5" x14ac:dyDescent="0.25">
      <c r="A246" s="12">
        <v>1331</v>
      </c>
      <c r="B246" s="13" t="s">
        <v>242</v>
      </c>
      <c r="C246" s="13" t="s">
        <v>25</v>
      </c>
      <c r="D246" s="16">
        <v>258</v>
      </c>
      <c r="E246" s="15">
        <v>6400</v>
      </c>
      <c r="F246" s="15">
        <v>500</v>
      </c>
      <c r="G246" s="15">
        <v>400</v>
      </c>
      <c r="H246" s="15">
        <f t="shared" si="22"/>
        <v>7300</v>
      </c>
      <c r="I246" s="15">
        <f t="shared" si="23"/>
        <v>1883400</v>
      </c>
      <c r="J246" s="16"/>
      <c r="K246" s="15">
        <v>600000</v>
      </c>
      <c r="L246" s="15">
        <f t="shared" si="18"/>
        <v>5160</v>
      </c>
      <c r="M246" s="16"/>
      <c r="N246" s="16"/>
      <c r="O246" s="15">
        <f t="shared" si="19"/>
        <v>64500</v>
      </c>
      <c r="P246" s="15">
        <f t="shared" si="20"/>
        <v>669660</v>
      </c>
      <c r="Q246" s="15">
        <f t="shared" si="21"/>
        <v>1213740</v>
      </c>
      <c r="R246" s="17">
        <v>1331</v>
      </c>
    </row>
    <row r="247" spans="1:18" ht="16.5" x14ac:dyDescent="0.25">
      <c r="A247" s="12">
        <v>1334</v>
      </c>
      <c r="B247" s="13" t="s">
        <v>243</v>
      </c>
      <c r="C247" s="13" t="s">
        <v>43</v>
      </c>
      <c r="D247" s="14"/>
      <c r="E247" s="15">
        <v>6400</v>
      </c>
      <c r="F247" s="15">
        <v>600</v>
      </c>
      <c r="G247" s="15">
        <v>400</v>
      </c>
      <c r="H247" s="15">
        <f t="shared" si="22"/>
        <v>7400</v>
      </c>
      <c r="I247" s="15">
        <f t="shared" si="23"/>
        <v>0</v>
      </c>
      <c r="J247" s="16"/>
      <c r="K247" s="15">
        <v>400000</v>
      </c>
      <c r="L247" s="15">
        <f t="shared" si="18"/>
        <v>0</v>
      </c>
      <c r="M247" s="20"/>
      <c r="N247" s="20"/>
      <c r="O247" s="15">
        <f t="shared" si="19"/>
        <v>0</v>
      </c>
      <c r="P247" s="15">
        <f t="shared" si="20"/>
        <v>400000</v>
      </c>
      <c r="Q247" s="15">
        <f t="shared" si="21"/>
        <v>-400000</v>
      </c>
      <c r="R247" s="17">
        <v>1334</v>
      </c>
    </row>
    <row r="248" spans="1:18" ht="16.5" x14ac:dyDescent="0.25">
      <c r="A248" s="12">
        <v>1337</v>
      </c>
      <c r="B248" s="13" t="s">
        <v>244</v>
      </c>
      <c r="C248" s="13" t="s">
        <v>43</v>
      </c>
      <c r="D248" s="19"/>
      <c r="E248" s="15">
        <v>6400</v>
      </c>
      <c r="F248" s="15">
        <v>300</v>
      </c>
      <c r="G248" s="15">
        <v>400</v>
      </c>
      <c r="H248" s="15">
        <f t="shared" si="22"/>
        <v>7100</v>
      </c>
      <c r="I248" s="15">
        <f t="shared" si="23"/>
        <v>0</v>
      </c>
      <c r="J248" s="20"/>
      <c r="K248" s="15"/>
      <c r="L248" s="15">
        <f t="shared" si="18"/>
        <v>0</v>
      </c>
      <c r="M248" s="16"/>
      <c r="N248" s="16"/>
      <c r="O248" s="15">
        <f t="shared" si="19"/>
        <v>0</v>
      </c>
      <c r="P248" s="15">
        <f t="shared" si="20"/>
        <v>0</v>
      </c>
      <c r="Q248" s="15">
        <f t="shared" si="21"/>
        <v>0</v>
      </c>
      <c r="R248" s="17">
        <v>1337</v>
      </c>
    </row>
    <row r="249" spans="1:18" ht="16.5" x14ac:dyDescent="0.25">
      <c r="A249" s="12">
        <v>1338</v>
      </c>
      <c r="B249" s="13" t="s">
        <v>245</v>
      </c>
      <c r="C249" s="13" t="s">
        <v>43</v>
      </c>
      <c r="D249" s="14"/>
      <c r="E249" s="15">
        <v>6400</v>
      </c>
      <c r="F249" s="15">
        <v>300</v>
      </c>
      <c r="G249" s="15">
        <v>400</v>
      </c>
      <c r="H249" s="15">
        <f t="shared" si="22"/>
        <v>7100</v>
      </c>
      <c r="I249" s="15">
        <f t="shared" si="23"/>
        <v>0</v>
      </c>
      <c r="J249" s="16"/>
      <c r="K249" s="15"/>
      <c r="L249" s="15">
        <f t="shared" si="18"/>
        <v>0</v>
      </c>
      <c r="M249" s="20"/>
      <c r="N249" s="20"/>
      <c r="O249" s="15">
        <f t="shared" si="19"/>
        <v>0</v>
      </c>
      <c r="P249" s="15">
        <f t="shared" si="20"/>
        <v>0</v>
      </c>
      <c r="Q249" s="15">
        <f t="shared" si="21"/>
        <v>0</v>
      </c>
      <c r="R249" s="17">
        <v>1338</v>
      </c>
    </row>
    <row r="250" spans="1:18" ht="16.5" x14ac:dyDescent="0.25">
      <c r="A250" s="12">
        <v>1339</v>
      </c>
      <c r="B250" s="13" t="s">
        <v>246</v>
      </c>
      <c r="C250" s="13" t="s">
        <v>21</v>
      </c>
      <c r="D250" s="19"/>
      <c r="E250" s="15">
        <v>6400</v>
      </c>
      <c r="F250" s="15">
        <v>300</v>
      </c>
      <c r="G250" s="15">
        <v>400</v>
      </c>
      <c r="H250" s="15">
        <f t="shared" si="22"/>
        <v>7100</v>
      </c>
      <c r="I250" s="15">
        <f t="shared" si="23"/>
        <v>0</v>
      </c>
      <c r="J250" s="20"/>
      <c r="K250" s="15"/>
      <c r="L250" s="15">
        <f t="shared" si="18"/>
        <v>0</v>
      </c>
      <c r="M250" s="16"/>
      <c r="N250" s="16"/>
      <c r="O250" s="15">
        <f t="shared" si="19"/>
        <v>0</v>
      </c>
      <c r="P250" s="15">
        <f t="shared" si="20"/>
        <v>0</v>
      </c>
      <c r="Q250" s="15">
        <f t="shared" si="21"/>
        <v>0</v>
      </c>
      <c r="R250" s="17">
        <v>1339</v>
      </c>
    </row>
    <row r="251" spans="1:18" ht="16.5" x14ac:dyDescent="0.25">
      <c r="A251" s="12">
        <v>1341</v>
      </c>
      <c r="B251" s="13" t="s">
        <v>127</v>
      </c>
      <c r="C251" s="13" t="s">
        <v>43</v>
      </c>
      <c r="D251" s="14"/>
      <c r="E251" s="15">
        <v>6400</v>
      </c>
      <c r="F251" s="15">
        <v>300</v>
      </c>
      <c r="G251" s="15">
        <v>400</v>
      </c>
      <c r="H251" s="15">
        <f t="shared" si="22"/>
        <v>7100</v>
      </c>
      <c r="I251" s="15">
        <f t="shared" si="23"/>
        <v>0</v>
      </c>
      <c r="J251" s="16"/>
      <c r="K251" s="15"/>
      <c r="L251" s="15">
        <f t="shared" si="18"/>
        <v>0</v>
      </c>
      <c r="M251" s="16"/>
      <c r="N251" s="16"/>
      <c r="O251" s="15">
        <f t="shared" si="19"/>
        <v>0</v>
      </c>
      <c r="P251" s="15">
        <f t="shared" si="20"/>
        <v>0</v>
      </c>
      <c r="Q251" s="15">
        <f t="shared" si="21"/>
        <v>0</v>
      </c>
      <c r="R251" s="17">
        <v>1341</v>
      </c>
    </row>
    <row r="252" spans="1:18" ht="15.75" customHeight="1" x14ac:dyDescent="0.25">
      <c r="A252" s="12">
        <v>1342</v>
      </c>
      <c r="B252" s="13" t="s">
        <v>235</v>
      </c>
      <c r="C252" s="13" t="s">
        <v>43</v>
      </c>
      <c r="D252" s="14"/>
      <c r="E252" s="15">
        <v>6400</v>
      </c>
      <c r="F252" s="15">
        <v>300</v>
      </c>
      <c r="G252" s="15">
        <v>400</v>
      </c>
      <c r="H252" s="15">
        <f t="shared" si="22"/>
        <v>7100</v>
      </c>
      <c r="I252" s="15">
        <f t="shared" si="23"/>
        <v>0</v>
      </c>
      <c r="J252" s="16"/>
      <c r="K252" s="15"/>
      <c r="L252" s="15">
        <f t="shared" si="18"/>
        <v>0</v>
      </c>
      <c r="M252" s="20"/>
      <c r="N252" s="20"/>
      <c r="O252" s="15">
        <f t="shared" si="19"/>
        <v>0</v>
      </c>
      <c r="P252" s="15">
        <f t="shared" si="20"/>
        <v>0</v>
      </c>
      <c r="Q252" s="15">
        <f t="shared" si="21"/>
        <v>0</v>
      </c>
      <c r="R252" s="17">
        <v>1342</v>
      </c>
    </row>
    <row r="253" spans="1:18" ht="17.25" customHeight="1" x14ac:dyDescent="0.25">
      <c r="A253" s="12">
        <v>1343</v>
      </c>
      <c r="B253" s="13" t="s">
        <v>31</v>
      </c>
      <c r="C253" s="13" t="s">
        <v>25</v>
      </c>
      <c r="D253" s="20">
        <v>125</v>
      </c>
      <c r="E253" s="15">
        <v>6400</v>
      </c>
      <c r="F253" s="15">
        <v>500</v>
      </c>
      <c r="G253" s="15">
        <v>400</v>
      </c>
      <c r="H253" s="15">
        <f t="shared" si="22"/>
        <v>7300</v>
      </c>
      <c r="I253" s="15">
        <f t="shared" si="23"/>
        <v>912500</v>
      </c>
      <c r="J253" s="20"/>
      <c r="K253" s="15">
        <v>400000</v>
      </c>
      <c r="L253" s="15">
        <f t="shared" si="18"/>
        <v>2500</v>
      </c>
      <c r="M253" s="20"/>
      <c r="N253" s="20"/>
      <c r="O253" s="15">
        <f t="shared" si="19"/>
        <v>31250</v>
      </c>
      <c r="P253" s="15">
        <f t="shared" si="20"/>
        <v>433750</v>
      </c>
      <c r="Q253" s="15">
        <f t="shared" si="21"/>
        <v>478750</v>
      </c>
      <c r="R253" s="17">
        <v>1343</v>
      </c>
    </row>
    <row r="254" spans="1:18" ht="17.25" customHeight="1" x14ac:dyDescent="0.25">
      <c r="A254" s="12">
        <v>1344</v>
      </c>
      <c r="B254" s="13" t="s">
        <v>247</v>
      </c>
      <c r="C254" s="13" t="s">
        <v>43</v>
      </c>
      <c r="D254" s="19"/>
      <c r="E254" s="15">
        <v>6400</v>
      </c>
      <c r="F254" s="15">
        <v>300</v>
      </c>
      <c r="G254" s="15">
        <v>400</v>
      </c>
      <c r="H254" s="15">
        <f t="shared" si="22"/>
        <v>7100</v>
      </c>
      <c r="I254" s="15">
        <f t="shared" si="23"/>
        <v>0</v>
      </c>
      <c r="J254" s="20"/>
      <c r="K254" s="15"/>
      <c r="L254" s="15">
        <f t="shared" si="18"/>
        <v>0</v>
      </c>
      <c r="M254" s="20"/>
      <c r="N254" s="20"/>
      <c r="O254" s="15">
        <f t="shared" si="19"/>
        <v>0</v>
      </c>
      <c r="P254" s="15">
        <f t="shared" si="20"/>
        <v>0</v>
      </c>
      <c r="Q254" s="15">
        <f t="shared" si="21"/>
        <v>0</v>
      </c>
      <c r="R254" s="17">
        <v>1344</v>
      </c>
    </row>
    <row r="255" spans="1:18" ht="17.25" customHeight="1" x14ac:dyDescent="0.25">
      <c r="A255" s="12">
        <v>1345</v>
      </c>
      <c r="B255" s="13"/>
      <c r="C255" s="13"/>
      <c r="D255" s="19"/>
      <c r="E255" s="15">
        <v>6400</v>
      </c>
      <c r="F255" s="15">
        <v>300</v>
      </c>
      <c r="G255" s="15">
        <v>400</v>
      </c>
      <c r="H255" s="15">
        <f t="shared" si="22"/>
        <v>7100</v>
      </c>
      <c r="I255" s="15">
        <f t="shared" si="23"/>
        <v>0</v>
      </c>
      <c r="J255" s="20"/>
      <c r="K255" s="15"/>
      <c r="L255" s="15">
        <f t="shared" si="18"/>
        <v>0</v>
      </c>
      <c r="M255" s="20"/>
      <c r="N255" s="20"/>
      <c r="O255" s="15">
        <f t="shared" si="19"/>
        <v>0</v>
      </c>
      <c r="P255" s="15">
        <f t="shared" si="20"/>
        <v>0</v>
      </c>
      <c r="Q255" s="15">
        <f t="shared" si="21"/>
        <v>0</v>
      </c>
      <c r="R255" s="17">
        <v>1345</v>
      </c>
    </row>
    <row r="256" spans="1:18" ht="15.75" customHeight="1" x14ac:dyDescent="0.25">
      <c r="A256" s="12">
        <v>1346</v>
      </c>
      <c r="B256" s="13" t="s">
        <v>248</v>
      </c>
      <c r="C256" s="13" t="s">
        <v>47</v>
      </c>
      <c r="D256" s="19"/>
      <c r="E256" s="15">
        <v>6400</v>
      </c>
      <c r="F256" s="15">
        <v>400</v>
      </c>
      <c r="G256" s="15">
        <v>400</v>
      </c>
      <c r="H256" s="15">
        <f t="shared" si="22"/>
        <v>7200</v>
      </c>
      <c r="I256" s="15">
        <f t="shared" si="23"/>
        <v>0</v>
      </c>
      <c r="J256" s="20"/>
      <c r="K256" s="15"/>
      <c r="L256" s="15">
        <f t="shared" si="18"/>
        <v>0</v>
      </c>
      <c r="M256" s="20"/>
      <c r="N256" s="20"/>
      <c r="O256" s="15">
        <f t="shared" si="19"/>
        <v>0</v>
      </c>
      <c r="P256" s="15">
        <f t="shared" si="20"/>
        <v>0</v>
      </c>
      <c r="Q256" s="15">
        <f t="shared" si="21"/>
        <v>0</v>
      </c>
      <c r="R256" s="17">
        <v>1346</v>
      </c>
    </row>
    <row r="257" spans="1:18" ht="16.5" customHeight="1" x14ac:dyDescent="0.25">
      <c r="A257" s="12">
        <v>1347</v>
      </c>
      <c r="B257" s="13" t="s">
        <v>249</v>
      </c>
      <c r="C257" s="13" t="s">
        <v>43</v>
      </c>
      <c r="D257" s="19"/>
      <c r="E257" s="15">
        <v>6400</v>
      </c>
      <c r="F257" s="15">
        <v>300</v>
      </c>
      <c r="G257" s="15">
        <v>400</v>
      </c>
      <c r="H257" s="15">
        <f t="shared" si="22"/>
        <v>7100</v>
      </c>
      <c r="I257" s="15">
        <f t="shared" si="23"/>
        <v>0</v>
      </c>
      <c r="J257" s="20"/>
      <c r="K257" s="15"/>
      <c r="L257" s="15">
        <f t="shared" si="18"/>
        <v>0</v>
      </c>
      <c r="M257" s="20"/>
      <c r="N257" s="20"/>
      <c r="O257" s="15">
        <f t="shared" si="19"/>
        <v>0</v>
      </c>
      <c r="P257" s="15">
        <f t="shared" si="20"/>
        <v>0</v>
      </c>
      <c r="Q257" s="15">
        <f t="shared" si="21"/>
        <v>0</v>
      </c>
      <c r="R257" s="17">
        <v>1347</v>
      </c>
    </row>
    <row r="258" spans="1:18" ht="16.5" customHeight="1" x14ac:dyDescent="0.25">
      <c r="A258" s="12">
        <v>1348</v>
      </c>
      <c r="B258" s="13" t="s">
        <v>443</v>
      </c>
      <c r="C258" s="13" t="s">
        <v>43</v>
      </c>
      <c r="D258" s="19"/>
      <c r="E258" s="15">
        <v>6400</v>
      </c>
      <c r="F258" s="15">
        <v>300</v>
      </c>
      <c r="G258" s="15">
        <v>400</v>
      </c>
      <c r="H258" s="15">
        <f t="shared" si="22"/>
        <v>7100</v>
      </c>
      <c r="I258" s="15">
        <f t="shared" si="23"/>
        <v>0</v>
      </c>
      <c r="J258" s="20"/>
      <c r="K258" s="15"/>
      <c r="L258" s="15">
        <f t="shared" si="18"/>
        <v>0</v>
      </c>
      <c r="M258" s="16"/>
      <c r="N258" s="16"/>
      <c r="O258" s="15">
        <f t="shared" si="19"/>
        <v>0</v>
      </c>
      <c r="P258" s="15">
        <f t="shared" si="20"/>
        <v>0</v>
      </c>
      <c r="Q258" s="15">
        <f t="shared" si="21"/>
        <v>0</v>
      </c>
      <c r="R258" s="17">
        <v>1349</v>
      </c>
    </row>
    <row r="259" spans="1:18" ht="16.5" x14ac:dyDescent="0.25">
      <c r="A259" s="12">
        <v>1350</v>
      </c>
      <c r="B259" s="13" t="s">
        <v>250</v>
      </c>
      <c r="C259" s="13" t="s">
        <v>25</v>
      </c>
      <c r="D259" s="16"/>
      <c r="E259" s="15">
        <v>6400</v>
      </c>
      <c r="F259" s="15">
        <v>300</v>
      </c>
      <c r="G259" s="15">
        <v>400</v>
      </c>
      <c r="H259" s="15">
        <f t="shared" si="22"/>
        <v>7100</v>
      </c>
      <c r="I259" s="15">
        <f t="shared" si="23"/>
        <v>0</v>
      </c>
      <c r="J259" s="16"/>
      <c r="K259" s="15"/>
      <c r="L259" s="15">
        <f t="shared" si="18"/>
        <v>0</v>
      </c>
      <c r="M259" s="20"/>
      <c r="N259" s="20"/>
      <c r="O259" s="15">
        <f t="shared" si="19"/>
        <v>0</v>
      </c>
      <c r="P259" s="15">
        <f t="shared" si="20"/>
        <v>0</v>
      </c>
      <c r="Q259" s="15">
        <f t="shared" si="21"/>
        <v>0</v>
      </c>
      <c r="R259" s="17">
        <v>1350</v>
      </c>
    </row>
    <row r="260" spans="1:18" ht="16.5" x14ac:dyDescent="0.25">
      <c r="A260" s="12">
        <v>1352</v>
      </c>
      <c r="B260" s="13" t="s">
        <v>251</v>
      </c>
      <c r="C260" s="13" t="s">
        <v>43</v>
      </c>
      <c r="D260" s="19"/>
      <c r="E260" s="15">
        <v>6400</v>
      </c>
      <c r="F260" s="15">
        <v>300</v>
      </c>
      <c r="G260" s="15">
        <v>400</v>
      </c>
      <c r="H260" s="15">
        <f t="shared" si="22"/>
        <v>7100</v>
      </c>
      <c r="I260" s="15">
        <f t="shared" si="23"/>
        <v>0</v>
      </c>
      <c r="J260" s="20"/>
      <c r="K260" s="15"/>
      <c r="L260" s="15">
        <f t="shared" si="18"/>
        <v>0</v>
      </c>
      <c r="M260" s="16"/>
      <c r="N260" s="16"/>
      <c r="O260" s="15">
        <f t="shared" si="19"/>
        <v>0</v>
      </c>
      <c r="P260" s="15">
        <f t="shared" si="20"/>
        <v>0</v>
      </c>
      <c r="Q260" s="15">
        <f t="shared" si="21"/>
        <v>0</v>
      </c>
      <c r="R260" s="17">
        <v>1352</v>
      </c>
    </row>
    <row r="261" spans="1:18" ht="16.5" x14ac:dyDescent="0.25">
      <c r="A261" s="12">
        <v>1353</v>
      </c>
      <c r="B261" s="13" t="s">
        <v>252</v>
      </c>
      <c r="C261" s="13" t="s">
        <v>25</v>
      </c>
      <c r="D261" s="16">
        <v>131</v>
      </c>
      <c r="E261" s="15">
        <v>6400</v>
      </c>
      <c r="F261" s="15">
        <v>500</v>
      </c>
      <c r="G261" s="15">
        <v>400</v>
      </c>
      <c r="H261" s="15">
        <f t="shared" si="22"/>
        <v>7300</v>
      </c>
      <c r="I261" s="15">
        <f t="shared" si="23"/>
        <v>956300</v>
      </c>
      <c r="J261" s="16"/>
      <c r="K261" s="15">
        <v>200000</v>
      </c>
      <c r="L261" s="15">
        <f t="shared" ref="L261:L324" si="24">D261*20</f>
        <v>2620</v>
      </c>
      <c r="M261" s="16"/>
      <c r="N261" s="16"/>
      <c r="O261" s="15">
        <f t="shared" ref="O261:O324" si="25">250*D261</f>
        <v>32750</v>
      </c>
      <c r="P261" s="15">
        <f t="shared" ref="P261:P324" si="26">SUM(J261:O261)</f>
        <v>235370</v>
      </c>
      <c r="Q261" s="15">
        <f t="shared" ref="Q261:Q324" si="27">I261-P261</f>
        <v>720930</v>
      </c>
      <c r="R261" s="17">
        <v>1353</v>
      </c>
    </row>
    <row r="262" spans="1:18" ht="16.5" x14ac:dyDescent="0.25">
      <c r="A262" s="12">
        <v>1354</v>
      </c>
      <c r="B262" s="13" t="s">
        <v>253</v>
      </c>
      <c r="C262" s="13" t="s">
        <v>43</v>
      </c>
      <c r="D262" s="14"/>
      <c r="E262" s="15">
        <v>6400</v>
      </c>
      <c r="F262" s="15">
        <v>400</v>
      </c>
      <c r="G262" s="15">
        <v>400</v>
      </c>
      <c r="H262" s="15">
        <f t="shared" ref="H262:H325" si="28">SUM(E262:G262)</f>
        <v>7200</v>
      </c>
      <c r="I262" s="15">
        <f t="shared" ref="I262:I325" si="29">H262*D262</f>
        <v>0</v>
      </c>
      <c r="J262" s="16"/>
      <c r="K262" s="15"/>
      <c r="L262" s="15">
        <f t="shared" si="24"/>
        <v>0</v>
      </c>
      <c r="M262" s="16"/>
      <c r="N262" s="16"/>
      <c r="O262" s="15">
        <f t="shared" si="25"/>
        <v>0</v>
      </c>
      <c r="P262" s="15">
        <f t="shared" si="26"/>
        <v>0</v>
      </c>
      <c r="Q262" s="15">
        <f t="shared" si="27"/>
        <v>0</v>
      </c>
      <c r="R262" s="17">
        <v>1354</v>
      </c>
    </row>
    <row r="263" spans="1:18" ht="16.5" x14ac:dyDescent="0.25">
      <c r="A263" s="12">
        <v>1355</v>
      </c>
      <c r="B263" s="13" t="s">
        <v>211</v>
      </c>
      <c r="C263" s="13" t="s">
        <v>47</v>
      </c>
      <c r="D263" s="14"/>
      <c r="E263" s="15">
        <v>6400</v>
      </c>
      <c r="F263" s="15">
        <v>300</v>
      </c>
      <c r="G263" s="15">
        <v>400</v>
      </c>
      <c r="H263" s="15">
        <f t="shared" si="28"/>
        <v>7100</v>
      </c>
      <c r="I263" s="15">
        <f t="shared" si="29"/>
        <v>0</v>
      </c>
      <c r="J263" s="16"/>
      <c r="K263" s="15"/>
      <c r="L263" s="15">
        <f t="shared" si="24"/>
        <v>0</v>
      </c>
      <c r="M263" s="16"/>
      <c r="N263" s="16"/>
      <c r="O263" s="15">
        <f t="shared" si="25"/>
        <v>0</v>
      </c>
      <c r="P263" s="15">
        <f t="shared" si="26"/>
        <v>0</v>
      </c>
      <c r="Q263" s="15">
        <f t="shared" si="27"/>
        <v>0</v>
      </c>
      <c r="R263" s="17">
        <v>1355</v>
      </c>
    </row>
    <row r="264" spans="1:18" ht="16.5" x14ac:dyDescent="0.25">
      <c r="A264" s="12">
        <v>1357</v>
      </c>
      <c r="B264" s="13"/>
      <c r="C264" s="13"/>
      <c r="D264" s="28"/>
      <c r="E264" s="15">
        <v>6400</v>
      </c>
      <c r="F264" s="15">
        <v>300</v>
      </c>
      <c r="G264" s="15">
        <v>400</v>
      </c>
      <c r="H264" s="15">
        <f t="shared" si="28"/>
        <v>7100</v>
      </c>
      <c r="I264" s="15">
        <f t="shared" si="29"/>
        <v>0</v>
      </c>
      <c r="J264" s="28"/>
      <c r="K264" s="28"/>
      <c r="L264" s="15">
        <f t="shared" si="24"/>
        <v>0</v>
      </c>
      <c r="M264" s="28"/>
      <c r="N264" s="28"/>
      <c r="O264" s="15">
        <f t="shared" si="25"/>
        <v>0</v>
      </c>
      <c r="P264" s="15">
        <f t="shared" si="26"/>
        <v>0</v>
      </c>
      <c r="Q264" s="15">
        <f t="shared" si="27"/>
        <v>0</v>
      </c>
      <c r="R264" s="17">
        <v>1357</v>
      </c>
    </row>
    <row r="265" spans="1:18" ht="16.5" x14ac:dyDescent="0.25">
      <c r="A265" s="12">
        <v>1358</v>
      </c>
      <c r="B265" s="13" t="s">
        <v>254</v>
      </c>
      <c r="C265" s="13" t="s">
        <v>43</v>
      </c>
      <c r="D265" s="14"/>
      <c r="E265" s="15">
        <v>6400</v>
      </c>
      <c r="F265" s="15">
        <v>300</v>
      </c>
      <c r="G265" s="15">
        <v>400</v>
      </c>
      <c r="H265" s="15">
        <f t="shared" si="28"/>
        <v>7100</v>
      </c>
      <c r="I265" s="15">
        <f t="shared" si="29"/>
        <v>0</v>
      </c>
      <c r="J265" s="16"/>
      <c r="K265" s="15"/>
      <c r="L265" s="15">
        <f t="shared" si="24"/>
        <v>0</v>
      </c>
      <c r="M265" s="16"/>
      <c r="N265" s="16"/>
      <c r="O265" s="15">
        <f t="shared" si="25"/>
        <v>0</v>
      </c>
      <c r="P265" s="15">
        <f t="shared" si="26"/>
        <v>0</v>
      </c>
      <c r="Q265" s="15">
        <f t="shared" si="27"/>
        <v>0</v>
      </c>
      <c r="R265" s="17">
        <v>1358</v>
      </c>
    </row>
    <row r="266" spans="1:18" ht="16.5" x14ac:dyDescent="0.25">
      <c r="A266" s="12">
        <v>1359</v>
      </c>
      <c r="B266" s="13" t="s">
        <v>255</v>
      </c>
      <c r="C266" s="13" t="s">
        <v>43</v>
      </c>
      <c r="D266" s="14"/>
      <c r="E266" s="15">
        <v>6400</v>
      </c>
      <c r="F266" s="15">
        <v>300</v>
      </c>
      <c r="G266" s="15">
        <v>400</v>
      </c>
      <c r="H266" s="15">
        <f t="shared" si="28"/>
        <v>7100</v>
      </c>
      <c r="I266" s="15">
        <f t="shared" si="29"/>
        <v>0</v>
      </c>
      <c r="J266" s="16"/>
      <c r="K266" s="15"/>
      <c r="L266" s="15">
        <f t="shared" si="24"/>
        <v>0</v>
      </c>
      <c r="M266" s="20"/>
      <c r="N266" s="20"/>
      <c r="O266" s="15">
        <f t="shared" si="25"/>
        <v>0</v>
      </c>
      <c r="P266" s="15">
        <f t="shared" si="26"/>
        <v>0</v>
      </c>
      <c r="Q266" s="15">
        <f t="shared" si="27"/>
        <v>0</v>
      </c>
      <c r="R266" s="17">
        <v>1359</v>
      </c>
    </row>
    <row r="267" spans="1:18" ht="16.5" x14ac:dyDescent="0.25">
      <c r="A267" s="12">
        <v>1362</v>
      </c>
      <c r="B267" s="13" t="s">
        <v>256</v>
      </c>
      <c r="C267" s="13" t="s">
        <v>30</v>
      </c>
      <c r="D267" s="19">
        <v>67</v>
      </c>
      <c r="E267" s="15">
        <v>6400</v>
      </c>
      <c r="F267" s="15">
        <v>500</v>
      </c>
      <c r="G267" s="15">
        <v>400</v>
      </c>
      <c r="H267" s="15">
        <f t="shared" si="28"/>
        <v>7300</v>
      </c>
      <c r="I267" s="15">
        <f t="shared" si="29"/>
        <v>489100</v>
      </c>
      <c r="J267" s="20"/>
      <c r="K267" s="15"/>
      <c r="L267" s="15">
        <f t="shared" si="24"/>
        <v>1340</v>
      </c>
      <c r="M267" s="16"/>
      <c r="N267" s="16"/>
      <c r="O267" s="15">
        <f t="shared" si="25"/>
        <v>16750</v>
      </c>
      <c r="P267" s="15">
        <f t="shared" si="26"/>
        <v>18090</v>
      </c>
      <c r="Q267" s="15">
        <f t="shared" si="27"/>
        <v>471010</v>
      </c>
      <c r="R267" s="17">
        <v>1362</v>
      </c>
    </row>
    <row r="268" spans="1:18" ht="16.5" x14ac:dyDescent="0.25">
      <c r="A268" s="12">
        <v>1364</v>
      </c>
      <c r="B268" s="13" t="s">
        <v>257</v>
      </c>
      <c r="C268" s="13" t="s">
        <v>258</v>
      </c>
      <c r="D268" s="19"/>
      <c r="E268" s="15">
        <v>6400</v>
      </c>
      <c r="F268" s="15">
        <v>300</v>
      </c>
      <c r="G268" s="15">
        <v>400</v>
      </c>
      <c r="H268" s="15">
        <f t="shared" si="28"/>
        <v>7100</v>
      </c>
      <c r="I268" s="15">
        <f t="shared" si="29"/>
        <v>0</v>
      </c>
      <c r="J268" s="20"/>
      <c r="K268" s="15"/>
      <c r="L268" s="15">
        <f t="shared" si="24"/>
        <v>0</v>
      </c>
      <c r="M268" s="20"/>
      <c r="N268" s="20"/>
      <c r="O268" s="15">
        <f t="shared" si="25"/>
        <v>0</v>
      </c>
      <c r="P268" s="15">
        <f t="shared" si="26"/>
        <v>0</v>
      </c>
      <c r="Q268" s="15">
        <f t="shared" si="27"/>
        <v>0</v>
      </c>
      <c r="R268" s="17">
        <v>1364</v>
      </c>
    </row>
    <row r="269" spans="1:18" ht="16.5" x14ac:dyDescent="0.25">
      <c r="A269" s="12">
        <v>1365</v>
      </c>
      <c r="B269" s="13" t="s">
        <v>433</v>
      </c>
      <c r="C269" s="13" t="s">
        <v>43</v>
      </c>
      <c r="D269" s="16"/>
      <c r="E269" s="15">
        <v>6400</v>
      </c>
      <c r="F269" s="15">
        <v>300</v>
      </c>
      <c r="G269" s="15">
        <v>400</v>
      </c>
      <c r="H269" s="15">
        <f t="shared" si="28"/>
        <v>7100</v>
      </c>
      <c r="I269" s="15">
        <f t="shared" si="29"/>
        <v>0</v>
      </c>
      <c r="J269" s="16"/>
      <c r="K269" s="15"/>
      <c r="L269" s="15">
        <f t="shared" si="24"/>
        <v>0</v>
      </c>
      <c r="M269" s="16"/>
      <c r="N269" s="16"/>
      <c r="O269" s="15">
        <f t="shared" si="25"/>
        <v>0</v>
      </c>
      <c r="P269" s="15">
        <f t="shared" si="26"/>
        <v>0</v>
      </c>
      <c r="Q269" s="15">
        <f t="shared" si="27"/>
        <v>0</v>
      </c>
      <c r="R269" s="17">
        <v>1365</v>
      </c>
    </row>
    <row r="270" spans="1:18" ht="16.5" x14ac:dyDescent="0.25">
      <c r="A270" s="12">
        <v>1366</v>
      </c>
      <c r="B270" s="13" t="s">
        <v>259</v>
      </c>
      <c r="C270" s="13" t="s">
        <v>30</v>
      </c>
      <c r="D270" s="19">
        <v>131</v>
      </c>
      <c r="E270" s="15">
        <v>6400</v>
      </c>
      <c r="F270" s="15">
        <v>500</v>
      </c>
      <c r="G270" s="15">
        <v>400</v>
      </c>
      <c r="H270" s="15">
        <f t="shared" si="28"/>
        <v>7300</v>
      </c>
      <c r="I270" s="15">
        <f t="shared" si="29"/>
        <v>956300</v>
      </c>
      <c r="J270" s="20"/>
      <c r="K270" s="15"/>
      <c r="L270" s="15">
        <f t="shared" si="24"/>
        <v>2620</v>
      </c>
      <c r="M270" s="16"/>
      <c r="N270" s="16"/>
      <c r="O270" s="15">
        <f t="shared" si="25"/>
        <v>32750</v>
      </c>
      <c r="P270" s="15">
        <f t="shared" si="26"/>
        <v>35370</v>
      </c>
      <c r="Q270" s="15">
        <f t="shared" si="27"/>
        <v>920930</v>
      </c>
      <c r="R270" s="17">
        <v>1366</v>
      </c>
    </row>
    <row r="271" spans="1:18" ht="16.5" x14ac:dyDescent="0.25">
      <c r="A271" s="12">
        <v>1367</v>
      </c>
      <c r="B271" s="13" t="s">
        <v>48</v>
      </c>
      <c r="C271" s="13" t="s">
        <v>25</v>
      </c>
      <c r="D271" s="16"/>
      <c r="E271" s="15">
        <v>6400</v>
      </c>
      <c r="F271" s="15">
        <v>300</v>
      </c>
      <c r="G271" s="15">
        <v>400</v>
      </c>
      <c r="H271" s="15">
        <f t="shared" si="28"/>
        <v>7100</v>
      </c>
      <c r="I271" s="15">
        <f t="shared" si="29"/>
        <v>0</v>
      </c>
      <c r="J271" s="16"/>
      <c r="K271" s="15"/>
      <c r="L271" s="15">
        <f t="shared" si="24"/>
        <v>0</v>
      </c>
      <c r="M271" s="16"/>
      <c r="N271" s="16"/>
      <c r="O271" s="15">
        <f t="shared" si="25"/>
        <v>0</v>
      </c>
      <c r="P271" s="15">
        <f t="shared" si="26"/>
        <v>0</v>
      </c>
      <c r="Q271" s="15">
        <f t="shared" si="27"/>
        <v>0</v>
      </c>
      <c r="R271" s="17">
        <v>1367</v>
      </c>
    </row>
    <row r="272" spans="1:18" ht="16.5" x14ac:dyDescent="0.25">
      <c r="A272" s="12">
        <v>1368</v>
      </c>
      <c r="B272" s="13" t="s">
        <v>260</v>
      </c>
      <c r="C272" s="13" t="s">
        <v>25</v>
      </c>
      <c r="D272" s="16"/>
      <c r="E272" s="15">
        <v>6400</v>
      </c>
      <c r="F272" s="15">
        <v>300</v>
      </c>
      <c r="G272" s="15">
        <v>400</v>
      </c>
      <c r="H272" s="15">
        <f t="shared" si="28"/>
        <v>7100</v>
      </c>
      <c r="I272" s="15">
        <f t="shared" si="29"/>
        <v>0</v>
      </c>
      <c r="J272" s="16"/>
      <c r="K272" s="15"/>
      <c r="L272" s="15">
        <f t="shared" si="24"/>
        <v>0</v>
      </c>
      <c r="M272" s="20"/>
      <c r="N272" s="20"/>
      <c r="O272" s="15">
        <f t="shared" si="25"/>
        <v>0</v>
      </c>
      <c r="P272" s="15">
        <f t="shared" si="26"/>
        <v>0</v>
      </c>
      <c r="Q272" s="15">
        <f t="shared" si="27"/>
        <v>0</v>
      </c>
      <c r="R272" s="17">
        <v>1368</v>
      </c>
    </row>
    <row r="273" spans="1:18" ht="16.5" x14ac:dyDescent="0.25">
      <c r="A273" s="12">
        <v>1369</v>
      </c>
      <c r="B273" s="13" t="s">
        <v>261</v>
      </c>
      <c r="C273" s="13" t="s">
        <v>43</v>
      </c>
      <c r="D273" s="14"/>
      <c r="E273" s="15">
        <v>6400</v>
      </c>
      <c r="F273" s="15">
        <v>300</v>
      </c>
      <c r="G273" s="15">
        <v>400</v>
      </c>
      <c r="H273" s="15">
        <f t="shared" si="28"/>
        <v>7100</v>
      </c>
      <c r="I273" s="15">
        <f t="shared" si="29"/>
        <v>0</v>
      </c>
      <c r="J273" s="16"/>
      <c r="K273" s="15"/>
      <c r="L273" s="15">
        <f t="shared" si="24"/>
        <v>0</v>
      </c>
      <c r="M273" s="16"/>
      <c r="N273" s="16"/>
      <c r="O273" s="15">
        <f t="shared" si="25"/>
        <v>0</v>
      </c>
      <c r="P273" s="15">
        <f t="shared" si="26"/>
        <v>0</v>
      </c>
      <c r="Q273" s="15">
        <f t="shared" si="27"/>
        <v>0</v>
      </c>
      <c r="R273" s="17">
        <v>1369</v>
      </c>
    </row>
    <row r="274" spans="1:18" ht="16.5" x14ac:dyDescent="0.25">
      <c r="A274" s="12">
        <v>1370</v>
      </c>
      <c r="B274" s="13" t="s">
        <v>262</v>
      </c>
      <c r="C274" s="13" t="s">
        <v>43</v>
      </c>
      <c r="D274" s="19"/>
      <c r="E274" s="15">
        <v>6400</v>
      </c>
      <c r="F274" s="15">
        <v>300</v>
      </c>
      <c r="G274" s="15">
        <v>400</v>
      </c>
      <c r="H274" s="15">
        <f t="shared" si="28"/>
        <v>7100</v>
      </c>
      <c r="I274" s="15">
        <f t="shared" si="29"/>
        <v>0</v>
      </c>
      <c r="J274" s="20"/>
      <c r="K274" s="15"/>
      <c r="L274" s="15">
        <f t="shared" si="24"/>
        <v>0</v>
      </c>
      <c r="M274" s="20"/>
      <c r="N274" s="20"/>
      <c r="O274" s="15">
        <f t="shared" si="25"/>
        <v>0</v>
      </c>
      <c r="P274" s="15">
        <f t="shared" si="26"/>
        <v>0</v>
      </c>
      <c r="Q274" s="15">
        <f t="shared" si="27"/>
        <v>0</v>
      </c>
      <c r="R274" s="17">
        <v>1370</v>
      </c>
    </row>
    <row r="275" spans="1:18" ht="16.5" x14ac:dyDescent="0.25">
      <c r="A275" s="12">
        <v>1373</v>
      </c>
      <c r="B275" s="13" t="s">
        <v>98</v>
      </c>
      <c r="C275" s="13" t="s">
        <v>30</v>
      </c>
      <c r="D275" s="14">
        <v>228</v>
      </c>
      <c r="E275" s="15">
        <v>6400</v>
      </c>
      <c r="F275" s="15">
        <v>600</v>
      </c>
      <c r="G275" s="15">
        <v>400</v>
      </c>
      <c r="H275" s="15">
        <f t="shared" si="28"/>
        <v>7400</v>
      </c>
      <c r="I275" s="15">
        <f t="shared" si="29"/>
        <v>1687200</v>
      </c>
      <c r="J275" s="16"/>
      <c r="K275" s="15"/>
      <c r="L275" s="15">
        <f t="shared" si="24"/>
        <v>4560</v>
      </c>
      <c r="M275" s="16"/>
      <c r="N275" s="16"/>
      <c r="O275" s="15">
        <f t="shared" si="25"/>
        <v>57000</v>
      </c>
      <c r="P275" s="15">
        <f t="shared" si="26"/>
        <v>61560</v>
      </c>
      <c r="Q275" s="15">
        <f t="shared" si="27"/>
        <v>1625640</v>
      </c>
      <c r="R275" s="17">
        <v>1373</v>
      </c>
    </row>
    <row r="276" spans="1:18" ht="16.5" x14ac:dyDescent="0.25">
      <c r="A276" s="12">
        <v>1374</v>
      </c>
      <c r="B276" s="13" t="s">
        <v>239</v>
      </c>
      <c r="C276" s="13" t="s">
        <v>43</v>
      </c>
      <c r="D276" s="20"/>
      <c r="E276" s="15">
        <v>6400</v>
      </c>
      <c r="F276" s="15">
        <v>300</v>
      </c>
      <c r="G276" s="15">
        <v>400</v>
      </c>
      <c r="H276" s="15">
        <f t="shared" si="28"/>
        <v>7100</v>
      </c>
      <c r="I276" s="15">
        <f t="shared" si="29"/>
        <v>0</v>
      </c>
      <c r="J276" s="20"/>
      <c r="K276" s="15"/>
      <c r="L276" s="15">
        <f t="shared" si="24"/>
        <v>0</v>
      </c>
      <c r="M276" s="20"/>
      <c r="N276" s="20"/>
      <c r="O276" s="15">
        <f t="shared" si="25"/>
        <v>0</v>
      </c>
      <c r="P276" s="15">
        <f t="shared" si="26"/>
        <v>0</v>
      </c>
      <c r="Q276" s="15">
        <f t="shared" si="27"/>
        <v>0</v>
      </c>
      <c r="R276" s="17">
        <v>1374</v>
      </c>
    </row>
    <row r="277" spans="1:18" ht="16.5" x14ac:dyDescent="0.25">
      <c r="A277" s="12">
        <v>1376</v>
      </c>
      <c r="B277" s="13" t="s">
        <v>263</v>
      </c>
      <c r="C277" s="13" t="s">
        <v>30</v>
      </c>
      <c r="D277" s="16"/>
      <c r="E277" s="15">
        <v>6400</v>
      </c>
      <c r="F277" s="15">
        <v>500</v>
      </c>
      <c r="G277" s="15">
        <v>400</v>
      </c>
      <c r="H277" s="15">
        <f t="shared" si="28"/>
        <v>7300</v>
      </c>
      <c r="I277" s="15">
        <f t="shared" si="29"/>
        <v>0</v>
      </c>
      <c r="J277" s="16"/>
      <c r="K277" s="15"/>
      <c r="L277" s="15">
        <f t="shared" si="24"/>
        <v>0</v>
      </c>
      <c r="M277" s="16"/>
      <c r="N277" s="16"/>
      <c r="O277" s="15">
        <f t="shared" si="25"/>
        <v>0</v>
      </c>
      <c r="P277" s="15">
        <f t="shared" si="26"/>
        <v>0</v>
      </c>
      <c r="Q277" s="15">
        <f t="shared" si="27"/>
        <v>0</v>
      </c>
      <c r="R277" s="17">
        <v>1376</v>
      </c>
    </row>
    <row r="278" spans="1:18" ht="16.5" x14ac:dyDescent="0.25">
      <c r="A278" s="12">
        <v>1378</v>
      </c>
      <c r="B278" s="13" t="s">
        <v>264</v>
      </c>
      <c r="C278" s="13" t="s">
        <v>54</v>
      </c>
      <c r="D278" s="16"/>
      <c r="E278" s="15">
        <v>6400</v>
      </c>
      <c r="F278" s="15">
        <v>300</v>
      </c>
      <c r="G278" s="15">
        <v>400</v>
      </c>
      <c r="H278" s="15">
        <f t="shared" si="28"/>
        <v>7100</v>
      </c>
      <c r="I278" s="15">
        <f t="shared" si="29"/>
        <v>0</v>
      </c>
      <c r="J278" s="20"/>
      <c r="K278" s="15"/>
      <c r="L278" s="15">
        <f t="shared" si="24"/>
        <v>0</v>
      </c>
      <c r="M278" s="20"/>
      <c r="N278" s="20"/>
      <c r="O278" s="15">
        <f t="shared" si="25"/>
        <v>0</v>
      </c>
      <c r="P278" s="15">
        <f t="shared" si="26"/>
        <v>0</v>
      </c>
      <c r="Q278" s="15">
        <f t="shared" si="27"/>
        <v>0</v>
      </c>
      <c r="R278" s="17">
        <v>1378</v>
      </c>
    </row>
    <row r="279" spans="1:18" ht="16.5" x14ac:dyDescent="0.25">
      <c r="A279" s="12">
        <v>1379</v>
      </c>
      <c r="B279" s="13" t="s">
        <v>265</v>
      </c>
      <c r="C279" s="13" t="s">
        <v>25</v>
      </c>
      <c r="D279" s="20"/>
      <c r="E279" s="15">
        <v>6400</v>
      </c>
      <c r="F279" s="15">
        <v>300</v>
      </c>
      <c r="G279" s="15">
        <v>400</v>
      </c>
      <c r="H279" s="15">
        <f t="shared" si="28"/>
        <v>7100</v>
      </c>
      <c r="I279" s="15">
        <f t="shared" si="29"/>
        <v>0</v>
      </c>
      <c r="J279" s="16"/>
      <c r="K279" s="15"/>
      <c r="L279" s="15">
        <f t="shared" si="24"/>
        <v>0</v>
      </c>
      <c r="M279" s="16"/>
      <c r="N279" s="16"/>
      <c r="O279" s="15">
        <f t="shared" si="25"/>
        <v>0</v>
      </c>
      <c r="P279" s="15">
        <f t="shared" si="26"/>
        <v>0</v>
      </c>
      <c r="Q279" s="15">
        <f t="shared" si="27"/>
        <v>0</v>
      </c>
      <c r="R279" s="17">
        <v>1379</v>
      </c>
    </row>
    <row r="280" spans="1:18" ht="16.5" x14ac:dyDescent="0.25">
      <c r="A280" s="12">
        <v>1380</v>
      </c>
      <c r="B280" s="13" t="s">
        <v>266</v>
      </c>
      <c r="C280" s="13" t="s">
        <v>25</v>
      </c>
      <c r="D280" s="16"/>
      <c r="E280" s="15">
        <v>6400</v>
      </c>
      <c r="F280" s="15">
        <v>300</v>
      </c>
      <c r="G280" s="15">
        <v>400</v>
      </c>
      <c r="H280" s="15">
        <f t="shared" si="28"/>
        <v>7100</v>
      </c>
      <c r="I280" s="15">
        <f t="shared" si="29"/>
        <v>0</v>
      </c>
      <c r="J280" s="20"/>
      <c r="K280" s="15"/>
      <c r="L280" s="15">
        <f t="shared" si="24"/>
        <v>0</v>
      </c>
      <c r="M280" s="16"/>
      <c r="N280" s="16"/>
      <c r="O280" s="15">
        <f t="shared" si="25"/>
        <v>0</v>
      </c>
      <c r="P280" s="15">
        <f t="shared" si="26"/>
        <v>0</v>
      </c>
      <c r="Q280" s="15">
        <f t="shared" si="27"/>
        <v>0</v>
      </c>
      <c r="R280" s="17">
        <v>1380</v>
      </c>
    </row>
    <row r="281" spans="1:18" ht="16.5" x14ac:dyDescent="0.25">
      <c r="A281" s="12">
        <v>1381</v>
      </c>
      <c r="B281" s="13" t="s">
        <v>191</v>
      </c>
      <c r="C281" s="13" t="s">
        <v>43</v>
      </c>
      <c r="D281" s="20"/>
      <c r="E281" s="15">
        <v>6400</v>
      </c>
      <c r="F281" s="15">
        <v>500</v>
      </c>
      <c r="G281" s="15">
        <v>400</v>
      </c>
      <c r="H281" s="15">
        <f t="shared" si="28"/>
        <v>7300</v>
      </c>
      <c r="I281" s="15">
        <f t="shared" si="29"/>
        <v>0</v>
      </c>
      <c r="J281" s="16"/>
      <c r="K281" s="15"/>
      <c r="L281" s="15">
        <f t="shared" si="24"/>
        <v>0</v>
      </c>
      <c r="M281" s="16"/>
      <c r="N281" s="16"/>
      <c r="O281" s="15">
        <f t="shared" si="25"/>
        <v>0</v>
      </c>
      <c r="P281" s="15">
        <f t="shared" si="26"/>
        <v>0</v>
      </c>
      <c r="Q281" s="15">
        <f t="shared" si="27"/>
        <v>0</v>
      </c>
      <c r="R281" s="17">
        <v>1381</v>
      </c>
    </row>
    <row r="282" spans="1:18" ht="16.5" x14ac:dyDescent="0.25">
      <c r="A282" s="12">
        <v>1382</v>
      </c>
      <c r="B282" s="13" t="s">
        <v>267</v>
      </c>
      <c r="C282" s="13" t="s">
        <v>82</v>
      </c>
      <c r="D282" s="14">
        <v>658</v>
      </c>
      <c r="E282" s="15">
        <v>6400</v>
      </c>
      <c r="F282" s="15">
        <v>500</v>
      </c>
      <c r="G282" s="15">
        <v>400</v>
      </c>
      <c r="H282" s="15">
        <f t="shared" si="28"/>
        <v>7300</v>
      </c>
      <c r="I282" s="15">
        <f t="shared" si="29"/>
        <v>4803400</v>
      </c>
      <c r="J282" s="16"/>
      <c r="K282" s="15"/>
      <c r="L282" s="15">
        <f t="shared" si="24"/>
        <v>13160</v>
      </c>
      <c r="M282" s="16"/>
      <c r="N282" s="16"/>
      <c r="O282" s="15">
        <f t="shared" si="25"/>
        <v>164500</v>
      </c>
      <c r="P282" s="15">
        <f t="shared" si="26"/>
        <v>177660</v>
      </c>
      <c r="Q282" s="15">
        <f t="shared" si="27"/>
        <v>4625740</v>
      </c>
      <c r="R282" s="17">
        <v>1382</v>
      </c>
    </row>
    <row r="283" spans="1:18" ht="16.5" x14ac:dyDescent="0.25">
      <c r="A283" s="12">
        <v>1384</v>
      </c>
      <c r="B283" s="13" t="s">
        <v>268</v>
      </c>
      <c r="C283" s="13" t="s">
        <v>25</v>
      </c>
      <c r="D283" s="16"/>
      <c r="E283" s="15">
        <v>6400</v>
      </c>
      <c r="F283" s="15">
        <v>300</v>
      </c>
      <c r="G283" s="15">
        <v>400</v>
      </c>
      <c r="H283" s="15">
        <f t="shared" si="28"/>
        <v>7100</v>
      </c>
      <c r="I283" s="15">
        <f t="shared" si="29"/>
        <v>0</v>
      </c>
      <c r="J283" s="16"/>
      <c r="K283" s="15"/>
      <c r="L283" s="15">
        <f t="shared" si="24"/>
        <v>0</v>
      </c>
      <c r="M283" s="16"/>
      <c r="N283" s="16"/>
      <c r="O283" s="15">
        <f t="shared" si="25"/>
        <v>0</v>
      </c>
      <c r="P283" s="15">
        <f t="shared" si="26"/>
        <v>0</v>
      </c>
      <c r="Q283" s="15">
        <f t="shared" si="27"/>
        <v>0</v>
      </c>
      <c r="R283" s="17">
        <v>1384</v>
      </c>
    </row>
    <row r="284" spans="1:18" ht="16.5" x14ac:dyDescent="0.25">
      <c r="A284" s="12">
        <v>1386</v>
      </c>
      <c r="B284" s="13" t="s">
        <v>269</v>
      </c>
      <c r="C284" s="13" t="s">
        <v>25</v>
      </c>
      <c r="D284" s="29"/>
      <c r="E284" s="15">
        <v>6400</v>
      </c>
      <c r="F284" s="15">
        <v>300</v>
      </c>
      <c r="G284" s="15">
        <v>400</v>
      </c>
      <c r="H284" s="15">
        <f t="shared" si="28"/>
        <v>7100</v>
      </c>
      <c r="I284" s="15">
        <f t="shared" si="29"/>
        <v>0</v>
      </c>
      <c r="J284" s="16"/>
      <c r="K284" s="15"/>
      <c r="L284" s="15">
        <f t="shared" si="24"/>
        <v>0</v>
      </c>
      <c r="M284" s="16"/>
      <c r="N284" s="16"/>
      <c r="O284" s="15">
        <f t="shared" si="25"/>
        <v>0</v>
      </c>
      <c r="P284" s="15">
        <f t="shared" si="26"/>
        <v>0</v>
      </c>
      <c r="Q284" s="15">
        <f t="shared" si="27"/>
        <v>0</v>
      </c>
      <c r="R284" s="17">
        <v>1386</v>
      </c>
    </row>
    <row r="285" spans="1:18" ht="16.5" x14ac:dyDescent="0.25">
      <c r="A285" s="12">
        <v>1388</v>
      </c>
      <c r="B285" s="13" t="s">
        <v>270</v>
      </c>
      <c r="C285" s="13" t="s">
        <v>25</v>
      </c>
      <c r="D285" s="16"/>
      <c r="E285" s="15">
        <v>6400</v>
      </c>
      <c r="F285" s="15">
        <v>300</v>
      </c>
      <c r="G285" s="15">
        <v>400</v>
      </c>
      <c r="H285" s="15">
        <f t="shared" si="28"/>
        <v>7100</v>
      </c>
      <c r="I285" s="15">
        <f t="shared" si="29"/>
        <v>0</v>
      </c>
      <c r="J285" s="16"/>
      <c r="K285" s="15"/>
      <c r="L285" s="15">
        <f t="shared" si="24"/>
        <v>0</v>
      </c>
      <c r="M285" s="20"/>
      <c r="N285" s="20"/>
      <c r="O285" s="15">
        <f t="shared" si="25"/>
        <v>0</v>
      </c>
      <c r="P285" s="15">
        <f t="shared" si="26"/>
        <v>0</v>
      </c>
      <c r="Q285" s="15">
        <f t="shared" si="27"/>
        <v>0</v>
      </c>
      <c r="R285" s="17">
        <v>1388</v>
      </c>
    </row>
    <row r="286" spans="1:18" ht="16.5" x14ac:dyDescent="0.25">
      <c r="A286" s="12">
        <v>1389</v>
      </c>
      <c r="B286" s="13" t="s">
        <v>271</v>
      </c>
      <c r="C286" s="13" t="s">
        <v>82</v>
      </c>
      <c r="D286" s="14">
        <v>297</v>
      </c>
      <c r="E286" s="15">
        <v>6400</v>
      </c>
      <c r="F286" s="15">
        <v>500</v>
      </c>
      <c r="G286" s="15">
        <v>400</v>
      </c>
      <c r="H286" s="15">
        <f t="shared" si="28"/>
        <v>7300</v>
      </c>
      <c r="I286" s="15">
        <f t="shared" si="29"/>
        <v>2168100</v>
      </c>
      <c r="J286" s="16"/>
      <c r="K286" s="15">
        <v>200000</v>
      </c>
      <c r="L286" s="15">
        <f t="shared" si="24"/>
        <v>5940</v>
      </c>
      <c r="M286" s="20"/>
      <c r="N286" s="20"/>
      <c r="O286" s="15">
        <f t="shared" si="25"/>
        <v>74250</v>
      </c>
      <c r="P286" s="15">
        <f t="shared" si="26"/>
        <v>280190</v>
      </c>
      <c r="Q286" s="15">
        <f t="shared" si="27"/>
        <v>1887910</v>
      </c>
      <c r="R286" s="17">
        <v>1389</v>
      </c>
    </row>
    <row r="287" spans="1:18" ht="16.5" x14ac:dyDescent="0.25">
      <c r="A287" s="12">
        <v>1390</v>
      </c>
      <c r="B287" s="13" t="s">
        <v>110</v>
      </c>
      <c r="C287" s="13" t="s">
        <v>82</v>
      </c>
      <c r="D287" s="14">
        <v>403</v>
      </c>
      <c r="E287" s="15">
        <v>6400</v>
      </c>
      <c r="F287" s="15">
        <v>600</v>
      </c>
      <c r="G287" s="15">
        <v>400</v>
      </c>
      <c r="H287" s="15">
        <f t="shared" si="28"/>
        <v>7400</v>
      </c>
      <c r="I287" s="15">
        <f t="shared" si="29"/>
        <v>2982200</v>
      </c>
      <c r="J287" s="20"/>
      <c r="K287" s="15"/>
      <c r="L287" s="15">
        <f t="shared" si="24"/>
        <v>8060</v>
      </c>
      <c r="M287" s="16"/>
      <c r="N287" s="16"/>
      <c r="O287" s="15">
        <f t="shared" si="25"/>
        <v>100750</v>
      </c>
      <c r="P287" s="15">
        <f t="shared" si="26"/>
        <v>108810</v>
      </c>
      <c r="Q287" s="15">
        <f t="shared" si="27"/>
        <v>2873390</v>
      </c>
      <c r="R287" s="17">
        <v>1390</v>
      </c>
    </row>
    <row r="288" spans="1:18" ht="16.5" x14ac:dyDescent="0.25">
      <c r="A288" s="12">
        <v>1391</v>
      </c>
      <c r="B288" s="13" t="s">
        <v>239</v>
      </c>
      <c r="C288" s="13" t="s">
        <v>25</v>
      </c>
      <c r="D288" s="20"/>
      <c r="E288" s="15">
        <v>6400</v>
      </c>
      <c r="F288" s="15">
        <v>300</v>
      </c>
      <c r="G288" s="15">
        <v>400</v>
      </c>
      <c r="H288" s="15">
        <f t="shared" si="28"/>
        <v>7100</v>
      </c>
      <c r="I288" s="15">
        <f t="shared" si="29"/>
        <v>0</v>
      </c>
      <c r="J288" s="20"/>
      <c r="K288" s="15"/>
      <c r="L288" s="15">
        <f t="shared" si="24"/>
        <v>0</v>
      </c>
      <c r="M288" s="16"/>
      <c r="N288" s="16"/>
      <c r="O288" s="15">
        <f t="shared" si="25"/>
        <v>0</v>
      </c>
      <c r="P288" s="15">
        <f t="shared" si="26"/>
        <v>0</v>
      </c>
      <c r="Q288" s="15">
        <f t="shared" si="27"/>
        <v>0</v>
      </c>
      <c r="R288" s="17">
        <v>1391</v>
      </c>
    </row>
    <row r="289" spans="1:18" ht="16.5" x14ac:dyDescent="0.25">
      <c r="A289" s="12">
        <v>1392</v>
      </c>
      <c r="B289" s="13" t="s">
        <v>272</v>
      </c>
      <c r="C289" s="13" t="s">
        <v>25</v>
      </c>
      <c r="D289" s="20"/>
      <c r="E289" s="15">
        <v>6400</v>
      </c>
      <c r="F289" s="15">
        <v>400</v>
      </c>
      <c r="G289" s="15">
        <v>400</v>
      </c>
      <c r="H289" s="15">
        <f t="shared" si="28"/>
        <v>7200</v>
      </c>
      <c r="I289" s="15">
        <f t="shared" si="29"/>
        <v>0</v>
      </c>
      <c r="J289" s="16"/>
      <c r="K289" s="15"/>
      <c r="L289" s="15">
        <f t="shared" si="24"/>
        <v>0</v>
      </c>
      <c r="M289" s="20"/>
      <c r="N289" s="20"/>
      <c r="O289" s="15">
        <f t="shared" si="25"/>
        <v>0</v>
      </c>
      <c r="P289" s="15">
        <f t="shared" si="26"/>
        <v>0</v>
      </c>
      <c r="Q289" s="15">
        <f t="shared" si="27"/>
        <v>0</v>
      </c>
      <c r="R289" s="17">
        <v>1392</v>
      </c>
    </row>
    <row r="290" spans="1:18" ht="16.5" x14ac:dyDescent="0.25">
      <c r="A290" s="12">
        <v>1396</v>
      </c>
      <c r="B290" s="13" t="s">
        <v>273</v>
      </c>
      <c r="C290" s="13" t="s">
        <v>25</v>
      </c>
      <c r="D290" s="16">
        <v>211</v>
      </c>
      <c r="E290" s="15">
        <v>6400</v>
      </c>
      <c r="F290" s="15">
        <v>400</v>
      </c>
      <c r="G290" s="15">
        <v>400</v>
      </c>
      <c r="H290" s="15">
        <f t="shared" si="28"/>
        <v>7200</v>
      </c>
      <c r="I290" s="15">
        <f t="shared" si="29"/>
        <v>1519200</v>
      </c>
      <c r="J290" s="16"/>
      <c r="K290" s="15">
        <v>400000</v>
      </c>
      <c r="L290" s="15">
        <f t="shared" si="24"/>
        <v>4220</v>
      </c>
      <c r="M290" s="16"/>
      <c r="N290" s="16"/>
      <c r="O290" s="15">
        <f t="shared" si="25"/>
        <v>52750</v>
      </c>
      <c r="P290" s="15">
        <f t="shared" si="26"/>
        <v>456970</v>
      </c>
      <c r="Q290" s="15">
        <f t="shared" si="27"/>
        <v>1062230</v>
      </c>
      <c r="R290" s="17">
        <v>1396</v>
      </c>
    </row>
    <row r="291" spans="1:18" ht="16.5" x14ac:dyDescent="0.25">
      <c r="A291" s="12">
        <v>1398</v>
      </c>
      <c r="B291" s="13" t="s">
        <v>211</v>
      </c>
      <c r="C291" s="13" t="s">
        <v>43</v>
      </c>
      <c r="D291" s="16">
        <v>224</v>
      </c>
      <c r="E291" s="15">
        <v>6400</v>
      </c>
      <c r="F291" s="15">
        <v>500</v>
      </c>
      <c r="G291" s="15">
        <v>400</v>
      </c>
      <c r="H291" s="15">
        <f t="shared" si="28"/>
        <v>7300</v>
      </c>
      <c r="I291" s="15">
        <f t="shared" si="29"/>
        <v>1635200</v>
      </c>
      <c r="J291" s="20"/>
      <c r="K291" s="15">
        <v>600000</v>
      </c>
      <c r="L291" s="15">
        <f t="shared" si="24"/>
        <v>4480</v>
      </c>
      <c r="M291" s="16"/>
      <c r="N291" s="16"/>
      <c r="O291" s="15">
        <f t="shared" si="25"/>
        <v>56000</v>
      </c>
      <c r="P291" s="15">
        <f t="shared" si="26"/>
        <v>660480</v>
      </c>
      <c r="Q291" s="15">
        <f t="shared" si="27"/>
        <v>974720</v>
      </c>
      <c r="R291" s="17">
        <v>1398</v>
      </c>
    </row>
    <row r="292" spans="1:18" ht="16.5" x14ac:dyDescent="0.25">
      <c r="A292" s="12">
        <v>1400</v>
      </c>
      <c r="B292" s="13" t="s">
        <v>422</v>
      </c>
      <c r="C292" s="13" t="s">
        <v>423</v>
      </c>
      <c r="D292" s="16"/>
      <c r="E292" s="15">
        <v>6400</v>
      </c>
      <c r="F292" s="15">
        <v>300</v>
      </c>
      <c r="G292" s="15">
        <v>400</v>
      </c>
      <c r="H292" s="15">
        <f t="shared" si="28"/>
        <v>7100</v>
      </c>
      <c r="I292" s="15">
        <f t="shared" si="29"/>
        <v>0</v>
      </c>
      <c r="J292" s="30"/>
      <c r="K292" s="15"/>
      <c r="L292" s="15">
        <f t="shared" si="24"/>
        <v>0</v>
      </c>
      <c r="M292" s="16"/>
      <c r="N292" s="16"/>
      <c r="O292" s="15">
        <f t="shared" si="25"/>
        <v>0</v>
      </c>
      <c r="P292" s="15">
        <f t="shared" si="26"/>
        <v>0</v>
      </c>
      <c r="Q292" s="15">
        <f t="shared" si="27"/>
        <v>0</v>
      </c>
      <c r="R292" s="17">
        <v>1400</v>
      </c>
    </row>
    <row r="293" spans="1:18" ht="16.5" x14ac:dyDescent="0.25">
      <c r="A293" s="12">
        <v>1403</v>
      </c>
      <c r="B293" s="13" t="s">
        <v>274</v>
      </c>
      <c r="C293" s="13" t="s">
        <v>43</v>
      </c>
      <c r="D293" s="20"/>
      <c r="E293" s="15">
        <v>6400</v>
      </c>
      <c r="F293" s="15">
        <v>500</v>
      </c>
      <c r="G293" s="15">
        <v>400</v>
      </c>
      <c r="H293" s="15">
        <f t="shared" si="28"/>
        <v>7300</v>
      </c>
      <c r="I293" s="15">
        <f t="shared" si="29"/>
        <v>0</v>
      </c>
      <c r="J293" s="16"/>
      <c r="K293" s="31"/>
      <c r="L293" s="15">
        <f t="shared" si="24"/>
        <v>0</v>
      </c>
      <c r="M293" s="16"/>
      <c r="N293" s="16"/>
      <c r="O293" s="15">
        <f t="shared" si="25"/>
        <v>0</v>
      </c>
      <c r="P293" s="15">
        <f t="shared" si="26"/>
        <v>0</v>
      </c>
      <c r="Q293" s="15">
        <f t="shared" si="27"/>
        <v>0</v>
      </c>
      <c r="R293" s="17">
        <v>1403</v>
      </c>
    </row>
    <row r="294" spans="1:18" ht="16.5" x14ac:dyDescent="0.25">
      <c r="A294" s="12">
        <v>1404</v>
      </c>
      <c r="B294" s="13" t="s">
        <v>275</v>
      </c>
      <c r="C294" s="13" t="s">
        <v>43</v>
      </c>
      <c r="D294" s="16">
        <v>193</v>
      </c>
      <c r="E294" s="15">
        <v>6400</v>
      </c>
      <c r="F294" s="15">
        <v>600</v>
      </c>
      <c r="G294" s="15">
        <v>400</v>
      </c>
      <c r="H294" s="15">
        <f t="shared" si="28"/>
        <v>7400</v>
      </c>
      <c r="I294" s="15">
        <f t="shared" si="29"/>
        <v>1428200</v>
      </c>
      <c r="J294" s="16"/>
      <c r="K294" s="15">
        <v>600000</v>
      </c>
      <c r="L294" s="15">
        <f t="shared" si="24"/>
        <v>3860</v>
      </c>
      <c r="M294" s="20"/>
      <c r="N294" s="20"/>
      <c r="O294" s="15">
        <f t="shared" si="25"/>
        <v>48250</v>
      </c>
      <c r="P294" s="15">
        <f t="shared" si="26"/>
        <v>652110</v>
      </c>
      <c r="Q294" s="15">
        <f t="shared" si="27"/>
        <v>776090</v>
      </c>
      <c r="R294" s="17">
        <v>1404</v>
      </c>
    </row>
    <row r="295" spans="1:18" ht="16.5" x14ac:dyDescent="0.25">
      <c r="A295" s="12">
        <v>1405</v>
      </c>
      <c r="B295" s="13" t="s">
        <v>276</v>
      </c>
      <c r="C295" s="13" t="s">
        <v>82</v>
      </c>
      <c r="D295" s="14">
        <v>184</v>
      </c>
      <c r="E295" s="15">
        <v>6400</v>
      </c>
      <c r="F295" s="15">
        <v>500</v>
      </c>
      <c r="G295" s="15">
        <v>400</v>
      </c>
      <c r="H295" s="15">
        <f t="shared" si="28"/>
        <v>7300</v>
      </c>
      <c r="I295" s="15">
        <f t="shared" si="29"/>
        <v>1343200</v>
      </c>
      <c r="J295" s="16"/>
      <c r="K295" s="15"/>
      <c r="L295" s="15">
        <f t="shared" si="24"/>
        <v>3680</v>
      </c>
      <c r="M295" s="16"/>
      <c r="N295" s="16"/>
      <c r="O295" s="15">
        <f t="shared" si="25"/>
        <v>46000</v>
      </c>
      <c r="P295" s="15">
        <f t="shared" si="26"/>
        <v>49680</v>
      </c>
      <c r="Q295" s="15">
        <f t="shared" si="27"/>
        <v>1293520</v>
      </c>
      <c r="R295" s="17">
        <v>1405</v>
      </c>
    </row>
    <row r="296" spans="1:18" ht="16.5" x14ac:dyDescent="0.25">
      <c r="A296" s="12">
        <v>1406</v>
      </c>
      <c r="B296" s="13" t="s">
        <v>277</v>
      </c>
      <c r="C296" s="13" t="s">
        <v>25</v>
      </c>
      <c r="D296" s="16">
        <v>152</v>
      </c>
      <c r="E296" s="15">
        <v>6400</v>
      </c>
      <c r="F296" s="15">
        <v>400</v>
      </c>
      <c r="G296" s="15">
        <v>400</v>
      </c>
      <c r="H296" s="15">
        <f t="shared" si="28"/>
        <v>7200</v>
      </c>
      <c r="I296" s="15">
        <f t="shared" si="29"/>
        <v>1094400</v>
      </c>
      <c r="J296" s="20"/>
      <c r="K296" s="15">
        <v>400000</v>
      </c>
      <c r="L296" s="15">
        <f t="shared" si="24"/>
        <v>3040</v>
      </c>
      <c r="M296" s="20"/>
      <c r="N296" s="20"/>
      <c r="O296" s="15">
        <f t="shared" si="25"/>
        <v>38000</v>
      </c>
      <c r="P296" s="15">
        <f t="shared" si="26"/>
        <v>441040</v>
      </c>
      <c r="Q296" s="15">
        <f t="shared" si="27"/>
        <v>653360</v>
      </c>
      <c r="R296" s="17">
        <v>1406</v>
      </c>
    </row>
    <row r="297" spans="1:18" ht="16.5" x14ac:dyDescent="0.25">
      <c r="A297" s="12">
        <v>1407</v>
      </c>
      <c r="B297" s="13" t="s">
        <v>278</v>
      </c>
      <c r="C297" s="13" t="s">
        <v>25</v>
      </c>
      <c r="D297" s="20"/>
      <c r="E297" s="15">
        <v>6400</v>
      </c>
      <c r="F297" s="15">
        <v>400</v>
      </c>
      <c r="G297" s="15">
        <v>400</v>
      </c>
      <c r="H297" s="15">
        <f t="shared" si="28"/>
        <v>7200</v>
      </c>
      <c r="I297" s="15">
        <f t="shared" si="29"/>
        <v>0</v>
      </c>
      <c r="J297" s="32"/>
      <c r="K297" s="15"/>
      <c r="L297" s="15">
        <f t="shared" si="24"/>
        <v>0</v>
      </c>
      <c r="M297" s="16"/>
      <c r="N297" s="16"/>
      <c r="O297" s="15">
        <f t="shared" si="25"/>
        <v>0</v>
      </c>
      <c r="P297" s="15">
        <f t="shared" si="26"/>
        <v>0</v>
      </c>
      <c r="Q297" s="15">
        <f t="shared" si="27"/>
        <v>0</v>
      </c>
      <c r="R297" s="17">
        <v>1407</v>
      </c>
    </row>
    <row r="298" spans="1:18" ht="16.5" x14ac:dyDescent="0.25">
      <c r="A298" s="12">
        <v>1410</v>
      </c>
      <c r="B298" s="13" t="s">
        <v>279</v>
      </c>
      <c r="C298" s="13" t="s">
        <v>36</v>
      </c>
      <c r="D298" s="14">
        <v>839</v>
      </c>
      <c r="E298" s="15">
        <v>6400</v>
      </c>
      <c r="F298" s="15">
        <v>600</v>
      </c>
      <c r="G298" s="15">
        <v>400</v>
      </c>
      <c r="H298" s="15">
        <f t="shared" si="28"/>
        <v>7400</v>
      </c>
      <c r="I298" s="15">
        <f t="shared" si="29"/>
        <v>6208600</v>
      </c>
      <c r="J298" s="20"/>
      <c r="K298" s="15"/>
      <c r="L298" s="15">
        <f t="shared" si="24"/>
        <v>16780</v>
      </c>
      <c r="M298" s="20"/>
      <c r="N298" s="20"/>
      <c r="O298" s="15">
        <f t="shared" si="25"/>
        <v>209750</v>
      </c>
      <c r="P298" s="15">
        <f t="shared" si="26"/>
        <v>226530</v>
      </c>
      <c r="Q298" s="15">
        <f t="shared" si="27"/>
        <v>5982070</v>
      </c>
      <c r="R298" s="17">
        <v>1410</v>
      </c>
    </row>
    <row r="299" spans="1:18" ht="16.5" x14ac:dyDescent="0.25">
      <c r="A299" s="12">
        <v>1412</v>
      </c>
      <c r="B299" s="13" t="s">
        <v>280</v>
      </c>
      <c r="C299" s="13" t="s">
        <v>43</v>
      </c>
      <c r="D299" s="20"/>
      <c r="E299" s="15">
        <v>6400</v>
      </c>
      <c r="F299" s="15">
        <v>300</v>
      </c>
      <c r="G299" s="15">
        <v>400</v>
      </c>
      <c r="H299" s="15">
        <f t="shared" si="28"/>
        <v>7100</v>
      </c>
      <c r="I299" s="15">
        <f t="shared" si="29"/>
        <v>0</v>
      </c>
      <c r="J299" s="16"/>
      <c r="K299" s="15"/>
      <c r="L299" s="15">
        <f t="shared" si="24"/>
        <v>0</v>
      </c>
      <c r="M299" s="16"/>
      <c r="N299" s="16"/>
      <c r="O299" s="15">
        <f t="shared" si="25"/>
        <v>0</v>
      </c>
      <c r="P299" s="15">
        <f t="shared" si="26"/>
        <v>0</v>
      </c>
      <c r="Q299" s="15">
        <f t="shared" si="27"/>
        <v>0</v>
      </c>
      <c r="R299" s="17">
        <v>1412</v>
      </c>
    </row>
    <row r="300" spans="1:18" ht="16.5" x14ac:dyDescent="0.25">
      <c r="A300" s="12">
        <v>1414</v>
      </c>
      <c r="B300" s="13" t="s">
        <v>281</v>
      </c>
      <c r="C300" s="13" t="s">
        <v>25</v>
      </c>
      <c r="D300" s="16"/>
      <c r="E300" s="15">
        <v>6400</v>
      </c>
      <c r="F300" s="15">
        <v>300</v>
      </c>
      <c r="G300" s="15">
        <v>400</v>
      </c>
      <c r="H300" s="15">
        <f t="shared" si="28"/>
        <v>7100</v>
      </c>
      <c r="I300" s="15">
        <f t="shared" si="29"/>
        <v>0</v>
      </c>
      <c r="J300" s="20"/>
      <c r="K300" s="15"/>
      <c r="L300" s="15">
        <f t="shared" si="24"/>
        <v>0</v>
      </c>
      <c r="M300" s="16"/>
      <c r="N300" s="16"/>
      <c r="O300" s="15">
        <f t="shared" si="25"/>
        <v>0</v>
      </c>
      <c r="P300" s="15">
        <f t="shared" si="26"/>
        <v>0</v>
      </c>
      <c r="Q300" s="15">
        <f t="shared" si="27"/>
        <v>0</v>
      </c>
      <c r="R300" s="17">
        <v>1414</v>
      </c>
    </row>
    <row r="301" spans="1:18" ht="16.5" x14ac:dyDescent="0.25">
      <c r="A301" s="12">
        <v>1418</v>
      </c>
      <c r="B301" s="13" t="s">
        <v>282</v>
      </c>
      <c r="C301" s="13" t="s">
        <v>43</v>
      </c>
      <c r="D301" s="20"/>
      <c r="E301" s="15">
        <v>6400</v>
      </c>
      <c r="F301" s="15">
        <v>300</v>
      </c>
      <c r="G301" s="15">
        <v>400</v>
      </c>
      <c r="H301" s="15">
        <f t="shared" si="28"/>
        <v>7100</v>
      </c>
      <c r="I301" s="15">
        <f t="shared" si="29"/>
        <v>0</v>
      </c>
      <c r="J301" s="16"/>
      <c r="K301" s="15"/>
      <c r="L301" s="15">
        <f t="shared" si="24"/>
        <v>0</v>
      </c>
      <c r="M301" s="16"/>
      <c r="N301" s="16"/>
      <c r="O301" s="15">
        <f t="shared" si="25"/>
        <v>0</v>
      </c>
      <c r="P301" s="15">
        <f t="shared" si="26"/>
        <v>0</v>
      </c>
      <c r="Q301" s="15">
        <f t="shared" si="27"/>
        <v>0</v>
      </c>
      <c r="R301" s="17">
        <v>1418</v>
      </c>
    </row>
    <row r="302" spans="1:18" ht="16.5" x14ac:dyDescent="0.25">
      <c r="A302" s="12">
        <v>1419</v>
      </c>
      <c r="B302" s="13" t="s">
        <v>174</v>
      </c>
      <c r="C302" s="13" t="s">
        <v>47</v>
      </c>
      <c r="D302" s="14"/>
      <c r="E302" s="15">
        <v>6400</v>
      </c>
      <c r="F302" s="15">
        <v>300</v>
      </c>
      <c r="G302" s="15">
        <v>400</v>
      </c>
      <c r="H302" s="15">
        <f t="shared" si="28"/>
        <v>7100</v>
      </c>
      <c r="I302" s="15">
        <f t="shared" si="29"/>
        <v>0</v>
      </c>
      <c r="J302" s="16"/>
      <c r="K302" s="15"/>
      <c r="L302" s="15">
        <f t="shared" si="24"/>
        <v>0</v>
      </c>
      <c r="M302" s="20"/>
      <c r="N302" s="20"/>
      <c r="O302" s="15">
        <f t="shared" si="25"/>
        <v>0</v>
      </c>
      <c r="P302" s="15">
        <f t="shared" si="26"/>
        <v>0</v>
      </c>
      <c r="Q302" s="15">
        <f t="shared" si="27"/>
        <v>0</v>
      </c>
      <c r="R302" s="17">
        <v>1419</v>
      </c>
    </row>
    <row r="303" spans="1:18" ht="16.5" x14ac:dyDescent="0.25">
      <c r="A303" s="12">
        <v>1420</v>
      </c>
      <c r="B303" s="13" t="s">
        <v>174</v>
      </c>
      <c r="C303" s="13" t="s">
        <v>25</v>
      </c>
      <c r="D303" s="16"/>
      <c r="E303" s="15">
        <v>6400</v>
      </c>
      <c r="F303" s="15">
        <v>300</v>
      </c>
      <c r="G303" s="15">
        <v>400</v>
      </c>
      <c r="H303" s="15">
        <f t="shared" si="28"/>
        <v>7100</v>
      </c>
      <c r="I303" s="15">
        <f t="shared" si="29"/>
        <v>0</v>
      </c>
      <c r="J303" s="16"/>
      <c r="K303" s="15"/>
      <c r="L303" s="15">
        <f t="shared" si="24"/>
        <v>0</v>
      </c>
      <c r="M303" s="20"/>
      <c r="N303" s="20"/>
      <c r="O303" s="15">
        <f t="shared" si="25"/>
        <v>0</v>
      </c>
      <c r="P303" s="15">
        <f t="shared" si="26"/>
        <v>0</v>
      </c>
      <c r="Q303" s="15">
        <f t="shared" si="27"/>
        <v>0</v>
      </c>
      <c r="R303" s="17">
        <v>1420</v>
      </c>
    </row>
    <row r="304" spans="1:18" ht="16.5" x14ac:dyDescent="0.25">
      <c r="A304" s="12">
        <v>1421</v>
      </c>
      <c r="B304" s="13" t="s">
        <v>283</v>
      </c>
      <c r="C304" s="13" t="s">
        <v>43</v>
      </c>
      <c r="D304" s="14"/>
      <c r="E304" s="15">
        <v>6400</v>
      </c>
      <c r="F304" s="15">
        <v>300</v>
      </c>
      <c r="G304" s="15">
        <v>400</v>
      </c>
      <c r="H304" s="15">
        <f t="shared" si="28"/>
        <v>7100</v>
      </c>
      <c r="I304" s="15">
        <f t="shared" si="29"/>
        <v>0</v>
      </c>
      <c r="J304" s="20"/>
      <c r="K304" s="15"/>
      <c r="L304" s="15">
        <f t="shared" si="24"/>
        <v>0</v>
      </c>
      <c r="M304" s="16"/>
      <c r="N304" s="16"/>
      <c r="O304" s="15">
        <f t="shared" si="25"/>
        <v>0</v>
      </c>
      <c r="P304" s="15">
        <f t="shared" si="26"/>
        <v>0</v>
      </c>
      <c r="Q304" s="15">
        <f t="shared" si="27"/>
        <v>0</v>
      </c>
      <c r="R304" s="17">
        <v>1421</v>
      </c>
    </row>
    <row r="305" spans="1:18" ht="16.5" x14ac:dyDescent="0.25">
      <c r="A305" s="12">
        <v>1422</v>
      </c>
      <c r="B305" s="13" t="s">
        <v>284</v>
      </c>
      <c r="C305" s="13" t="s">
        <v>25</v>
      </c>
      <c r="D305" s="25"/>
      <c r="E305" s="15">
        <v>6400</v>
      </c>
      <c r="F305" s="15">
        <v>300</v>
      </c>
      <c r="G305" s="15">
        <v>400</v>
      </c>
      <c r="H305" s="15">
        <f t="shared" si="28"/>
        <v>7100</v>
      </c>
      <c r="I305" s="15">
        <f t="shared" si="29"/>
        <v>0</v>
      </c>
      <c r="J305" s="20"/>
      <c r="K305" s="15"/>
      <c r="L305" s="15">
        <f t="shared" si="24"/>
        <v>0</v>
      </c>
      <c r="M305" s="20"/>
      <c r="N305" s="20"/>
      <c r="O305" s="15">
        <f t="shared" si="25"/>
        <v>0</v>
      </c>
      <c r="P305" s="15">
        <f t="shared" si="26"/>
        <v>0</v>
      </c>
      <c r="Q305" s="15">
        <f t="shared" si="27"/>
        <v>0</v>
      </c>
      <c r="R305" s="17">
        <v>1422</v>
      </c>
    </row>
    <row r="306" spans="1:18" ht="16.5" x14ac:dyDescent="0.25">
      <c r="A306" s="12">
        <v>1423</v>
      </c>
      <c r="B306" s="13" t="s">
        <v>285</v>
      </c>
      <c r="C306" s="13" t="s">
        <v>43</v>
      </c>
      <c r="D306" s="19"/>
      <c r="E306" s="15">
        <v>6400</v>
      </c>
      <c r="F306" s="15">
        <v>300</v>
      </c>
      <c r="G306" s="15">
        <v>400</v>
      </c>
      <c r="H306" s="15">
        <f t="shared" si="28"/>
        <v>7100</v>
      </c>
      <c r="I306" s="15">
        <f t="shared" si="29"/>
        <v>0</v>
      </c>
      <c r="J306" s="16"/>
      <c r="K306" s="15"/>
      <c r="L306" s="15">
        <f t="shared" si="24"/>
        <v>0</v>
      </c>
      <c r="M306" s="20"/>
      <c r="N306" s="20"/>
      <c r="O306" s="15">
        <f t="shared" si="25"/>
        <v>0</v>
      </c>
      <c r="P306" s="15">
        <f t="shared" si="26"/>
        <v>0</v>
      </c>
      <c r="Q306" s="15">
        <f t="shared" si="27"/>
        <v>0</v>
      </c>
      <c r="R306" s="17">
        <v>1423</v>
      </c>
    </row>
    <row r="307" spans="1:18" ht="16.5" x14ac:dyDescent="0.25">
      <c r="A307" s="12">
        <v>1424</v>
      </c>
      <c r="B307" s="13" t="s">
        <v>286</v>
      </c>
      <c r="C307" s="13" t="s">
        <v>25</v>
      </c>
      <c r="D307" s="16"/>
      <c r="E307" s="15">
        <v>6400</v>
      </c>
      <c r="F307" s="15">
        <v>300</v>
      </c>
      <c r="G307" s="15">
        <v>400</v>
      </c>
      <c r="H307" s="15">
        <f t="shared" si="28"/>
        <v>7100</v>
      </c>
      <c r="I307" s="15">
        <f t="shared" si="29"/>
        <v>0</v>
      </c>
      <c r="J307" s="20"/>
      <c r="K307" s="15"/>
      <c r="L307" s="15">
        <f t="shared" si="24"/>
        <v>0</v>
      </c>
      <c r="M307" s="16"/>
      <c r="N307" s="16"/>
      <c r="O307" s="15">
        <f t="shared" si="25"/>
        <v>0</v>
      </c>
      <c r="P307" s="15">
        <f t="shared" si="26"/>
        <v>0</v>
      </c>
      <c r="Q307" s="15">
        <f t="shared" si="27"/>
        <v>0</v>
      </c>
      <c r="R307" s="17">
        <v>1424</v>
      </c>
    </row>
    <row r="308" spans="1:18" ht="16.5" x14ac:dyDescent="0.25">
      <c r="A308" s="12">
        <v>1426</v>
      </c>
      <c r="B308" s="13" t="s">
        <v>287</v>
      </c>
      <c r="C308" s="13" t="s">
        <v>30</v>
      </c>
      <c r="D308" s="19"/>
      <c r="E308" s="15">
        <v>6400</v>
      </c>
      <c r="F308" s="15">
        <v>300</v>
      </c>
      <c r="G308" s="15">
        <v>400</v>
      </c>
      <c r="H308" s="15">
        <f t="shared" si="28"/>
        <v>7100</v>
      </c>
      <c r="I308" s="15">
        <f t="shared" si="29"/>
        <v>0</v>
      </c>
      <c r="J308" s="20"/>
      <c r="K308" s="15"/>
      <c r="L308" s="15">
        <f t="shared" si="24"/>
        <v>0</v>
      </c>
      <c r="M308" s="20"/>
      <c r="N308" s="20"/>
      <c r="O308" s="15">
        <f t="shared" si="25"/>
        <v>0</v>
      </c>
      <c r="P308" s="15">
        <f t="shared" si="26"/>
        <v>0</v>
      </c>
      <c r="Q308" s="15">
        <f t="shared" si="27"/>
        <v>0</v>
      </c>
      <c r="R308" s="17">
        <v>1426</v>
      </c>
    </row>
    <row r="309" spans="1:18" ht="16.5" x14ac:dyDescent="0.25">
      <c r="A309" s="12">
        <v>1427</v>
      </c>
      <c r="B309" s="13" t="s">
        <v>288</v>
      </c>
      <c r="C309" s="13" t="s">
        <v>138</v>
      </c>
      <c r="D309" s="19"/>
      <c r="E309" s="15">
        <v>6400</v>
      </c>
      <c r="F309" s="15">
        <v>300</v>
      </c>
      <c r="G309" s="15">
        <v>400</v>
      </c>
      <c r="H309" s="15">
        <f t="shared" si="28"/>
        <v>7100</v>
      </c>
      <c r="I309" s="15">
        <f t="shared" si="29"/>
        <v>0</v>
      </c>
      <c r="J309" s="16"/>
      <c r="K309" s="15"/>
      <c r="L309" s="15">
        <f t="shared" si="24"/>
        <v>0</v>
      </c>
      <c r="M309" s="16"/>
      <c r="N309" s="16"/>
      <c r="O309" s="15">
        <f t="shared" si="25"/>
        <v>0</v>
      </c>
      <c r="P309" s="15">
        <f t="shared" si="26"/>
        <v>0</v>
      </c>
      <c r="Q309" s="15">
        <f t="shared" si="27"/>
        <v>0</v>
      </c>
      <c r="R309" s="17">
        <v>1427</v>
      </c>
    </row>
    <row r="310" spans="1:18" ht="16.5" x14ac:dyDescent="0.25">
      <c r="A310" s="12">
        <v>1428</v>
      </c>
      <c r="B310" s="13" t="s">
        <v>116</v>
      </c>
      <c r="C310" s="13" t="s">
        <v>54</v>
      </c>
      <c r="D310" s="14"/>
      <c r="E310" s="15">
        <v>6400</v>
      </c>
      <c r="F310" s="15">
        <v>500</v>
      </c>
      <c r="G310" s="15">
        <v>400</v>
      </c>
      <c r="H310" s="15">
        <f t="shared" si="28"/>
        <v>7300</v>
      </c>
      <c r="I310" s="15">
        <f t="shared" si="29"/>
        <v>0</v>
      </c>
      <c r="J310" s="20"/>
      <c r="K310" s="15"/>
      <c r="L310" s="15">
        <f t="shared" si="24"/>
        <v>0</v>
      </c>
      <c r="M310" s="16"/>
      <c r="N310" s="16"/>
      <c r="O310" s="15">
        <f t="shared" si="25"/>
        <v>0</v>
      </c>
      <c r="P310" s="15">
        <f t="shared" si="26"/>
        <v>0</v>
      </c>
      <c r="Q310" s="15">
        <f t="shared" si="27"/>
        <v>0</v>
      </c>
      <c r="R310" s="17">
        <v>1428</v>
      </c>
    </row>
    <row r="311" spans="1:18" ht="16.5" x14ac:dyDescent="0.25">
      <c r="A311" s="12">
        <v>1430</v>
      </c>
      <c r="B311" s="13" t="s">
        <v>220</v>
      </c>
      <c r="C311" s="13" t="s">
        <v>25</v>
      </c>
      <c r="D311" s="25"/>
      <c r="E311" s="15">
        <v>6400</v>
      </c>
      <c r="F311" s="15">
        <v>400</v>
      </c>
      <c r="G311" s="15">
        <v>400</v>
      </c>
      <c r="H311" s="15">
        <f t="shared" si="28"/>
        <v>7200</v>
      </c>
      <c r="I311" s="15">
        <f t="shared" si="29"/>
        <v>0</v>
      </c>
      <c r="J311" s="16"/>
      <c r="K311" s="15"/>
      <c r="L311" s="15">
        <f t="shared" si="24"/>
        <v>0</v>
      </c>
      <c r="M311" s="16"/>
      <c r="N311" s="16"/>
      <c r="O311" s="15">
        <f t="shared" si="25"/>
        <v>0</v>
      </c>
      <c r="P311" s="15">
        <f t="shared" si="26"/>
        <v>0</v>
      </c>
      <c r="Q311" s="15">
        <f t="shared" si="27"/>
        <v>0</v>
      </c>
      <c r="R311" s="17">
        <v>1430</v>
      </c>
    </row>
    <row r="312" spans="1:18" ht="16.5" x14ac:dyDescent="0.25">
      <c r="A312" s="12">
        <v>1432</v>
      </c>
      <c r="B312" s="13" t="s">
        <v>289</v>
      </c>
      <c r="C312" s="13" t="s">
        <v>290</v>
      </c>
      <c r="D312" s="14"/>
      <c r="E312" s="15">
        <v>6400</v>
      </c>
      <c r="F312" s="15">
        <v>400</v>
      </c>
      <c r="G312" s="15">
        <v>400</v>
      </c>
      <c r="H312" s="15">
        <f t="shared" si="28"/>
        <v>7200</v>
      </c>
      <c r="I312" s="15">
        <f t="shared" si="29"/>
        <v>0</v>
      </c>
      <c r="J312" s="16"/>
      <c r="K312" s="15"/>
      <c r="L312" s="15">
        <f t="shared" si="24"/>
        <v>0</v>
      </c>
      <c r="M312" s="16"/>
      <c r="N312" s="16"/>
      <c r="O312" s="15">
        <f t="shared" si="25"/>
        <v>0</v>
      </c>
      <c r="P312" s="15">
        <f t="shared" si="26"/>
        <v>0</v>
      </c>
      <c r="Q312" s="15">
        <f t="shared" si="27"/>
        <v>0</v>
      </c>
      <c r="R312" s="17">
        <v>1432</v>
      </c>
    </row>
    <row r="313" spans="1:18" ht="16.5" x14ac:dyDescent="0.25">
      <c r="A313" s="12">
        <v>1435</v>
      </c>
      <c r="B313" s="13" t="s">
        <v>112</v>
      </c>
      <c r="C313" s="13" t="s">
        <v>47</v>
      </c>
      <c r="D313" s="20"/>
      <c r="E313" s="15">
        <v>6400</v>
      </c>
      <c r="F313" s="15">
        <v>300</v>
      </c>
      <c r="G313" s="15">
        <v>400</v>
      </c>
      <c r="H313" s="15">
        <f t="shared" si="28"/>
        <v>7100</v>
      </c>
      <c r="I313" s="15">
        <f t="shared" si="29"/>
        <v>0</v>
      </c>
      <c r="J313" s="16"/>
      <c r="K313" s="15"/>
      <c r="L313" s="15">
        <f t="shared" si="24"/>
        <v>0</v>
      </c>
      <c r="M313" s="16"/>
      <c r="N313" s="16"/>
      <c r="O313" s="15">
        <f t="shared" si="25"/>
        <v>0</v>
      </c>
      <c r="P313" s="15">
        <f t="shared" si="26"/>
        <v>0</v>
      </c>
      <c r="Q313" s="15">
        <f t="shared" si="27"/>
        <v>0</v>
      </c>
      <c r="R313" s="17">
        <v>1435</v>
      </c>
    </row>
    <row r="314" spans="1:18" ht="16.5" x14ac:dyDescent="0.25">
      <c r="A314" s="12">
        <v>1437</v>
      </c>
      <c r="B314" s="13" t="s">
        <v>291</v>
      </c>
      <c r="C314" s="13" t="s">
        <v>25</v>
      </c>
      <c r="D314" s="16"/>
      <c r="E314" s="15">
        <v>6400</v>
      </c>
      <c r="F314" s="15">
        <v>400</v>
      </c>
      <c r="G314" s="15">
        <v>400</v>
      </c>
      <c r="H314" s="15">
        <f t="shared" si="28"/>
        <v>7200</v>
      </c>
      <c r="I314" s="15">
        <f t="shared" si="29"/>
        <v>0</v>
      </c>
      <c r="J314" s="16"/>
      <c r="K314" s="15"/>
      <c r="L314" s="15">
        <f t="shared" si="24"/>
        <v>0</v>
      </c>
      <c r="M314" s="16"/>
      <c r="N314" s="16"/>
      <c r="O314" s="15">
        <f t="shared" si="25"/>
        <v>0</v>
      </c>
      <c r="P314" s="15">
        <f t="shared" si="26"/>
        <v>0</v>
      </c>
      <c r="Q314" s="15">
        <f t="shared" si="27"/>
        <v>0</v>
      </c>
      <c r="R314" s="17">
        <v>1437</v>
      </c>
    </row>
    <row r="315" spans="1:18" ht="16.5" x14ac:dyDescent="0.25">
      <c r="A315" s="12">
        <v>1438</v>
      </c>
      <c r="B315" s="13" t="s">
        <v>119</v>
      </c>
      <c r="C315" s="13" t="s">
        <v>43</v>
      </c>
      <c r="D315" s="14">
        <v>405</v>
      </c>
      <c r="E315" s="15">
        <v>6400</v>
      </c>
      <c r="F315" s="15">
        <v>600</v>
      </c>
      <c r="G315" s="15">
        <v>400</v>
      </c>
      <c r="H315" s="15">
        <f t="shared" si="28"/>
        <v>7400</v>
      </c>
      <c r="I315" s="15">
        <f t="shared" si="29"/>
        <v>2997000</v>
      </c>
      <c r="J315" s="16"/>
      <c r="K315" s="15"/>
      <c r="L315" s="15">
        <f t="shared" si="24"/>
        <v>8100</v>
      </c>
      <c r="M315" s="20"/>
      <c r="N315" s="20"/>
      <c r="O315" s="15">
        <f t="shared" si="25"/>
        <v>101250</v>
      </c>
      <c r="P315" s="15">
        <f t="shared" si="26"/>
        <v>109350</v>
      </c>
      <c r="Q315" s="15">
        <f t="shared" si="27"/>
        <v>2887650</v>
      </c>
      <c r="R315" s="17">
        <v>1438</v>
      </c>
    </row>
    <row r="316" spans="1:18" ht="16.5" x14ac:dyDescent="0.25">
      <c r="A316" s="12">
        <v>1439</v>
      </c>
      <c r="B316" s="13" t="s">
        <v>28</v>
      </c>
      <c r="C316" s="13" t="s">
        <v>47</v>
      </c>
      <c r="D316" s="14">
        <v>64</v>
      </c>
      <c r="E316" s="15">
        <v>6400</v>
      </c>
      <c r="F316" s="15">
        <v>400</v>
      </c>
      <c r="G316" s="15">
        <v>400</v>
      </c>
      <c r="H316" s="15">
        <f t="shared" si="28"/>
        <v>7200</v>
      </c>
      <c r="I316" s="15">
        <f t="shared" si="29"/>
        <v>460800</v>
      </c>
      <c r="J316" s="16"/>
      <c r="K316" s="15">
        <v>400000</v>
      </c>
      <c r="L316" s="15">
        <f t="shared" si="24"/>
        <v>1280</v>
      </c>
      <c r="M316" s="16"/>
      <c r="N316" s="16"/>
      <c r="O316" s="15">
        <f t="shared" si="25"/>
        <v>16000</v>
      </c>
      <c r="P316" s="15">
        <f t="shared" si="26"/>
        <v>417280</v>
      </c>
      <c r="Q316" s="15">
        <f t="shared" si="27"/>
        <v>43520</v>
      </c>
      <c r="R316" s="17">
        <v>1439</v>
      </c>
    </row>
    <row r="317" spans="1:18" ht="16.5" x14ac:dyDescent="0.25">
      <c r="A317" s="12">
        <v>1440</v>
      </c>
      <c r="B317" s="13" t="s">
        <v>292</v>
      </c>
      <c r="C317" s="13" t="s">
        <v>17</v>
      </c>
      <c r="D317" s="16"/>
      <c r="E317" s="15">
        <v>6400</v>
      </c>
      <c r="F317" s="15">
        <v>400</v>
      </c>
      <c r="G317" s="15">
        <v>400</v>
      </c>
      <c r="H317" s="15">
        <f t="shared" si="28"/>
        <v>7200</v>
      </c>
      <c r="I317" s="15">
        <f t="shared" si="29"/>
        <v>0</v>
      </c>
      <c r="J317" s="20"/>
      <c r="K317" s="15"/>
      <c r="L317" s="15">
        <f t="shared" si="24"/>
        <v>0</v>
      </c>
      <c r="M317" s="20"/>
      <c r="N317" s="20"/>
      <c r="O317" s="15">
        <f t="shared" si="25"/>
        <v>0</v>
      </c>
      <c r="P317" s="15">
        <f t="shared" si="26"/>
        <v>0</v>
      </c>
      <c r="Q317" s="15">
        <f t="shared" si="27"/>
        <v>0</v>
      </c>
      <c r="R317" s="17">
        <v>1440</v>
      </c>
    </row>
    <row r="318" spans="1:18" ht="16.5" x14ac:dyDescent="0.25">
      <c r="A318" s="12">
        <v>1442</v>
      </c>
      <c r="B318" s="13" t="s">
        <v>244</v>
      </c>
      <c r="C318" s="13" t="s">
        <v>21</v>
      </c>
      <c r="D318" s="19"/>
      <c r="E318" s="15">
        <v>6400</v>
      </c>
      <c r="F318" s="15">
        <v>400</v>
      </c>
      <c r="G318" s="15">
        <v>400</v>
      </c>
      <c r="H318" s="15">
        <f t="shared" si="28"/>
        <v>7200</v>
      </c>
      <c r="I318" s="15">
        <f t="shared" si="29"/>
        <v>0</v>
      </c>
      <c r="J318" s="16"/>
      <c r="K318" s="15">
        <v>200000</v>
      </c>
      <c r="L318" s="15">
        <f t="shared" si="24"/>
        <v>0</v>
      </c>
      <c r="M318" s="20"/>
      <c r="N318" s="20"/>
      <c r="O318" s="15">
        <f t="shared" si="25"/>
        <v>0</v>
      </c>
      <c r="P318" s="15">
        <f t="shared" si="26"/>
        <v>200000</v>
      </c>
      <c r="Q318" s="15">
        <f t="shared" si="27"/>
        <v>-200000</v>
      </c>
      <c r="R318" s="17">
        <v>1442</v>
      </c>
    </row>
    <row r="319" spans="1:18" ht="16.5" x14ac:dyDescent="0.25">
      <c r="A319" s="12">
        <v>1443</v>
      </c>
      <c r="B319" s="13" t="s">
        <v>293</v>
      </c>
      <c r="C319" s="13" t="s">
        <v>54</v>
      </c>
      <c r="D319" s="14">
        <v>54</v>
      </c>
      <c r="E319" s="15">
        <v>6400</v>
      </c>
      <c r="F319" s="15">
        <v>400</v>
      </c>
      <c r="G319" s="15">
        <v>400</v>
      </c>
      <c r="H319" s="15">
        <f t="shared" si="28"/>
        <v>7200</v>
      </c>
      <c r="I319" s="15">
        <f t="shared" si="29"/>
        <v>388800</v>
      </c>
      <c r="J319" s="20"/>
      <c r="K319" s="15"/>
      <c r="L319" s="15">
        <f t="shared" si="24"/>
        <v>1080</v>
      </c>
      <c r="M319" s="20"/>
      <c r="N319" s="20"/>
      <c r="O319" s="15">
        <f t="shared" si="25"/>
        <v>13500</v>
      </c>
      <c r="P319" s="15">
        <f t="shared" si="26"/>
        <v>14580</v>
      </c>
      <c r="Q319" s="15">
        <f t="shared" si="27"/>
        <v>374220</v>
      </c>
      <c r="R319" s="17">
        <v>1443</v>
      </c>
    </row>
    <row r="320" spans="1:18" ht="16.5" x14ac:dyDescent="0.25">
      <c r="A320" s="12">
        <v>1445</v>
      </c>
      <c r="B320" s="13" t="s">
        <v>292</v>
      </c>
      <c r="C320" s="13" t="s">
        <v>17</v>
      </c>
      <c r="D320" s="19"/>
      <c r="E320" s="15">
        <v>6400</v>
      </c>
      <c r="F320" s="15">
        <v>400</v>
      </c>
      <c r="G320" s="15">
        <v>400</v>
      </c>
      <c r="H320" s="15">
        <f t="shared" si="28"/>
        <v>7200</v>
      </c>
      <c r="I320" s="15">
        <f t="shared" si="29"/>
        <v>0</v>
      </c>
      <c r="J320" s="20"/>
      <c r="K320" s="15"/>
      <c r="L320" s="15">
        <f t="shared" si="24"/>
        <v>0</v>
      </c>
      <c r="M320" s="16"/>
      <c r="N320" s="16"/>
      <c r="O320" s="15">
        <f t="shared" si="25"/>
        <v>0</v>
      </c>
      <c r="P320" s="15">
        <f t="shared" si="26"/>
        <v>0</v>
      </c>
      <c r="Q320" s="15">
        <f t="shared" si="27"/>
        <v>0</v>
      </c>
      <c r="R320" s="17">
        <v>1445</v>
      </c>
    </row>
    <row r="321" spans="1:18" ht="16.5" x14ac:dyDescent="0.25">
      <c r="A321" s="12">
        <v>1446</v>
      </c>
      <c r="B321" s="13" t="s">
        <v>294</v>
      </c>
      <c r="C321" s="13" t="s">
        <v>43</v>
      </c>
      <c r="D321" s="19">
        <v>152</v>
      </c>
      <c r="E321" s="15">
        <v>6400</v>
      </c>
      <c r="F321" s="15">
        <v>500</v>
      </c>
      <c r="G321" s="15">
        <v>400</v>
      </c>
      <c r="H321" s="15">
        <f t="shared" si="28"/>
        <v>7300</v>
      </c>
      <c r="I321" s="15">
        <f t="shared" si="29"/>
        <v>1109600</v>
      </c>
      <c r="J321" s="20"/>
      <c r="K321" s="15">
        <v>200000</v>
      </c>
      <c r="L321" s="15">
        <f t="shared" si="24"/>
        <v>3040</v>
      </c>
      <c r="M321" s="16"/>
      <c r="N321" s="16"/>
      <c r="O321" s="15">
        <f t="shared" si="25"/>
        <v>38000</v>
      </c>
      <c r="P321" s="15">
        <f t="shared" si="26"/>
        <v>241040</v>
      </c>
      <c r="Q321" s="15">
        <f t="shared" si="27"/>
        <v>868560</v>
      </c>
      <c r="R321" s="17">
        <v>1446</v>
      </c>
    </row>
    <row r="322" spans="1:18" ht="16.5" x14ac:dyDescent="0.25">
      <c r="A322" s="12">
        <v>1448</v>
      </c>
      <c r="B322" s="13" t="s">
        <v>295</v>
      </c>
      <c r="C322" s="13" t="s">
        <v>25</v>
      </c>
      <c r="D322" s="20"/>
      <c r="E322" s="15">
        <v>6400</v>
      </c>
      <c r="F322" s="15">
        <v>300</v>
      </c>
      <c r="G322" s="15">
        <v>400</v>
      </c>
      <c r="H322" s="15">
        <f t="shared" si="28"/>
        <v>7100</v>
      </c>
      <c r="I322" s="15">
        <f t="shared" si="29"/>
        <v>0</v>
      </c>
      <c r="J322" s="16"/>
      <c r="K322" s="15"/>
      <c r="L322" s="15">
        <f t="shared" si="24"/>
        <v>0</v>
      </c>
      <c r="M322" s="16"/>
      <c r="N322" s="16"/>
      <c r="O322" s="15">
        <f t="shared" si="25"/>
        <v>0</v>
      </c>
      <c r="P322" s="15">
        <f t="shared" si="26"/>
        <v>0</v>
      </c>
      <c r="Q322" s="15">
        <f t="shared" si="27"/>
        <v>0</v>
      </c>
      <c r="R322" s="17">
        <v>1448</v>
      </c>
    </row>
    <row r="323" spans="1:18" ht="16.5" x14ac:dyDescent="0.25">
      <c r="A323" s="12">
        <v>1449</v>
      </c>
      <c r="B323" s="13" t="s">
        <v>255</v>
      </c>
      <c r="C323" s="13" t="s">
        <v>43</v>
      </c>
      <c r="D323" s="16"/>
      <c r="E323" s="15">
        <v>6400</v>
      </c>
      <c r="F323" s="15">
        <v>300</v>
      </c>
      <c r="G323" s="15">
        <v>400</v>
      </c>
      <c r="H323" s="15">
        <f t="shared" si="28"/>
        <v>7100</v>
      </c>
      <c r="I323" s="15">
        <f t="shared" si="29"/>
        <v>0</v>
      </c>
      <c r="J323" s="16"/>
      <c r="K323" s="15"/>
      <c r="L323" s="15">
        <f t="shared" si="24"/>
        <v>0</v>
      </c>
      <c r="M323" s="20"/>
      <c r="N323" s="20"/>
      <c r="O323" s="15">
        <f t="shared" si="25"/>
        <v>0</v>
      </c>
      <c r="P323" s="15">
        <f t="shared" si="26"/>
        <v>0</v>
      </c>
      <c r="Q323" s="15">
        <f t="shared" si="27"/>
        <v>0</v>
      </c>
      <c r="R323" s="17">
        <v>1449</v>
      </c>
    </row>
    <row r="324" spans="1:18" ht="16.5" x14ac:dyDescent="0.25">
      <c r="A324" s="12">
        <v>1450</v>
      </c>
      <c r="B324" s="13" t="s">
        <v>296</v>
      </c>
      <c r="C324" s="13" t="s">
        <v>30</v>
      </c>
      <c r="D324" s="14"/>
      <c r="E324" s="15">
        <v>6400</v>
      </c>
      <c r="F324" s="15">
        <v>300</v>
      </c>
      <c r="G324" s="15">
        <v>400</v>
      </c>
      <c r="H324" s="15">
        <f t="shared" si="28"/>
        <v>7100</v>
      </c>
      <c r="I324" s="15">
        <f t="shared" si="29"/>
        <v>0</v>
      </c>
      <c r="J324" s="16"/>
      <c r="K324" s="15"/>
      <c r="L324" s="15">
        <f t="shared" si="24"/>
        <v>0</v>
      </c>
      <c r="M324" s="16"/>
      <c r="N324" s="16"/>
      <c r="O324" s="15">
        <f t="shared" si="25"/>
        <v>0</v>
      </c>
      <c r="P324" s="15">
        <f t="shared" si="26"/>
        <v>0</v>
      </c>
      <c r="Q324" s="15">
        <f t="shared" si="27"/>
        <v>0</v>
      </c>
      <c r="R324" s="17">
        <v>1450</v>
      </c>
    </row>
    <row r="325" spans="1:18" ht="16.5" x14ac:dyDescent="0.25">
      <c r="A325" s="12">
        <v>1451</v>
      </c>
      <c r="B325" s="13" t="s">
        <v>297</v>
      </c>
      <c r="C325" s="13" t="s">
        <v>54</v>
      </c>
      <c r="D325" s="14">
        <v>429</v>
      </c>
      <c r="E325" s="15">
        <v>6400</v>
      </c>
      <c r="F325" s="15">
        <v>500</v>
      </c>
      <c r="G325" s="15">
        <v>400</v>
      </c>
      <c r="H325" s="15">
        <f t="shared" si="28"/>
        <v>7300</v>
      </c>
      <c r="I325" s="15">
        <f t="shared" si="29"/>
        <v>3131700</v>
      </c>
      <c r="J325" s="20"/>
      <c r="K325" s="15">
        <v>800000</v>
      </c>
      <c r="L325" s="15">
        <f t="shared" ref="L325:L388" si="30">D325*20</f>
        <v>8580</v>
      </c>
      <c r="M325" s="16"/>
      <c r="N325" s="16"/>
      <c r="O325" s="15">
        <f t="shared" ref="O325:O388" si="31">250*D325</f>
        <v>107250</v>
      </c>
      <c r="P325" s="15">
        <f t="shared" ref="P325:P388" si="32">SUM(J325:O325)</f>
        <v>915830</v>
      </c>
      <c r="Q325" s="15">
        <f t="shared" ref="Q325:Q388" si="33">I325-P325</f>
        <v>2215870</v>
      </c>
      <c r="R325" s="17">
        <v>1451</v>
      </c>
    </row>
    <row r="326" spans="1:18" ht="16.5" x14ac:dyDescent="0.25">
      <c r="A326" s="12">
        <v>1453</v>
      </c>
      <c r="B326" s="13" t="s">
        <v>298</v>
      </c>
      <c r="C326" s="13" t="s">
        <v>54</v>
      </c>
      <c r="D326" s="19"/>
      <c r="E326" s="15">
        <v>6400</v>
      </c>
      <c r="F326" s="15">
        <v>400</v>
      </c>
      <c r="G326" s="15">
        <v>400</v>
      </c>
      <c r="H326" s="15">
        <f t="shared" ref="H326:H389" si="34">SUM(E326:G326)</f>
        <v>7200</v>
      </c>
      <c r="I326" s="15">
        <f t="shared" ref="I326:I389" si="35">H326*D326</f>
        <v>0</v>
      </c>
      <c r="J326" s="16"/>
      <c r="K326" s="15"/>
      <c r="L326" s="15">
        <f t="shared" si="30"/>
        <v>0</v>
      </c>
      <c r="M326" s="20"/>
      <c r="N326" s="20"/>
      <c r="O326" s="15">
        <f t="shared" si="31"/>
        <v>0</v>
      </c>
      <c r="P326" s="15">
        <f t="shared" si="32"/>
        <v>0</v>
      </c>
      <c r="Q326" s="15">
        <f t="shared" si="33"/>
        <v>0</v>
      </c>
      <c r="R326" s="17">
        <v>1453</v>
      </c>
    </row>
    <row r="327" spans="1:18" ht="16.5" x14ac:dyDescent="0.25">
      <c r="A327" s="12">
        <v>1454</v>
      </c>
      <c r="B327" s="13" t="s">
        <v>299</v>
      </c>
      <c r="C327" s="13" t="s">
        <v>47</v>
      </c>
      <c r="D327" s="14"/>
      <c r="E327" s="15">
        <v>6400</v>
      </c>
      <c r="F327" s="15">
        <v>300</v>
      </c>
      <c r="G327" s="15">
        <v>400</v>
      </c>
      <c r="H327" s="15">
        <f t="shared" si="34"/>
        <v>7100</v>
      </c>
      <c r="I327" s="15">
        <f t="shared" si="35"/>
        <v>0</v>
      </c>
      <c r="J327" s="16"/>
      <c r="K327" s="15"/>
      <c r="L327" s="15">
        <f t="shared" si="30"/>
        <v>0</v>
      </c>
      <c r="M327" s="20"/>
      <c r="N327" s="20"/>
      <c r="O327" s="15">
        <f t="shared" si="31"/>
        <v>0</v>
      </c>
      <c r="P327" s="15">
        <f t="shared" si="32"/>
        <v>0</v>
      </c>
      <c r="Q327" s="15">
        <f t="shared" si="33"/>
        <v>0</v>
      </c>
      <c r="R327" s="17">
        <v>1454</v>
      </c>
    </row>
    <row r="328" spans="1:18" ht="16.5" x14ac:dyDescent="0.25">
      <c r="A328" s="12">
        <v>1455</v>
      </c>
      <c r="B328" s="13" t="s">
        <v>419</v>
      </c>
      <c r="C328" s="13" t="s">
        <v>30</v>
      </c>
      <c r="D328" s="14"/>
      <c r="E328" s="15">
        <v>6400</v>
      </c>
      <c r="F328" s="15">
        <v>300</v>
      </c>
      <c r="G328" s="15">
        <v>400</v>
      </c>
      <c r="H328" s="15">
        <f t="shared" si="34"/>
        <v>7100</v>
      </c>
      <c r="I328" s="15">
        <f t="shared" si="35"/>
        <v>0</v>
      </c>
      <c r="J328" s="16"/>
      <c r="K328" s="15"/>
      <c r="L328" s="15">
        <f t="shared" si="30"/>
        <v>0</v>
      </c>
      <c r="M328" s="20"/>
      <c r="N328" s="20"/>
      <c r="O328" s="15">
        <f t="shared" si="31"/>
        <v>0</v>
      </c>
      <c r="P328" s="15">
        <f t="shared" si="32"/>
        <v>0</v>
      </c>
      <c r="Q328" s="15">
        <f t="shared" si="33"/>
        <v>0</v>
      </c>
      <c r="R328" s="17">
        <v>1455</v>
      </c>
    </row>
    <row r="329" spans="1:18" ht="16.5" x14ac:dyDescent="0.25">
      <c r="A329" s="12">
        <v>1456</v>
      </c>
      <c r="B329" s="13" t="s">
        <v>62</v>
      </c>
      <c r="C329" s="13" t="s">
        <v>138</v>
      </c>
      <c r="D329" s="14"/>
      <c r="E329" s="15">
        <v>6400</v>
      </c>
      <c r="F329" s="15">
        <v>300</v>
      </c>
      <c r="G329" s="15">
        <v>400</v>
      </c>
      <c r="H329" s="15">
        <f t="shared" si="34"/>
        <v>7100</v>
      </c>
      <c r="I329" s="15">
        <f t="shared" si="35"/>
        <v>0</v>
      </c>
      <c r="J329" s="20"/>
      <c r="K329" s="15"/>
      <c r="L329" s="15">
        <f t="shared" si="30"/>
        <v>0</v>
      </c>
      <c r="M329" s="20"/>
      <c r="N329" s="20"/>
      <c r="O329" s="15">
        <f t="shared" si="31"/>
        <v>0</v>
      </c>
      <c r="P329" s="15">
        <f t="shared" si="32"/>
        <v>0</v>
      </c>
      <c r="Q329" s="15">
        <f t="shared" si="33"/>
        <v>0</v>
      </c>
      <c r="R329" s="17">
        <v>1456</v>
      </c>
    </row>
    <row r="330" spans="1:18" ht="16.5" x14ac:dyDescent="0.25">
      <c r="A330" s="12">
        <v>1457</v>
      </c>
      <c r="B330" s="13" t="s">
        <v>300</v>
      </c>
      <c r="C330" s="13" t="s">
        <v>30</v>
      </c>
      <c r="D330" s="14"/>
      <c r="E330" s="15">
        <v>6400</v>
      </c>
      <c r="F330" s="15">
        <v>300</v>
      </c>
      <c r="G330" s="15">
        <v>400</v>
      </c>
      <c r="H330" s="15">
        <f t="shared" si="34"/>
        <v>7100</v>
      </c>
      <c r="I330" s="15">
        <f t="shared" si="35"/>
        <v>0</v>
      </c>
      <c r="J330" s="16"/>
      <c r="K330" s="15"/>
      <c r="L330" s="15">
        <f t="shared" si="30"/>
        <v>0</v>
      </c>
      <c r="M330" s="16"/>
      <c r="N330" s="16"/>
      <c r="O330" s="15">
        <f t="shared" si="31"/>
        <v>0</v>
      </c>
      <c r="P330" s="15">
        <f t="shared" si="32"/>
        <v>0</v>
      </c>
      <c r="Q330" s="15">
        <f t="shared" si="33"/>
        <v>0</v>
      </c>
      <c r="R330" s="17">
        <v>1457</v>
      </c>
    </row>
    <row r="331" spans="1:18" ht="16.5" x14ac:dyDescent="0.25">
      <c r="A331" s="12">
        <v>1458</v>
      </c>
      <c r="B331" s="13" t="s">
        <v>179</v>
      </c>
      <c r="C331" s="13" t="s">
        <v>43</v>
      </c>
      <c r="D331" s="20"/>
      <c r="E331" s="15">
        <v>6400</v>
      </c>
      <c r="F331" s="15">
        <v>400</v>
      </c>
      <c r="G331" s="15">
        <v>400</v>
      </c>
      <c r="H331" s="15">
        <f t="shared" si="34"/>
        <v>7200</v>
      </c>
      <c r="I331" s="15">
        <f t="shared" si="35"/>
        <v>0</v>
      </c>
      <c r="J331" s="20"/>
      <c r="K331" s="15"/>
      <c r="L331" s="15">
        <f t="shared" si="30"/>
        <v>0</v>
      </c>
      <c r="M331" s="16"/>
      <c r="N331" s="16"/>
      <c r="O331" s="15">
        <f t="shared" si="31"/>
        <v>0</v>
      </c>
      <c r="P331" s="15">
        <f t="shared" si="32"/>
        <v>0</v>
      </c>
      <c r="Q331" s="15">
        <f t="shared" si="33"/>
        <v>0</v>
      </c>
      <c r="R331" s="17">
        <v>1458</v>
      </c>
    </row>
    <row r="332" spans="1:18" ht="16.5" x14ac:dyDescent="0.25">
      <c r="A332" s="12">
        <v>1459</v>
      </c>
      <c r="B332" s="13" t="s">
        <v>301</v>
      </c>
      <c r="C332" s="13" t="s">
        <v>43</v>
      </c>
      <c r="D332" s="20"/>
      <c r="E332" s="15">
        <v>6400</v>
      </c>
      <c r="F332" s="15">
        <v>300</v>
      </c>
      <c r="G332" s="15">
        <v>400</v>
      </c>
      <c r="H332" s="15">
        <f t="shared" si="34"/>
        <v>7100</v>
      </c>
      <c r="I332" s="15">
        <f t="shared" si="35"/>
        <v>0</v>
      </c>
      <c r="J332" s="20"/>
      <c r="K332" s="15"/>
      <c r="L332" s="15">
        <f t="shared" si="30"/>
        <v>0</v>
      </c>
      <c r="M332" s="16"/>
      <c r="N332" s="16"/>
      <c r="O332" s="15">
        <f t="shared" si="31"/>
        <v>0</v>
      </c>
      <c r="P332" s="15">
        <f t="shared" si="32"/>
        <v>0</v>
      </c>
      <c r="Q332" s="15">
        <f t="shared" si="33"/>
        <v>0</v>
      </c>
      <c r="R332" s="17">
        <v>1459</v>
      </c>
    </row>
    <row r="333" spans="1:18" ht="16.5" x14ac:dyDescent="0.25">
      <c r="A333" s="12">
        <v>1465</v>
      </c>
      <c r="B333" s="13" t="s">
        <v>302</v>
      </c>
      <c r="C333" s="13" t="s">
        <v>43</v>
      </c>
      <c r="D333" s="20"/>
      <c r="E333" s="15">
        <v>6400</v>
      </c>
      <c r="F333" s="15">
        <v>300</v>
      </c>
      <c r="G333" s="15">
        <v>400</v>
      </c>
      <c r="H333" s="15">
        <f t="shared" si="34"/>
        <v>7100</v>
      </c>
      <c r="I333" s="15">
        <f t="shared" si="35"/>
        <v>0</v>
      </c>
      <c r="J333" s="16"/>
      <c r="K333" s="15"/>
      <c r="L333" s="15">
        <f t="shared" si="30"/>
        <v>0</v>
      </c>
      <c r="M333" s="16"/>
      <c r="N333" s="16"/>
      <c r="O333" s="15">
        <f t="shared" si="31"/>
        <v>0</v>
      </c>
      <c r="P333" s="15">
        <f t="shared" si="32"/>
        <v>0</v>
      </c>
      <c r="Q333" s="15">
        <f t="shared" si="33"/>
        <v>0</v>
      </c>
      <c r="R333" s="17">
        <v>1465</v>
      </c>
    </row>
    <row r="334" spans="1:18" ht="16.5" x14ac:dyDescent="0.25">
      <c r="A334" s="12">
        <v>1467</v>
      </c>
      <c r="B334" s="13" t="s">
        <v>303</v>
      </c>
      <c r="C334" s="13" t="s">
        <v>82</v>
      </c>
      <c r="D334" s="14"/>
      <c r="E334" s="15">
        <v>6400</v>
      </c>
      <c r="F334" s="15">
        <v>300</v>
      </c>
      <c r="G334" s="15">
        <v>400</v>
      </c>
      <c r="H334" s="15">
        <f t="shared" si="34"/>
        <v>7100</v>
      </c>
      <c r="I334" s="15">
        <f t="shared" si="35"/>
        <v>0</v>
      </c>
      <c r="J334" s="16"/>
      <c r="K334" s="15"/>
      <c r="L334" s="15">
        <f t="shared" si="30"/>
        <v>0</v>
      </c>
      <c r="M334" s="20"/>
      <c r="N334" s="20"/>
      <c r="O334" s="15">
        <f t="shared" si="31"/>
        <v>0</v>
      </c>
      <c r="P334" s="15">
        <f t="shared" si="32"/>
        <v>0</v>
      </c>
      <c r="Q334" s="15">
        <f t="shared" si="33"/>
        <v>0</v>
      </c>
      <c r="R334" s="17">
        <v>1467</v>
      </c>
    </row>
    <row r="335" spans="1:18" ht="16.5" x14ac:dyDescent="0.25">
      <c r="A335" s="12">
        <v>1470</v>
      </c>
      <c r="B335" s="13" t="s">
        <v>304</v>
      </c>
      <c r="C335" s="13" t="s">
        <v>47</v>
      </c>
      <c r="D335" s="14"/>
      <c r="E335" s="15">
        <v>6400</v>
      </c>
      <c r="F335" s="15">
        <v>300</v>
      </c>
      <c r="G335" s="15">
        <v>400</v>
      </c>
      <c r="H335" s="15">
        <f t="shared" si="34"/>
        <v>7100</v>
      </c>
      <c r="I335" s="15">
        <f t="shared" si="35"/>
        <v>0</v>
      </c>
      <c r="J335" s="16"/>
      <c r="K335" s="15"/>
      <c r="L335" s="15">
        <f t="shared" si="30"/>
        <v>0</v>
      </c>
      <c r="M335" s="16"/>
      <c r="N335" s="16"/>
      <c r="O335" s="15">
        <f t="shared" si="31"/>
        <v>0</v>
      </c>
      <c r="P335" s="15">
        <f t="shared" si="32"/>
        <v>0</v>
      </c>
      <c r="Q335" s="15">
        <f t="shared" si="33"/>
        <v>0</v>
      </c>
      <c r="R335" s="17">
        <v>1470</v>
      </c>
    </row>
    <row r="336" spans="1:18" ht="16.5" x14ac:dyDescent="0.25">
      <c r="A336" s="12">
        <v>1471</v>
      </c>
      <c r="B336" s="13" t="s">
        <v>305</v>
      </c>
      <c r="C336" s="13" t="s">
        <v>21</v>
      </c>
      <c r="D336" s="14"/>
      <c r="E336" s="15">
        <v>6400</v>
      </c>
      <c r="F336" s="15">
        <v>300</v>
      </c>
      <c r="G336" s="15">
        <v>400</v>
      </c>
      <c r="H336" s="15">
        <f t="shared" si="34"/>
        <v>7100</v>
      </c>
      <c r="I336" s="15">
        <f t="shared" si="35"/>
        <v>0</v>
      </c>
      <c r="J336" s="20"/>
      <c r="K336" s="15"/>
      <c r="L336" s="15">
        <f t="shared" si="30"/>
        <v>0</v>
      </c>
      <c r="M336" s="16"/>
      <c r="N336" s="16"/>
      <c r="O336" s="15">
        <f t="shared" si="31"/>
        <v>0</v>
      </c>
      <c r="P336" s="15">
        <f t="shared" si="32"/>
        <v>0</v>
      </c>
      <c r="Q336" s="15">
        <f t="shared" si="33"/>
        <v>0</v>
      </c>
      <c r="R336" s="17">
        <v>1471</v>
      </c>
    </row>
    <row r="337" spans="1:18" ht="16.5" x14ac:dyDescent="0.25">
      <c r="A337" s="12">
        <v>1472</v>
      </c>
      <c r="B337" s="13" t="s">
        <v>306</v>
      </c>
      <c r="C337" s="13" t="s">
        <v>43</v>
      </c>
      <c r="D337" s="20"/>
      <c r="E337" s="15">
        <v>6400</v>
      </c>
      <c r="F337" s="15">
        <v>300</v>
      </c>
      <c r="G337" s="15">
        <v>400</v>
      </c>
      <c r="H337" s="15">
        <f t="shared" si="34"/>
        <v>7100</v>
      </c>
      <c r="I337" s="15">
        <f t="shared" si="35"/>
        <v>0</v>
      </c>
      <c r="J337" s="16"/>
      <c r="K337" s="15"/>
      <c r="L337" s="15">
        <f t="shared" si="30"/>
        <v>0</v>
      </c>
      <c r="M337" s="16"/>
      <c r="N337" s="16"/>
      <c r="O337" s="15">
        <f t="shared" si="31"/>
        <v>0</v>
      </c>
      <c r="P337" s="15">
        <f t="shared" si="32"/>
        <v>0</v>
      </c>
      <c r="Q337" s="15">
        <f t="shared" si="33"/>
        <v>0</v>
      </c>
      <c r="R337" s="17">
        <v>1472</v>
      </c>
    </row>
    <row r="338" spans="1:18" ht="16.5" x14ac:dyDescent="0.25">
      <c r="A338" s="12">
        <v>1473</v>
      </c>
      <c r="B338" s="13" t="s">
        <v>307</v>
      </c>
      <c r="C338" s="13" t="s">
        <v>25</v>
      </c>
      <c r="D338" s="16"/>
      <c r="E338" s="15">
        <v>6400</v>
      </c>
      <c r="F338" s="15">
        <v>300</v>
      </c>
      <c r="G338" s="15">
        <v>400</v>
      </c>
      <c r="H338" s="15">
        <f t="shared" si="34"/>
        <v>7100</v>
      </c>
      <c r="I338" s="15">
        <f t="shared" si="35"/>
        <v>0</v>
      </c>
      <c r="J338" s="16"/>
      <c r="K338" s="15"/>
      <c r="L338" s="15">
        <f t="shared" si="30"/>
        <v>0</v>
      </c>
      <c r="M338" s="16"/>
      <c r="N338" s="16"/>
      <c r="O338" s="15">
        <f t="shared" si="31"/>
        <v>0</v>
      </c>
      <c r="P338" s="15">
        <f t="shared" si="32"/>
        <v>0</v>
      </c>
      <c r="Q338" s="15">
        <f t="shared" si="33"/>
        <v>0</v>
      </c>
      <c r="R338" s="17">
        <v>1473</v>
      </c>
    </row>
    <row r="339" spans="1:18" ht="16.5" x14ac:dyDescent="0.25">
      <c r="A339" s="12">
        <v>1474</v>
      </c>
      <c r="B339" s="13" t="s">
        <v>131</v>
      </c>
      <c r="C339" s="13" t="s">
        <v>25</v>
      </c>
      <c r="D339" s="16">
        <v>149</v>
      </c>
      <c r="E339" s="15">
        <v>6400</v>
      </c>
      <c r="F339" s="15">
        <v>500</v>
      </c>
      <c r="G339" s="15">
        <v>400</v>
      </c>
      <c r="H339" s="15">
        <f t="shared" si="34"/>
        <v>7300</v>
      </c>
      <c r="I339" s="15">
        <f t="shared" si="35"/>
        <v>1087700</v>
      </c>
      <c r="J339" s="16"/>
      <c r="K339" s="15">
        <v>600000</v>
      </c>
      <c r="L339" s="15">
        <f t="shared" si="30"/>
        <v>2980</v>
      </c>
      <c r="M339" s="20"/>
      <c r="N339" s="20"/>
      <c r="O339" s="15">
        <f t="shared" si="31"/>
        <v>37250</v>
      </c>
      <c r="P339" s="15">
        <f t="shared" si="32"/>
        <v>640230</v>
      </c>
      <c r="Q339" s="15">
        <f t="shared" si="33"/>
        <v>447470</v>
      </c>
      <c r="R339" s="17">
        <v>1474</v>
      </c>
    </row>
    <row r="340" spans="1:18" ht="16.5" x14ac:dyDescent="0.25">
      <c r="A340" s="12">
        <v>1476</v>
      </c>
      <c r="B340" s="13" t="s">
        <v>308</v>
      </c>
      <c r="C340" s="13" t="s">
        <v>25</v>
      </c>
      <c r="D340" s="16"/>
      <c r="E340" s="15">
        <v>6400</v>
      </c>
      <c r="F340" s="15">
        <v>300</v>
      </c>
      <c r="G340" s="15">
        <v>400</v>
      </c>
      <c r="H340" s="15">
        <f t="shared" si="34"/>
        <v>7100</v>
      </c>
      <c r="I340" s="15">
        <f t="shared" si="35"/>
        <v>0</v>
      </c>
      <c r="J340" s="16"/>
      <c r="K340" s="15"/>
      <c r="L340" s="15">
        <f t="shared" si="30"/>
        <v>0</v>
      </c>
      <c r="M340" s="16"/>
      <c r="N340" s="16"/>
      <c r="O340" s="15">
        <f t="shared" si="31"/>
        <v>0</v>
      </c>
      <c r="P340" s="15">
        <f t="shared" si="32"/>
        <v>0</v>
      </c>
      <c r="Q340" s="15">
        <f t="shared" si="33"/>
        <v>0</v>
      </c>
      <c r="R340" s="17">
        <v>1476</v>
      </c>
    </row>
    <row r="341" spans="1:18" ht="16.5" x14ac:dyDescent="0.25">
      <c r="A341" s="12">
        <v>1477</v>
      </c>
      <c r="B341" s="13" t="s">
        <v>112</v>
      </c>
      <c r="C341" s="13" t="s">
        <v>43</v>
      </c>
      <c r="D341" s="16"/>
      <c r="E341" s="15">
        <v>6400</v>
      </c>
      <c r="F341" s="15">
        <v>300</v>
      </c>
      <c r="G341" s="15">
        <v>400</v>
      </c>
      <c r="H341" s="15">
        <f t="shared" si="34"/>
        <v>7100</v>
      </c>
      <c r="I341" s="15">
        <f t="shared" si="35"/>
        <v>0</v>
      </c>
      <c r="J341" s="20"/>
      <c r="K341" s="15"/>
      <c r="L341" s="15">
        <f t="shared" si="30"/>
        <v>0</v>
      </c>
      <c r="M341" s="16"/>
      <c r="N341" s="16"/>
      <c r="O341" s="15">
        <f t="shared" si="31"/>
        <v>0</v>
      </c>
      <c r="P341" s="15">
        <f t="shared" si="32"/>
        <v>0</v>
      </c>
      <c r="Q341" s="15">
        <f t="shared" si="33"/>
        <v>0</v>
      </c>
      <c r="R341" s="17">
        <v>1477</v>
      </c>
    </row>
    <row r="342" spans="1:18" ht="16.5" x14ac:dyDescent="0.25">
      <c r="A342" s="12">
        <v>1480</v>
      </c>
      <c r="B342" s="13" t="s">
        <v>309</v>
      </c>
      <c r="C342" s="13" t="s">
        <v>43</v>
      </c>
      <c r="D342" s="20"/>
      <c r="E342" s="15">
        <v>6400</v>
      </c>
      <c r="F342" s="15">
        <v>300</v>
      </c>
      <c r="G342" s="15">
        <v>400</v>
      </c>
      <c r="H342" s="15">
        <f t="shared" si="34"/>
        <v>7100</v>
      </c>
      <c r="I342" s="15">
        <f t="shared" si="35"/>
        <v>0</v>
      </c>
      <c r="J342" s="16"/>
      <c r="K342" s="15"/>
      <c r="L342" s="15">
        <f t="shared" si="30"/>
        <v>0</v>
      </c>
      <c r="M342" s="20"/>
      <c r="N342" s="20"/>
      <c r="O342" s="15">
        <f t="shared" si="31"/>
        <v>0</v>
      </c>
      <c r="P342" s="15">
        <f t="shared" si="32"/>
        <v>0</v>
      </c>
      <c r="Q342" s="15">
        <f t="shared" si="33"/>
        <v>0</v>
      </c>
      <c r="R342" s="17">
        <v>1480</v>
      </c>
    </row>
    <row r="343" spans="1:18" ht="16.5" x14ac:dyDescent="0.25">
      <c r="A343" s="12">
        <v>1482</v>
      </c>
      <c r="B343" s="13" t="s">
        <v>310</v>
      </c>
      <c r="C343" s="13" t="s">
        <v>82</v>
      </c>
      <c r="D343" s="14"/>
      <c r="E343" s="15">
        <v>6400</v>
      </c>
      <c r="F343" s="15">
        <v>300</v>
      </c>
      <c r="G343" s="15">
        <v>400</v>
      </c>
      <c r="H343" s="15">
        <f t="shared" si="34"/>
        <v>7100</v>
      </c>
      <c r="I343" s="15">
        <f t="shared" si="35"/>
        <v>0</v>
      </c>
      <c r="J343" s="16"/>
      <c r="K343" s="15"/>
      <c r="L343" s="15">
        <f t="shared" si="30"/>
        <v>0</v>
      </c>
      <c r="M343" s="16"/>
      <c r="N343" s="16"/>
      <c r="O343" s="15">
        <f t="shared" si="31"/>
        <v>0</v>
      </c>
      <c r="P343" s="15">
        <f t="shared" si="32"/>
        <v>0</v>
      </c>
      <c r="Q343" s="15">
        <f t="shared" si="33"/>
        <v>0</v>
      </c>
      <c r="R343" s="17">
        <v>1482</v>
      </c>
    </row>
    <row r="344" spans="1:18" ht="16.5" x14ac:dyDescent="0.25">
      <c r="A344" s="12">
        <v>1484</v>
      </c>
      <c r="B344" s="13" t="s">
        <v>311</v>
      </c>
      <c r="C344" s="13" t="s">
        <v>82</v>
      </c>
      <c r="D344" s="14">
        <v>108</v>
      </c>
      <c r="E344" s="15">
        <v>6400</v>
      </c>
      <c r="F344" s="15">
        <v>600</v>
      </c>
      <c r="G344" s="15">
        <v>400</v>
      </c>
      <c r="H344" s="15">
        <f t="shared" si="34"/>
        <v>7400</v>
      </c>
      <c r="I344" s="15">
        <f t="shared" si="35"/>
        <v>799200</v>
      </c>
      <c r="J344" s="20"/>
      <c r="K344" s="15"/>
      <c r="L344" s="15">
        <f t="shared" si="30"/>
        <v>2160</v>
      </c>
      <c r="M344" s="16"/>
      <c r="N344" s="16"/>
      <c r="O344" s="15">
        <f t="shared" si="31"/>
        <v>27000</v>
      </c>
      <c r="P344" s="15">
        <f t="shared" si="32"/>
        <v>29160</v>
      </c>
      <c r="Q344" s="15">
        <f t="shared" si="33"/>
        <v>770040</v>
      </c>
      <c r="R344" s="17">
        <v>1484</v>
      </c>
    </row>
    <row r="345" spans="1:18" ht="16.5" x14ac:dyDescent="0.25">
      <c r="A345" s="12">
        <v>1485</v>
      </c>
      <c r="B345" s="13" t="s">
        <v>312</v>
      </c>
      <c r="C345" s="13" t="s">
        <v>43</v>
      </c>
      <c r="D345" s="20"/>
      <c r="E345" s="15">
        <v>6400</v>
      </c>
      <c r="F345" s="15">
        <v>300</v>
      </c>
      <c r="G345" s="15">
        <v>400</v>
      </c>
      <c r="H345" s="15">
        <f t="shared" si="34"/>
        <v>7100</v>
      </c>
      <c r="I345" s="15">
        <f t="shared" si="35"/>
        <v>0</v>
      </c>
      <c r="J345" s="16"/>
      <c r="K345" s="15"/>
      <c r="L345" s="15">
        <f t="shared" si="30"/>
        <v>0</v>
      </c>
      <c r="M345" s="16"/>
      <c r="N345" s="16"/>
      <c r="O345" s="15">
        <f t="shared" si="31"/>
        <v>0</v>
      </c>
      <c r="P345" s="15">
        <f t="shared" si="32"/>
        <v>0</v>
      </c>
      <c r="Q345" s="15">
        <f t="shared" si="33"/>
        <v>0</v>
      </c>
      <c r="R345" s="17">
        <v>1485</v>
      </c>
    </row>
    <row r="346" spans="1:18" ht="16.5" x14ac:dyDescent="0.25">
      <c r="A346" s="12">
        <v>1486</v>
      </c>
      <c r="B346" s="13" t="s">
        <v>230</v>
      </c>
      <c r="C346" s="13" t="s">
        <v>36</v>
      </c>
      <c r="D346" s="14"/>
      <c r="E346" s="15">
        <v>6400</v>
      </c>
      <c r="F346" s="15">
        <v>300</v>
      </c>
      <c r="G346" s="15">
        <v>400</v>
      </c>
      <c r="H346" s="15">
        <f t="shared" si="34"/>
        <v>7100</v>
      </c>
      <c r="I346" s="15">
        <f t="shared" si="35"/>
        <v>0</v>
      </c>
      <c r="J346" s="16"/>
      <c r="K346" s="15"/>
      <c r="L346" s="15">
        <f t="shared" si="30"/>
        <v>0</v>
      </c>
      <c r="M346" s="16"/>
      <c r="N346" s="16"/>
      <c r="O346" s="15">
        <f t="shared" si="31"/>
        <v>0</v>
      </c>
      <c r="P346" s="15">
        <f t="shared" si="32"/>
        <v>0</v>
      </c>
      <c r="Q346" s="15">
        <f t="shared" si="33"/>
        <v>0</v>
      </c>
      <c r="R346" s="17">
        <v>1486</v>
      </c>
    </row>
    <row r="347" spans="1:18" ht="16.5" x14ac:dyDescent="0.25">
      <c r="A347" s="12">
        <v>1487</v>
      </c>
      <c r="B347" s="13" t="s">
        <v>313</v>
      </c>
      <c r="C347" s="13" t="s">
        <v>82</v>
      </c>
      <c r="D347" s="14"/>
      <c r="E347" s="15">
        <v>6400</v>
      </c>
      <c r="F347" s="15">
        <v>300</v>
      </c>
      <c r="G347" s="15">
        <v>400</v>
      </c>
      <c r="H347" s="15">
        <f t="shared" si="34"/>
        <v>7100</v>
      </c>
      <c r="I347" s="15">
        <f t="shared" si="35"/>
        <v>0</v>
      </c>
      <c r="J347" s="16"/>
      <c r="K347" s="15"/>
      <c r="L347" s="15">
        <f t="shared" si="30"/>
        <v>0</v>
      </c>
      <c r="M347" s="16"/>
      <c r="N347" s="16"/>
      <c r="O347" s="15">
        <f t="shared" si="31"/>
        <v>0</v>
      </c>
      <c r="P347" s="15">
        <f t="shared" si="32"/>
        <v>0</v>
      </c>
      <c r="Q347" s="15">
        <f t="shared" si="33"/>
        <v>0</v>
      </c>
      <c r="R347" s="17">
        <v>1487</v>
      </c>
    </row>
    <row r="348" spans="1:18" ht="16.5" x14ac:dyDescent="0.25">
      <c r="A348" s="12">
        <v>1488</v>
      </c>
      <c r="B348" s="13" t="s">
        <v>185</v>
      </c>
      <c r="C348" s="13" t="s">
        <v>25</v>
      </c>
      <c r="D348" s="16"/>
      <c r="E348" s="15">
        <v>6400</v>
      </c>
      <c r="F348" s="15">
        <v>300</v>
      </c>
      <c r="G348" s="15">
        <v>400</v>
      </c>
      <c r="H348" s="15">
        <f t="shared" si="34"/>
        <v>7100</v>
      </c>
      <c r="I348" s="15">
        <f t="shared" si="35"/>
        <v>0</v>
      </c>
      <c r="J348" s="16"/>
      <c r="K348" s="15"/>
      <c r="L348" s="15">
        <f t="shared" si="30"/>
        <v>0</v>
      </c>
      <c r="M348" s="16"/>
      <c r="N348" s="16"/>
      <c r="O348" s="15">
        <f t="shared" si="31"/>
        <v>0</v>
      </c>
      <c r="P348" s="15">
        <f t="shared" si="32"/>
        <v>0</v>
      </c>
      <c r="Q348" s="15">
        <f t="shared" si="33"/>
        <v>0</v>
      </c>
      <c r="R348" s="17">
        <v>1488</v>
      </c>
    </row>
    <row r="349" spans="1:18" ht="16.5" x14ac:dyDescent="0.25">
      <c r="A349" s="12">
        <v>1489</v>
      </c>
      <c r="B349" s="13" t="s">
        <v>204</v>
      </c>
      <c r="C349" s="13" t="s">
        <v>43</v>
      </c>
      <c r="D349" s="16"/>
      <c r="E349" s="15">
        <v>6400</v>
      </c>
      <c r="F349" s="15">
        <v>300</v>
      </c>
      <c r="G349" s="15">
        <v>400</v>
      </c>
      <c r="H349" s="15">
        <f t="shared" si="34"/>
        <v>7100</v>
      </c>
      <c r="I349" s="15">
        <f t="shared" si="35"/>
        <v>0</v>
      </c>
      <c r="J349" s="16"/>
      <c r="K349" s="15"/>
      <c r="L349" s="15">
        <f t="shared" si="30"/>
        <v>0</v>
      </c>
      <c r="M349" s="20"/>
      <c r="N349" s="20"/>
      <c r="O349" s="15">
        <f t="shared" si="31"/>
        <v>0</v>
      </c>
      <c r="P349" s="15">
        <f t="shared" si="32"/>
        <v>0</v>
      </c>
      <c r="Q349" s="15">
        <f t="shared" si="33"/>
        <v>0</v>
      </c>
      <c r="R349" s="17">
        <v>1489</v>
      </c>
    </row>
    <row r="350" spans="1:18" ht="16.5" x14ac:dyDescent="0.25">
      <c r="A350" s="12">
        <v>1490</v>
      </c>
      <c r="B350" s="13" t="s">
        <v>314</v>
      </c>
      <c r="C350" s="13" t="s">
        <v>43</v>
      </c>
      <c r="D350" s="16">
        <v>91</v>
      </c>
      <c r="E350" s="15">
        <v>6400</v>
      </c>
      <c r="F350" s="15">
        <v>500</v>
      </c>
      <c r="G350" s="15">
        <v>400</v>
      </c>
      <c r="H350" s="15">
        <f t="shared" si="34"/>
        <v>7300</v>
      </c>
      <c r="I350" s="15">
        <f t="shared" si="35"/>
        <v>664300</v>
      </c>
      <c r="J350" s="16">
        <v>100000</v>
      </c>
      <c r="K350" s="15">
        <v>200000</v>
      </c>
      <c r="L350" s="15">
        <f t="shared" si="30"/>
        <v>1820</v>
      </c>
      <c r="M350" s="16"/>
      <c r="N350" s="16"/>
      <c r="O350" s="15">
        <f t="shared" si="31"/>
        <v>22750</v>
      </c>
      <c r="P350" s="15">
        <f t="shared" si="32"/>
        <v>324570</v>
      </c>
      <c r="Q350" s="15">
        <f t="shared" si="33"/>
        <v>339730</v>
      </c>
      <c r="R350" s="17">
        <v>1490</v>
      </c>
    </row>
    <row r="351" spans="1:18" ht="16.5" x14ac:dyDescent="0.25">
      <c r="A351" s="12">
        <v>1491</v>
      </c>
      <c r="B351" s="13" t="s">
        <v>315</v>
      </c>
      <c r="C351" s="13" t="s">
        <v>25</v>
      </c>
      <c r="D351" s="16"/>
      <c r="E351" s="15">
        <v>6400</v>
      </c>
      <c r="F351" s="15">
        <v>300</v>
      </c>
      <c r="G351" s="15">
        <v>400</v>
      </c>
      <c r="H351" s="15">
        <f t="shared" si="34"/>
        <v>7100</v>
      </c>
      <c r="I351" s="15">
        <f t="shared" si="35"/>
        <v>0</v>
      </c>
      <c r="J351" s="20"/>
      <c r="K351" s="15"/>
      <c r="L351" s="15">
        <f t="shared" si="30"/>
        <v>0</v>
      </c>
      <c r="M351" s="20"/>
      <c r="N351" s="20"/>
      <c r="O351" s="15">
        <f t="shared" si="31"/>
        <v>0</v>
      </c>
      <c r="P351" s="15">
        <f t="shared" si="32"/>
        <v>0</v>
      </c>
      <c r="Q351" s="15">
        <f t="shared" si="33"/>
        <v>0</v>
      </c>
      <c r="R351" s="17">
        <v>1491</v>
      </c>
    </row>
    <row r="352" spans="1:18" ht="16.5" x14ac:dyDescent="0.25">
      <c r="A352" s="12">
        <v>1493</v>
      </c>
      <c r="B352" s="13" t="s">
        <v>316</v>
      </c>
      <c r="C352" s="13" t="s">
        <v>21</v>
      </c>
      <c r="D352" s="19"/>
      <c r="E352" s="15">
        <v>6400</v>
      </c>
      <c r="F352" s="15">
        <v>300</v>
      </c>
      <c r="G352" s="15">
        <v>400</v>
      </c>
      <c r="H352" s="15">
        <f t="shared" si="34"/>
        <v>7100</v>
      </c>
      <c r="I352" s="15">
        <f t="shared" si="35"/>
        <v>0</v>
      </c>
      <c r="J352" s="16"/>
      <c r="K352" s="15"/>
      <c r="L352" s="15">
        <f t="shared" si="30"/>
        <v>0</v>
      </c>
      <c r="M352" s="20"/>
      <c r="N352" s="20"/>
      <c r="O352" s="15">
        <f t="shared" si="31"/>
        <v>0</v>
      </c>
      <c r="P352" s="15">
        <f t="shared" si="32"/>
        <v>0</v>
      </c>
      <c r="Q352" s="15">
        <f t="shared" si="33"/>
        <v>0</v>
      </c>
      <c r="R352" s="17">
        <v>1493</v>
      </c>
    </row>
    <row r="353" spans="1:18" ht="16.5" x14ac:dyDescent="0.25">
      <c r="A353" s="12">
        <v>1495</v>
      </c>
      <c r="B353" s="13" t="s">
        <v>317</v>
      </c>
      <c r="C353" s="13" t="s">
        <v>30</v>
      </c>
      <c r="D353" s="14">
        <v>270</v>
      </c>
      <c r="E353" s="15">
        <v>6400</v>
      </c>
      <c r="F353" s="15">
        <v>600</v>
      </c>
      <c r="G353" s="15">
        <v>400</v>
      </c>
      <c r="H353" s="15">
        <f t="shared" si="34"/>
        <v>7400</v>
      </c>
      <c r="I353" s="15">
        <f t="shared" si="35"/>
        <v>1998000</v>
      </c>
      <c r="J353" s="20"/>
      <c r="K353" s="15"/>
      <c r="L353" s="15">
        <f t="shared" si="30"/>
        <v>5400</v>
      </c>
      <c r="M353" s="20"/>
      <c r="N353" s="20"/>
      <c r="O353" s="15">
        <f t="shared" si="31"/>
        <v>67500</v>
      </c>
      <c r="P353" s="15">
        <f t="shared" si="32"/>
        <v>72900</v>
      </c>
      <c r="Q353" s="15">
        <f t="shared" si="33"/>
        <v>1925100</v>
      </c>
      <c r="R353" s="17">
        <v>1495</v>
      </c>
    </row>
    <row r="354" spans="1:18" ht="16.5" x14ac:dyDescent="0.25">
      <c r="A354" s="12">
        <v>1496</v>
      </c>
      <c r="B354" s="13" t="s">
        <v>318</v>
      </c>
      <c r="C354" s="13" t="s">
        <v>25</v>
      </c>
      <c r="D354" s="20"/>
      <c r="E354" s="15">
        <v>6400</v>
      </c>
      <c r="F354" s="15">
        <v>300</v>
      </c>
      <c r="G354" s="15">
        <v>400</v>
      </c>
      <c r="H354" s="15">
        <f t="shared" si="34"/>
        <v>7100</v>
      </c>
      <c r="I354" s="15">
        <f t="shared" si="35"/>
        <v>0</v>
      </c>
      <c r="J354" s="20"/>
      <c r="K354" s="15"/>
      <c r="L354" s="15">
        <f t="shared" si="30"/>
        <v>0</v>
      </c>
      <c r="M354" s="20"/>
      <c r="N354" s="20"/>
      <c r="O354" s="15">
        <f t="shared" si="31"/>
        <v>0</v>
      </c>
      <c r="P354" s="15">
        <f t="shared" si="32"/>
        <v>0</v>
      </c>
      <c r="Q354" s="15">
        <f t="shared" si="33"/>
        <v>0</v>
      </c>
      <c r="R354" s="17">
        <v>1496</v>
      </c>
    </row>
    <row r="355" spans="1:18" ht="16.5" x14ac:dyDescent="0.25">
      <c r="A355" s="12">
        <v>1497</v>
      </c>
      <c r="B355" s="13" t="s">
        <v>319</v>
      </c>
      <c r="C355" s="13" t="s">
        <v>25</v>
      </c>
      <c r="D355" s="20"/>
      <c r="E355" s="15">
        <v>6400</v>
      </c>
      <c r="F355" s="15">
        <v>300</v>
      </c>
      <c r="G355" s="15">
        <v>400</v>
      </c>
      <c r="H355" s="15">
        <f t="shared" si="34"/>
        <v>7100</v>
      </c>
      <c r="I355" s="15">
        <f t="shared" si="35"/>
        <v>0</v>
      </c>
      <c r="J355" s="20"/>
      <c r="K355" s="15"/>
      <c r="L355" s="15">
        <f t="shared" si="30"/>
        <v>0</v>
      </c>
      <c r="M355" s="16"/>
      <c r="N355" s="16"/>
      <c r="O355" s="15">
        <f t="shared" si="31"/>
        <v>0</v>
      </c>
      <c r="P355" s="15">
        <f t="shared" si="32"/>
        <v>0</v>
      </c>
      <c r="Q355" s="15">
        <f t="shared" si="33"/>
        <v>0</v>
      </c>
      <c r="R355" s="17">
        <v>1497</v>
      </c>
    </row>
    <row r="356" spans="1:18" ht="16.5" x14ac:dyDescent="0.25">
      <c r="A356" s="12">
        <v>1499</v>
      </c>
      <c r="B356" s="13" t="s">
        <v>320</v>
      </c>
      <c r="C356" s="13" t="s">
        <v>25</v>
      </c>
      <c r="D356" s="20"/>
      <c r="E356" s="15">
        <v>6400</v>
      </c>
      <c r="F356" s="15">
        <v>400</v>
      </c>
      <c r="G356" s="15">
        <v>400</v>
      </c>
      <c r="H356" s="15">
        <f t="shared" si="34"/>
        <v>7200</v>
      </c>
      <c r="I356" s="15">
        <f t="shared" si="35"/>
        <v>0</v>
      </c>
      <c r="J356" s="20"/>
      <c r="K356" s="15"/>
      <c r="L356" s="15">
        <f t="shared" si="30"/>
        <v>0</v>
      </c>
      <c r="M356" s="16"/>
      <c r="N356" s="16"/>
      <c r="O356" s="15">
        <f t="shared" si="31"/>
        <v>0</v>
      </c>
      <c r="P356" s="15">
        <f t="shared" si="32"/>
        <v>0</v>
      </c>
      <c r="Q356" s="15">
        <f t="shared" si="33"/>
        <v>0</v>
      </c>
      <c r="R356" s="17">
        <v>1499</v>
      </c>
    </row>
    <row r="357" spans="1:18" ht="16.5" x14ac:dyDescent="0.25">
      <c r="A357" s="12">
        <v>1500</v>
      </c>
      <c r="B357" s="13" t="s">
        <v>321</v>
      </c>
      <c r="C357" s="13" t="s">
        <v>54</v>
      </c>
      <c r="D357" s="19"/>
      <c r="E357" s="15">
        <v>6400</v>
      </c>
      <c r="F357" s="15">
        <v>300</v>
      </c>
      <c r="G357" s="15">
        <v>400</v>
      </c>
      <c r="H357" s="15">
        <f t="shared" si="34"/>
        <v>7100</v>
      </c>
      <c r="I357" s="15">
        <f t="shared" si="35"/>
        <v>0</v>
      </c>
      <c r="J357" s="16"/>
      <c r="K357" s="15"/>
      <c r="L357" s="15">
        <f t="shared" si="30"/>
        <v>0</v>
      </c>
      <c r="M357" s="16"/>
      <c r="N357" s="16"/>
      <c r="O357" s="15">
        <f t="shared" si="31"/>
        <v>0</v>
      </c>
      <c r="P357" s="15">
        <f t="shared" si="32"/>
        <v>0</v>
      </c>
      <c r="Q357" s="15">
        <f t="shared" si="33"/>
        <v>0</v>
      </c>
      <c r="R357" s="17">
        <v>1500</v>
      </c>
    </row>
    <row r="358" spans="1:18" ht="16.5" x14ac:dyDescent="0.25">
      <c r="A358" s="12">
        <v>1502</v>
      </c>
      <c r="B358" s="13" t="s">
        <v>322</v>
      </c>
      <c r="C358" s="13" t="s">
        <v>25</v>
      </c>
      <c r="D358" s="16"/>
      <c r="E358" s="15">
        <v>6400</v>
      </c>
      <c r="F358" s="15">
        <v>300</v>
      </c>
      <c r="G358" s="15">
        <v>400</v>
      </c>
      <c r="H358" s="15">
        <f t="shared" si="34"/>
        <v>7100</v>
      </c>
      <c r="I358" s="15">
        <f t="shared" si="35"/>
        <v>0</v>
      </c>
      <c r="J358" s="16"/>
      <c r="K358" s="15"/>
      <c r="L358" s="15">
        <f t="shared" si="30"/>
        <v>0</v>
      </c>
      <c r="M358" s="16"/>
      <c r="N358" s="16"/>
      <c r="O358" s="15">
        <f t="shared" si="31"/>
        <v>0</v>
      </c>
      <c r="P358" s="15">
        <f t="shared" si="32"/>
        <v>0</v>
      </c>
      <c r="Q358" s="15">
        <f t="shared" si="33"/>
        <v>0</v>
      </c>
      <c r="R358" s="17">
        <v>1502</v>
      </c>
    </row>
    <row r="359" spans="1:18" ht="16.5" x14ac:dyDescent="0.25">
      <c r="A359" s="12">
        <v>1503</v>
      </c>
      <c r="B359" s="13" t="s">
        <v>323</v>
      </c>
      <c r="C359" s="13" t="s">
        <v>21</v>
      </c>
      <c r="D359" s="14"/>
      <c r="E359" s="15">
        <v>6400</v>
      </c>
      <c r="F359" s="15">
        <v>300</v>
      </c>
      <c r="G359" s="15">
        <v>400</v>
      </c>
      <c r="H359" s="15">
        <f t="shared" si="34"/>
        <v>7100</v>
      </c>
      <c r="I359" s="15">
        <f t="shared" si="35"/>
        <v>0</v>
      </c>
      <c r="J359" s="16"/>
      <c r="K359" s="15"/>
      <c r="L359" s="15">
        <f t="shared" si="30"/>
        <v>0</v>
      </c>
      <c r="M359" s="16"/>
      <c r="N359" s="16"/>
      <c r="O359" s="15">
        <f t="shared" si="31"/>
        <v>0</v>
      </c>
      <c r="P359" s="15">
        <f t="shared" si="32"/>
        <v>0</v>
      </c>
      <c r="Q359" s="15">
        <f t="shared" si="33"/>
        <v>0</v>
      </c>
      <c r="R359" s="17">
        <v>1503</v>
      </c>
    </row>
    <row r="360" spans="1:18" ht="16.5" x14ac:dyDescent="0.25">
      <c r="A360" s="12">
        <v>1504</v>
      </c>
      <c r="B360" s="13" t="s">
        <v>324</v>
      </c>
      <c r="C360" s="13" t="s">
        <v>43</v>
      </c>
      <c r="D360" s="16"/>
      <c r="E360" s="15">
        <v>6400</v>
      </c>
      <c r="F360" s="15">
        <v>300</v>
      </c>
      <c r="G360" s="15">
        <v>400</v>
      </c>
      <c r="H360" s="15">
        <f t="shared" si="34"/>
        <v>7100</v>
      </c>
      <c r="I360" s="15">
        <f t="shared" si="35"/>
        <v>0</v>
      </c>
      <c r="J360" s="16"/>
      <c r="K360" s="15"/>
      <c r="L360" s="15">
        <f t="shared" si="30"/>
        <v>0</v>
      </c>
      <c r="M360" s="20"/>
      <c r="N360" s="20"/>
      <c r="O360" s="15">
        <f t="shared" si="31"/>
        <v>0</v>
      </c>
      <c r="P360" s="15">
        <f t="shared" si="32"/>
        <v>0</v>
      </c>
      <c r="Q360" s="15">
        <f t="shared" si="33"/>
        <v>0</v>
      </c>
      <c r="R360" s="17">
        <v>1504</v>
      </c>
    </row>
    <row r="361" spans="1:18" ht="16.5" x14ac:dyDescent="0.25">
      <c r="A361" s="12">
        <v>1505</v>
      </c>
      <c r="B361" s="13" t="s">
        <v>325</v>
      </c>
      <c r="C361" s="13" t="s">
        <v>25</v>
      </c>
      <c r="D361" s="16"/>
      <c r="E361" s="15">
        <v>6400</v>
      </c>
      <c r="F361" s="15">
        <v>300</v>
      </c>
      <c r="G361" s="15">
        <v>400</v>
      </c>
      <c r="H361" s="15">
        <f t="shared" si="34"/>
        <v>7100</v>
      </c>
      <c r="I361" s="15">
        <f t="shared" si="35"/>
        <v>0</v>
      </c>
      <c r="J361" s="16"/>
      <c r="K361" s="15"/>
      <c r="L361" s="15">
        <f t="shared" si="30"/>
        <v>0</v>
      </c>
      <c r="M361" s="20"/>
      <c r="N361" s="20"/>
      <c r="O361" s="15">
        <f t="shared" si="31"/>
        <v>0</v>
      </c>
      <c r="P361" s="15">
        <f t="shared" si="32"/>
        <v>0</v>
      </c>
      <c r="Q361" s="15">
        <f t="shared" si="33"/>
        <v>0</v>
      </c>
      <c r="R361" s="17">
        <v>1505</v>
      </c>
    </row>
    <row r="362" spans="1:18" ht="16.5" x14ac:dyDescent="0.25">
      <c r="A362" s="12">
        <v>1506</v>
      </c>
      <c r="B362" s="13" t="s">
        <v>326</v>
      </c>
      <c r="C362" s="13" t="s">
        <v>30</v>
      </c>
      <c r="D362" s="14">
        <v>96</v>
      </c>
      <c r="E362" s="15">
        <v>6400</v>
      </c>
      <c r="F362" s="15">
        <v>500</v>
      </c>
      <c r="G362" s="15">
        <v>400</v>
      </c>
      <c r="H362" s="15">
        <f t="shared" si="34"/>
        <v>7300</v>
      </c>
      <c r="I362" s="15">
        <f t="shared" si="35"/>
        <v>700800</v>
      </c>
      <c r="J362" s="20"/>
      <c r="K362" s="15">
        <v>400000</v>
      </c>
      <c r="L362" s="15">
        <f t="shared" si="30"/>
        <v>1920</v>
      </c>
      <c r="M362" s="16"/>
      <c r="N362" s="16"/>
      <c r="O362" s="15">
        <f t="shared" si="31"/>
        <v>24000</v>
      </c>
      <c r="P362" s="15">
        <f t="shared" si="32"/>
        <v>425920</v>
      </c>
      <c r="Q362" s="15">
        <f t="shared" si="33"/>
        <v>274880</v>
      </c>
      <c r="R362" s="17">
        <v>1506</v>
      </c>
    </row>
    <row r="363" spans="1:18" ht="16.5" x14ac:dyDescent="0.25">
      <c r="A363" s="12">
        <v>1507</v>
      </c>
      <c r="B363" s="13" t="s">
        <v>327</v>
      </c>
      <c r="C363" s="13" t="s">
        <v>25</v>
      </c>
      <c r="D363" s="20"/>
      <c r="E363" s="15">
        <v>6400</v>
      </c>
      <c r="F363" s="15">
        <v>400</v>
      </c>
      <c r="G363" s="15">
        <v>400</v>
      </c>
      <c r="H363" s="15">
        <f t="shared" si="34"/>
        <v>7200</v>
      </c>
      <c r="I363" s="15">
        <f t="shared" si="35"/>
        <v>0</v>
      </c>
      <c r="J363" s="20"/>
      <c r="K363" s="15"/>
      <c r="L363" s="15">
        <f t="shared" si="30"/>
        <v>0</v>
      </c>
      <c r="M363" s="16"/>
      <c r="N363" s="16"/>
      <c r="O363" s="15">
        <f t="shared" si="31"/>
        <v>0</v>
      </c>
      <c r="P363" s="15">
        <f t="shared" si="32"/>
        <v>0</v>
      </c>
      <c r="Q363" s="15">
        <f t="shared" si="33"/>
        <v>0</v>
      </c>
      <c r="R363" s="17">
        <v>1507</v>
      </c>
    </row>
    <row r="364" spans="1:18" ht="16.5" x14ac:dyDescent="0.25">
      <c r="A364" s="12">
        <v>1508</v>
      </c>
      <c r="B364" s="13" t="s">
        <v>304</v>
      </c>
      <c r="C364" s="13" t="s">
        <v>21</v>
      </c>
      <c r="D364" s="19"/>
      <c r="E364" s="15">
        <v>6400</v>
      </c>
      <c r="F364" s="15">
        <v>300</v>
      </c>
      <c r="G364" s="15">
        <v>400</v>
      </c>
      <c r="H364" s="15">
        <f t="shared" si="34"/>
        <v>7100</v>
      </c>
      <c r="I364" s="15">
        <f t="shared" si="35"/>
        <v>0</v>
      </c>
      <c r="J364" s="16"/>
      <c r="K364" s="15"/>
      <c r="L364" s="15">
        <f t="shared" si="30"/>
        <v>0</v>
      </c>
      <c r="M364" s="16"/>
      <c r="N364" s="16"/>
      <c r="O364" s="15">
        <f t="shared" si="31"/>
        <v>0</v>
      </c>
      <c r="P364" s="15">
        <f t="shared" si="32"/>
        <v>0</v>
      </c>
      <c r="Q364" s="15">
        <f t="shared" si="33"/>
        <v>0</v>
      </c>
      <c r="R364" s="17">
        <v>1508</v>
      </c>
    </row>
    <row r="365" spans="1:18" ht="16.5" x14ac:dyDescent="0.25">
      <c r="A365" s="12">
        <v>1509</v>
      </c>
      <c r="B365" s="13" t="s">
        <v>328</v>
      </c>
      <c r="C365" s="13" t="s">
        <v>30</v>
      </c>
      <c r="D365" s="14">
        <v>81</v>
      </c>
      <c r="E365" s="15">
        <v>6400</v>
      </c>
      <c r="F365" s="15">
        <v>500</v>
      </c>
      <c r="G365" s="15">
        <v>400</v>
      </c>
      <c r="H365" s="15">
        <f t="shared" si="34"/>
        <v>7300</v>
      </c>
      <c r="I365" s="15">
        <f t="shared" si="35"/>
        <v>591300</v>
      </c>
      <c r="J365" s="16"/>
      <c r="K365" s="15"/>
      <c r="L365" s="15">
        <f t="shared" si="30"/>
        <v>1620</v>
      </c>
      <c r="M365" s="20"/>
      <c r="N365" s="20"/>
      <c r="O365" s="15">
        <f t="shared" si="31"/>
        <v>20250</v>
      </c>
      <c r="P365" s="15">
        <f t="shared" si="32"/>
        <v>21870</v>
      </c>
      <c r="Q365" s="15">
        <f t="shared" si="33"/>
        <v>569430</v>
      </c>
      <c r="R365" s="17">
        <v>1509</v>
      </c>
    </row>
    <row r="366" spans="1:18" ht="16.5" x14ac:dyDescent="0.25">
      <c r="A366" s="12">
        <v>1512</v>
      </c>
      <c r="B366" s="13" t="s">
        <v>329</v>
      </c>
      <c r="C366" s="13" t="s">
        <v>25</v>
      </c>
      <c r="D366" s="16"/>
      <c r="E366" s="15">
        <v>6400</v>
      </c>
      <c r="F366" s="15">
        <v>300</v>
      </c>
      <c r="G366" s="15">
        <v>400</v>
      </c>
      <c r="H366" s="15">
        <f t="shared" si="34"/>
        <v>7100</v>
      </c>
      <c r="I366" s="15">
        <f t="shared" si="35"/>
        <v>0</v>
      </c>
      <c r="J366" s="16"/>
      <c r="K366" s="15"/>
      <c r="L366" s="15">
        <f t="shared" si="30"/>
        <v>0</v>
      </c>
      <c r="M366" s="16"/>
      <c r="N366" s="16"/>
      <c r="O366" s="15">
        <f t="shared" si="31"/>
        <v>0</v>
      </c>
      <c r="P366" s="15">
        <f t="shared" si="32"/>
        <v>0</v>
      </c>
      <c r="Q366" s="15">
        <f t="shared" si="33"/>
        <v>0</v>
      </c>
      <c r="R366" s="17">
        <v>1512</v>
      </c>
    </row>
    <row r="367" spans="1:18" ht="16.5" x14ac:dyDescent="0.25">
      <c r="A367" s="12">
        <v>1513</v>
      </c>
      <c r="B367" s="13" t="s">
        <v>330</v>
      </c>
      <c r="C367" s="13" t="s">
        <v>54</v>
      </c>
      <c r="D367" s="14"/>
      <c r="E367" s="15">
        <v>6400</v>
      </c>
      <c r="F367" s="15">
        <v>400</v>
      </c>
      <c r="G367" s="15">
        <v>400</v>
      </c>
      <c r="H367" s="15">
        <f t="shared" si="34"/>
        <v>7200</v>
      </c>
      <c r="I367" s="15">
        <f t="shared" si="35"/>
        <v>0</v>
      </c>
      <c r="J367" s="20"/>
      <c r="K367" s="15"/>
      <c r="L367" s="15">
        <f t="shared" si="30"/>
        <v>0</v>
      </c>
      <c r="M367" s="20"/>
      <c r="N367" s="20"/>
      <c r="O367" s="15">
        <f t="shared" si="31"/>
        <v>0</v>
      </c>
      <c r="P367" s="15">
        <f t="shared" si="32"/>
        <v>0</v>
      </c>
      <c r="Q367" s="15">
        <f t="shared" si="33"/>
        <v>0</v>
      </c>
      <c r="R367" s="17">
        <v>1513</v>
      </c>
    </row>
    <row r="368" spans="1:18" ht="16.5" x14ac:dyDescent="0.25">
      <c r="A368" s="12">
        <v>1514</v>
      </c>
      <c r="B368" s="13" t="s">
        <v>331</v>
      </c>
      <c r="C368" s="13" t="s">
        <v>30</v>
      </c>
      <c r="D368" s="19">
        <v>79</v>
      </c>
      <c r="E368" s="15">
        <v>6400</v>
      </c>
      <c r="F368" s="15">
        <v>500</v>
      </c>
      <c r="G368" s="15">
        <v>400</v>
      </c>
      <c r="H368" s="15">
        <f t="shared" si="34"/>
        <v>7300</v>
      </c>
      <c r="I368" s="15">
        <f t="shared" si="35"/>
        <v>576700</v>
      </c>
      <c r="J368" s="16"/>
      <c r="K368" s="15"/>
      <c r="L368" s="15">
        <f t="shared" si="30"/>
        <v>1580</v>
      </c>
      <c r="M368" s="16"/>
      <c r="N368" s="16"/>
      <c r="O368" s="15">
        <f t="shared" si="31"/>
        <v>19750</v>
      </c>
      <c r="P368" s="15">
        <f t="shared" si="32"/>
        <v>21330</v>
      </c>
      <c r="Q368" s="15">
        <f t="shared" si="33"/>
        <v>555370</v>
      </c>
      <c r="R368" s="17">
        <v>1514</v>
      </c>
    </row>
    <row r="369" spans="1:18" ht="16.5" x14ac:dyDescent="0.25">
      <c r="A369" s="12">
        <v>1515</v>
      </c>
      <c r="B369" s="13" t="s">
        <v>332</v>
      </c>
      <c r="C369" s="13" t="s">
        <v>43</v>
      </c>
      <c r="D369" s="16"/>
      <c r="E369" s="15">
        <v>6400</v>
      </c>
      <c r="F369" s="15">
        <v>300</v>
      </c>
      <c r="G369" s="15">
        <v>400</v>
      </c>
      <c r="H369" s="15">
        <f t="shared" si="34"/>
        <v>7100</v>
      </c>
      <c r="I369" s="15">
        <f t="shared" si="35"/>
        <v>0</v>
      </c>
      <c r="J369" s="20"/>
      <c r="K369" s="15"/>
      <c r="L369" s="15">
        <f t="shared" si="30"/>
        <v>0</v>
      </c>
      <c r="M369" s="20"/>
      <c r="N369" s="20"/>
      <c r="O369" s="15">
        <f t="shared" si="31"/>
        <v>0</v>
      </c>
      <c r="P369" s="15">
        <f t="shared" si="32"/>
        <v>0</v>
      </c>
      <c r="Q369" s="15">
        <f t="shared" si="33"/>
        <v>0</v>
      </c>
      <c r="R369" s="17">
        <v>1515</v>
      </c>
    </row>
    <row r="370" spans="1:18" ht="16.5" x14ac:dyDescent="0.25">
      <c r="A370" s="12">
        <v>1516</v>
      </c>
      <c r="B370" s="13" t="s">
        <v>333</v>
      </c>
      <c r="C370" s="13" t="s">
        <v>25</v>
      </c>
      <c r="D370" s="20"/>
      <c r="E370" s="15">
        <v>6400</v>
      </c>
      <c r="F370" s="15">
        <v>300</v>
      </c>
      <c r="G370" s="15">
        <v>400</v>
      </c>
      <c r="H370" s="15">
        <f t="shared" si="34"/>
        <v>7100</v>
      </c>
      <c r="I370" s="15">
        <f t="shared" si="35"/>
        <v>0</v>
      </c>
      <c r="J370" s="16"/>
      <c r="K370" s="15"/>
      <c r="L370" s="15">
        <f t="shared" si="30"/>
        <v>0</v>
      </c>
      <c r="M370" s="16"/>
      <c r="N370" s="16"/>
      <c r="O370" s="15">
        <f t="shared" si="31"/>
        <v>0</v>
      </c>
      <c r="P370" s="15">
        <f t="shared" si="32"/>
        <v>0</v>
      </c>
      <c r="Q370" s="15">
        <f t="shared" si="33"/>
        <v>0</v>
      </c>
      <c r="R370" s="17">
        <v>1516</v>
      </c>
    </row>
    <row r="371" spans="1:18" ht="16.5" x14ac:dyDescent="0.25">
      <c r="A371" s="12">
        <v>1517</v>
      </c>
      <c r="B371" s="13" t="s">
        <v>275</v>
      </c>
      <c r="C371" s="13" t="s">
        <v>25</v>
      </c>
      <c r="D371" s="16"/>
      <c r="E371" s="15">
        <v>6400</v>
      </c>
      <c r="F371" s="15">
        <v>300</v>
      </c>
      <c r="G371" s="15">
        <v>400</v>
      </c>
      <c r="H371" s="15">
        <f t="shared" si="34"/>
        <v>7100</v>
      </c>
      <c r="I371" s="15">
        <f t="shared" si="35"/>
        <v>0</v>
      </c>
      <c r="J371" s="20"/>
      <c r="K371" s="15"/>
      <c r="L371" s="15">
        <f t="shared" si="30"/>
        <v>0</v>
      </c>
      <c r="M371" s="16"/>
      <c r="N371" s="16"/>
      <c r="O371" s="15">
        <f t="shared" si="31"/>
        <v>0</v>
      </c>
      <c r="P371" s="15">
        <f t="shared" si="32"/>
        <v>0</v>
      </c>
      <c r="Q371" s="15">
        <f t="shared" si="33"/>
        <v>0</v>
      </c>
      <c r="R371" s="17">
        <v>1517</v>
      </c>
    </row>
    <row r="372" spans="1:18" ht="16.5" x14ac:dyDescent="0.25">
      <c r="A372" s="12">
        <v>1518</v>
      </c>
      <c r="B372" s="13" t="s">
        <v>239</v>
      </c>
      <c r="C372" s="13" t="s">
        <v>25</v>
      </c>
      <c r="D372" s="20"/>
      <c r="E372" s="15">
        <v>6400</v>
      </c>
      <c r="F372" s="15">
        <v>400</v>
      </c>
      <c r="G372" s="15">
        <v>400</v>
      </c>
      <c r="H372" s="15">
        <f t="shared" si="34"/>
        <v>7200</v>
      </c>
      <c r="I372" s="15">
        <f t="shared" si="35"/>
        <v>0</v>
      </c>
      <c r="J372" s="16"/>
      <c r="K372" s="15"/>
      <c r="L372" s="15">
        <f t="shared" si="30"/>
        <v>0</v>
      </c>
      <c r="M372" s="16"/>
      <c r="N372" s="16"/>
      <c r="O372" s="15">
        <f t="shared" si="31"/>
        <v>0</v>
      </c>
      <c r="P372" s="15">
        <f t="shared" si="32"/>
        <v>0</v>
      </c>
      <c r="Q372" s="15">
        <f t="shared" si="33"/>
        <v>0</v>
      </c>
      <c r="R372" s="17">
        <v>1518</v>
      </c>
    </row>
    <row r="373" spans="1:18" ht="16.5" x14ac:dyDescent="0.25">
      <c r="A373" s="12">
        <v>1519</v>
      </c>
      <c r="B373" s="13" t="s">
        <v>334</v>
      </c>
      <c r="C373" s="13" t="s">
        <v>16</v>
      </c>
      <c r="D373" s="14">
        <v>53</v>
      </c>
      <c r="E373" s="15">
        <v>6400</v>
      </c>
      <c r="F373" s="15">
        <v>500</v>
      </c>
      <c r="G373" s="15">
        <v>400</v>
      </c>
      <c r="H373" s="15">
        <f t="shared" si="34"/>
        <v>7300</v>
      </c>
      <c r="I373" s="15">
        <f t="shared" si="35"/>
        <v>386900</v>
      </c>
      <c r="J373" s="16"/>
      <c r="K373" s="15">
        <v>200000</v>
      </c>
      <c r="L373" s="15">
        <f t="shared" si="30"/>
        <v>1060</v>
      </c>
      <c r="M373" s="16"/>
      <c r="N373" s="16"/>
      <c r="O373" s="15">
        <f t="shared" si="31"/>
        <v>13250</v>
      </c>
      <c r="P373" s="15">
        <f t="shared" si="32"/>
        <v>214310</v>
      </c>
      <c r="Q373" s="15">
        <f t="shared" si="33"/>
        <v>172590</v>
      </c>
      <c r="R373" s="17">
        <v>1519</v>
      </c>
    </row>
    <row r="374" spans="1:18" ht="16.5" x14ac:dyDescent="0.25">
      <c r="A374" s="12">
        <v>1520</v>
      </c>
      <c r="B374" s="13" t="s">
        <v>335</v>
      </c>
      <c r="C374" s="13" t="s">
        <v>21</v>
      </c>
      <c r="D374" s="20"/>
      <c r="E374" s="15">
        <v>6400</v>
      </c>
      <c r="F374" s="15">
        <v>300</v>
      </c>
      <c r="G374" s="15">
        <v>400</v>
      </c>
      <c r="H374" s="15">
        <f t="shared" si="34"/>
        <v>7100</v>
      </c>
      <c r="I374" s="15">
        <f t="shared" si="35"/>
        <v>0</v>
      </c>
      <c r="J374" s="16"/>
      <c r="K374" s="15"/>
      <c r="L374" s="15">
        <f t="shared" si="30"/>
        <v>0</v>
      </c>
      <c r="M374" s="16"/>
      <c r="N374" s="16"/>
      <c r="O374" s="15">
        <f t="shared" si="31"/>
        <v>0</v>
      </c>
      <c r="P374" s="15">
        <f t="shared" si="32"/>
        <v>0</v>
      </c>
      <c r="Q374" s="15">
        <f t="shared" si="33"/>
        <v>0</v>
      </c>
      <c r="R374" s="17">
        <v>1520</v>
      </c>
    </row>
    <row r="375" spans="1:18" ht="16.5" x14ac:dyDescent="0.25">
      <c r="A375" s="12">
        <v>1521</v>
      </c>
      <c r="B375" s="13" t="s">
        <v>336</v>
      </c>
      <c r="C375" s="13" t="s">
        <v>36</v>
      </c>
      <c r="D375" s="14"/>
      <c r="E375" s="15">
        <v>6400</v>
      </c>
      <c r="F375" s="15">
        <v>400</v>
      </c>
      <c r="G375" s="15">
        <v>400</v>
      </c>
      <c r="H375" s="15">
        <f t="shared" si="34"/>
        <v>7200</v>
      </c>
      <c r="I375" s="15">
        <f t="shared" si="35"/>
        <v>0</v>
      </c>
      <c r="J375" s="16"/>
      <c r="K375" s="15"/>
      <c r="L375" s="15">
        <f t="shared" si="30"/>
        <v>0</v>
      </c>
      <c r="M375" s="16"/>
      <c r="N375" s="16"/>
      <c r="O375" s="15">
        <f t="shared" si="31"/>
        <v>0</v>
      </c>
      <c r="P375" s="15">
        <f t="shared" si="32"/>
        <v>0</v>
      </c>
      <c r="Q375" s="15">
        <f t="shared" si="33"/>
        <v>0</v>
      </c>
      <c r="R375" s="17">
        <v>1521</v>
      </c>
    </row>
    <row r="376" spans="1:18" ht="16.5" x14ac:dyDescent="0.25">
      <c r="A376" s="12">
        <v>1522</v>
      </c>
      <c r="B376" s="13" t="s">
        <v>337</v>
      </c>
      <c r="C376" s="13" t="s">
        <v>25</v>
      </c>
      <c r="D376" s="16"/>
      <c r="E376" s="15">
        <v>6400</v>
      </c>
      <c r="F376" s="15">
        <v>300</v>
      </c>
      <c r="G376" s="15">
        <v>400</v>
      </c>
      <c r="H376" s="15">
        <f t="shared" si="34"/>
        <v>7100</v>
      </c>
      <c r="I376" s="15">
        <f t="shared" si="35"/>
        <v>0</v>
      </c>
      <c r="J376" s="16"/>
      <c r="K376" s="15"/>
      <c r="L376" s="15">
        <f t="shared" si="30"/>
        <v>0</v>
      </c>
      <c r="M376" s="16"/>
      <c r="N376" s="16"/>
      <c r="O376" s="15">
        <f t="shared" si="31"/>
        <v>0</v>
      </c>
      <c r="P376" s="15">
        <f t="shared" si="32"/>
        <v>0</v>
      </c>
      <c r="Q376" s="15">
        <f t="shared" si="33"/>
        <v>0</v>
      </c>
      <c r="R376" s="17">
        <v>1522</v>
      </c>
    </row>
    <row r="377" spans="1:18" ht="16.5" x14ac:dyDescent="0.25">
      <c r="A377" s="12">
        <v>1523</v>
      </c>
      <c r="B377" s="13" t="s">
        <v>338</v>
      </c>
      <c r="C377" s="13" t="s">
        <v>36</v>
      </c>
      <c r="D377" s="14"/>
      <c r="E377" s="15">
        <v>6400</v>
      </c>
      <c r="F377" s="15">
        <v>300</v>
      </c>
      <c r="G377" s="15">
        <v>400</v>
      </c>
      <c r="H377" s="15">
        <f t="shared" si="34"/>
        <v>7100</v>
      </c>
      <c r="I377" s="15">
        <f t="shared" si="35"/>
        <v>0</v>
      </c>
      <c r="J377" s="16"/>
      <c r="K377" s="15"/>
      <c r="L377" s="15">
        <f t="shared" si="30"/>
        <v>0</v>
      </c>
      <c r="M377" s="20"/>
      <c r="N377" s="20"/>
      <c r="O377" s="15">
        <f t="shared" si="31"/>
        <v>0</v>
      </c>
      <c r="P377" s="15">
        <f t="shared" si="32"/>
        <v>0</v>
      </c>
      <c r="Q377" s="15">
        <f t="shared" si="33"/>
        <v>0</v>
      </c>
      <c r="R377" s="17">
        <v>1523</v>
      </c>
    </row>
    <row r="378" spans="1:18" ht="16.5" x14ac:dyDescent="0.25">
      <c r="A378" s="12">
        <v>1524</v>
      </c>
      <c r="B378" s="13" t="s">
        <v>339</v>
      </c>
      <c r="C378" s="13" t="s">
        <v>425</v>
      </c>
      <c r="D378" s="14">
        <v>93</v>
      </c>
      <c r="E378" s="15">
        <v>6400</v>
      </c>
      <c r="F378" s="15">
        <v>400</v>
      </c>
      <c r="G378" s="15">
        <v>400</v>
      </c>
      <c r="H378" s="15">
        <f t="shared" si="34"/>
        <v>7200</v>
      </c>
      <c r="I378" s="15">
        <f t="shared" si="35"/>
        <v>669600</v>
      </c>
      <c r="J378" s="16"/>
      <c r="K378" s="15"/>
      <c r="L378" s="15">
        <f t="shared" si="30"/>
        <v>1860</v>
      </c>
      <c r="M378" s="16"/>
      <c r="N378" s="16"/>
      <c r="O378" s="15">
        <f t="shared" si="31"/>
        <v>23250</v>
      </c>
      <c r="P378" s="15">
        <f t="shared" si="32"/>
        <v>25110</v>
      </c>
      <c r="Q378" s="15">
        <f t="shared" si="33"/>
        <v>644490</v>
      </c>
      <c r="R378" s="17">
        <v>1524</v>
      </c>
    </row>
    <row r="379" spans="1:18" ht="16.5" x14ac:dyDescent="0.25">
      <c r="A379" s="12">
        <v>1525</v>
      </c>
      <c r="B379" s="13" t="s">
        <v>340</v>
      </c>
      <c r="C379" s="13" t="s">
        <v>30</v>
      </c>
      <c r="D379" s="14"/>
      <c r="E379" s="15">
        <v>6400</v>
      </c>
      <c r="F379" s="15">
        <v>400</v>
      </c>
      <c r="G379" s="15">
        <v>400</v>
      </c>
      <c r="H379" s="15">
        <f t="shared" si="34"/>
        <v>7200</v>
      </c>
      <c r="I379" s="15">
        <f t="shared" si="35"/>
        <v>0</v>
      </c>
      <c r="J379" s="20"/>
      <c r="K379" s="15"/>
      <c r="L379" s="15">
        <f t="shared" si="30"/>
        <v>0</v>
      </c>
      <c r="M379" s="20"/>
      <c r="N379" s="20"/>
      <c r="O379" s="15">
        <f t="shared" si="31"/>
        <v>0</v>
      </c>
      <c r="P379" s="15">
        <f t="shared" si="32"/>
        <v>0</v>
      </c>
      <c r="Q379" s="15">
        <f t="shared" si="33"/>
        <v>0</v>
      </c>
      <c r="R379" s="17">
        <v>1525</v>
      </c>
    </row>
    <row r="380" spans="1:18" ht="16.5" x14ac:dyDescent="0.25">
      <c r="A380" s="12">
        <v>1526</v>
      </c>
      <c r="B380" s="13" t="s">
        <v>341</v>
      </c>
      <c r="C380" s="13" t="s">
        <v>43</v>
      </c>
      <c r="D380" s="20"/>
      <c r="E380" s="15">
        <v>6400</v>
      </c>
      <c r="F380" s="15">
        <v>300</v>
      </c>
      <c r="G380" s="15">
        <v>400</v>
      </c>
      <c r="H380" s="15">
        <f t="shared" si="34"/>
        <v>7100</v>
      </c>
      <c r="I380" s="15">
        <f t="shared" si="35"/>
        <v>0</v>
      </c>
      <c r="J380" s="16"/>
      <c r="K380" s="15"/>
      <c r="L380" s="15">
        <f t="shared" si="30"/>
        <v>0</v>
      </c>
      <c r="M380" s="20"/>
      <c r="N380" s="20"/>
      <c r="O380" s="15">
        <f t="shared" si="31"/>
        <v>0</v>
      </c>
      <c r="P380" s="15">
        <f t="shared" si="32"/>
        <v>0</v>
      </c>
      <c r="Q380" s="15">
        <f t="shared" si="33"/>
        <v>0</v>
      </c>
      <c r="R380" s="17">
        <v>1526</v>
      </c>
    </row>
    <row r="381" spans="1:18" ht="16.5" x14ac:dyDescent="0.25">
      <c r="A381" s="12">
        <v>1527</v>
      </c>
      <c r="B381" s="13" t="s">
        <v>342</v>
      </c>
      <c r="C381" s="13" t="s">
        <v>43</v>
      </c>
      <c r="D381" s="16"/>
      <c r="E381" s="15">
        <v>6400</v>
      </c>
      <c r="F381" s="15">
        <v>300</v>
      </c>
      <c r="G381" s="15">
        <v>400</v>
      </c>
      <c r="H381" s="15">
        <f t="shared" si="34"/>
        <v>7100</v>
      </c>
      <c r="I381" s="15">
        <f t="shared" si="35"/>
        <v>0</v>
      </c>
      <c r="J381" s="20"/>
      <c r="K381" s="15"/>
      <c r="L381" s="15">
        <f t="shared" si="30"/>
        <v>0</v>
      </c>
      <c r="M381" s="20"/>
      <c r="N381" s="20"/>
      <c r="O381" s="15">
        <f t="shared" si="31"/>
        <v>0</v>
      </c>
      <c r="P381" s="15">
        <f t="shared" si="32"/>
        <v>0</v>
      </c>
      <c r="Q381" s="15">
        <f t="shared" si="33"/>
        <v>0</v>
      </c>
      <c r="R381" s="17">
        <v>1527</v>
      </c>
    </row>
    <row r="382" spans="1:18" ht="16.5" x14ac:dyDescent="0.25">
      <c r="A382" s="12">
        <v>1528</v>
      </c>
      <c r="B382" s="13" t="s">
        <v>343</v>
      </c>
      <c r="C382" s="13" t="s">
        <v>36</v>
      </c>
      <c r="D382" s="19"/>
      <c r="E382" s="15">
        <v>6400</v>
      </c>
      <c r="F382" s="15">
        <v>300</v>
      </c>
      <c r="G382" s="15">
        <v>400</v>
      </c>
      <c r="H382" s="15">
        <f t="shared" si="34"/>
        <v>7100</v>
      </c>
      <c r="I382" s="15">
        <f t="shared" si="35"/>
        <v>0</v>
      </c>
      <c r="J382" s="20"/>
      <c r="K382" s="15"/>
      <c r="L382" s="15">
        <f t="shared" si="30"/>
        <v>0</v>
      </c>
      <c r="M382" s="20"/>
      <c r="N382" s="20"/>
      <c r="O382" s="15">
        <f t="shared" si="31"/>
        <v>0</v>
      </c>
      <c r="P382" s="15">
        <f t="shared" si="32"/>
        <v>0</v>
      </c>
      <c r="Q382" s="15">
        <f t="shared" si="33"/>
        <v>0</v>
      </c>
      <c r="R382" s="17">
        <v>1528</v>
      </c>
    </row>
    <row r="383" spans="1:18" ht="16.5" x14ac:dyDescent="0.25">
      <c r="A383" s="12">
        <v>1529</v>
      </c>
      <c r="B383" s="13" t="s">
        <v>344</v>
      </c>
      <c r="C383" s="13" t="s">
        <v>36</v>
      </c>
      <c r="D383" s="19"/>
      <c r="E383" s="15">
        <v>6400</v>
      </c>
      <c r="F383" s="15">
        <v>300</v>
      </c>
      <c r="G383" s="15">
        <v>400</v>
      </c>
      <c r="H383" s="15">
        <f t="shared" si="34"/>
        <v>7100</v>
      </c>
      <c r="I383" s="15">
        <f t="shared" si="35"/>
        <v>0</v>
      </c>
      <c r="J383" s="20"/>
      <c r="K383" s="15"/>
      <c r="L383" s="15">
        <f t="shared" si="30"/>
        <v>0</v>
      </c>
      <c r="M383" s="20"/>
      <c r="N383" s="20"/>
      <c r="O383" s="15">
        <f t="shared" si="31"/>
        <v>0</v>
      </c>
      <c r="P383" s="15">
        <f t="shared" si="32"/>
        <v>0</v>
      </c>
      <c r="Q383" s="15">
        <f t="shared" si="33"/>
        <v>0</v>
      </c>
      <c r="R383" s="17">
        <v>1529</v>
      </c>
    </row>
    <row r="384" spans="1:18" ht="16.5" x14ac:dyDescent="0.25">
      <c r="A384" s="12">
        <v>1530</v>
      </c>
      <c r="B384" s="13" t="s">
        <v>345</v>
      </c>
      <c r="C384" s="13" t="s">
        <v>36</v>
      </c>
      <c r="D384" s="19"/>
      <c r="E384" s="15">
        <v>6400</v>
      </c>
      <c r="F384" s="15">
        <v>300</v>
      </c>
      <c r="G384" s="15">
        <v>400</v>
      </c>
      <c r="H384" s="15">
        <f t="shared" si="34"/>
        <v>7100</v>
      </c>
      <c r="I384" s="15">
        <f t="shared" si="35"/>
        <v>0</v>
      </c>
      <c r="J384" s="20"/>
      <c r="K384" s="15"/>
      <c r="L384" s="15">
        <f t="shared" si="30"/>
        <v>0</v>
      </c>
      <c r="M384" s="16"/>
      <c r="N384" s="16"/>
      <c r="O384" s="15">
        <f t="shared" si="31"/>
        <v>0</v>
      </c>
      <c r="P384" s="15">
        <f t="shared" si="32"/>
        <v>0</v>
      </c>
      <c r="Q384" s="15">
        <f t="shared" si="33"/>
        <v>0</v>
      </c>
      <c r="R384" s="17">
        <v>1530</v>
      </c>
    </row>
    <row r="385" spans="1:18" ht="16.5" x14ac:dyDescent="0.25">
      <c r="A385" s="12">
        <v>1531</v>
      </c>
      <c r="B385" s="13" t="s">
        <v>346</v>
      </c>
      <c r="C385" s="13" t="s">
        <v>36</v>
      </c>
      <c r="D385" s="19"/>
      <c r="E385" s="15">
        <v>6400</v>
      </c>
      <c r="F385" s="15">
        <v>300</v>
      </c>
      <c r="G385" s="15">
        <v>400</v>
      </c>
      <c r="H385" s="15">
        <f t="shared" si="34"/>
        <v>7100</v>
      </c>
      <c r="I385" s="15">
        <f t="shared" si="35"/>
        <v>0</v>
      </c>
      <c r="J385" s="20"/>
      <c r="K385" s="15"/>
      <c r="L385" s="15">
        <f t="shared" si="30"/>
        <v>0</v>
      </c>
      <c r="M385" s="16"/>
      <c r="N385" s="16"/>
      <c r="O385" s="15">
        <f t="shared" si="31"/>
        <v>0</v>
      </c>
      <c r="P385" s="15">
        <f t="shared" si="32"/>
        <v>0</v>
      </c>
      <c r="Q385" s="15">
        <f t="shared" si="33"/>
        <v>0</v>
      </c>
      <c r="R385" s="17">
        <v>1531</v>
      </c>
    </row>
    <row r="386" spans="1:18" ht="16.5" x14ac:dyDescent="0.25">
      <c r="A386" s="12">
        <v>1532</v>
      </c>
      <c r="B386" s="13" t="s">
        <v>347</v>
      </c>
      <c r="C386" s="13" t="s">
        <v>36</v>
      </c>
      <c r="D386" s="19"/>
      <c r="E386" s="15">
        <v>6400</v>
      </c>
      <c r="F386" s="15">
        <v>300</v>
      </c>
      <c r="G386" s="15">
        <v>400</v>
      </c>
      <c r="H386" s="15">
        <f t="shared" si="34"/>
        <v>7100</v>
      </c>
      <c r="I386" s="15">
        <f t="shared" si="35"/>
        <v>0</v>
      </c>
      <c r="J386" s="16"/>
      <c r="K386" s="15"/>
      <c r="L386" s="15">
        <f t="shared" si="30"/>
        <v>0</v>
      </c>
      <c r="M386" s="16"/>
      <c r="N386" s="16"/>
      <c r="O386" s="15">
        <f t="shared" si="31"/>
        <v>0</v>
      </c>
      <c r="P386" s="15">
        <f t="shared" si="32"/>
        <v>0</v>
      </c>
      <c r="Q386" s="15">
        <f t="shared" si="33"/>
        <v>0</v>
      </c>
      <c r="R386" s="17">
        <v>1532</v>
      </c>
    </row>
    <row r="387" spans="1:18" ht="16.5" x14ac:dyDescent="0.25">
      <c r="A387" s="12">
        <v>1533</v>
      </c>
      <c r="B387" s="13" t="s">
        <v>198</v>
      </c>
      <c r="C387" s="13" t="s">
        <v>25</v>
      </c>
      <c r="D387" s="16">
        <v>114</v>
      </c>
      <c r="E387" s="15">
        <v>6400</v>
      </c>
      <c r="F387" s="15">
        <v>400</v>
      </c>
      <c r="G387" s="15">
        <v>400</v>
      </c>
      <c r="H387" s="15">
        <f t="shared" si="34"/>
        <v>7200</v>
      </c>
      <c r="I387" s="15">
        <f t="shared" si="35"/>
        <v>820800</v>
      </c>
      <c r="J387" s="16"/>
      <c r="K387" s="15">
        <v>400000</v>
      </c>
      <c r="L387" s="15">
        <f t="shared" si="30"/>
        <v>2280</v>
      </c>
      <c r="M387" s="16"/>
      <c r="N387" s="16"/>
      <c r="O387" s="15">
        <f t="shared" si="31"/>
        <v>28500</v>
      </c>
      <c r="P387" s="15">
        <f t="shared" si="32"/>
        <v>430780</v>
      </c>
      <c r="Q387" s="15">
        <f t="shared" si="33"/>
        <v>390020</v>
      </c>
      <c r="R387" s="17">
        <v>1533</v>
      </c>
    </row>
    <row r="388" spans="1:18" ht="16.5" x14ac:dyDescent="0.25">
      <c r="A388" s="12">
        <v>1534</v>
      </c>
      <c r="B388" s="13" t="s">
        <v>348</v>
      </c>
      <c r="C388" s="13" t="s">
        <v>36</v>
      </c>
      <c r="D388" s="14"/>
      <c r="E388" s="15">
        <v>6400</v>
      </c>
      <c r="F388" s="15">
        <v>300</v>
      </c>
      <c r="G388" s="15">
        <v>400</v>
      </c>
      <c r="H388" s="15">
        <f t="shared" si="34"/>
        <v>7100</v>
      </c>
      <c r="I388" s="15">
        <f t="shared" si="35"/>
        <v>0</v>
      </c>
      <c r="J388" s="16"/>
      <c r="K388" s="15"/>
      <c r="L388" s="15">
        <f t="shared" si="30"/>
        <v>0</v>
      </c>
      <c r="M388" s="20"/>
      <c r="N388" s="20"/>
      <c r="O388" s="15">
        <f t="shared" si="31"/>
        <v>0</v>
      </c>
      <c r="P388" s="15">
        <f t="shared" si="32"/>
        <v>0</v>
      </c>
      <c r="Q388" s="15">
        <f t="shared" si="33"/>
        <v>0</v>
      </c>
      <c r="R388" s="17">
        <v>1534</v>
      </c>
    </row>
    <row r="389" spans="1:18" ht="16.5" x14ac:dyDescent="0.25">
      <c r="A389" s="12">
        <v>1535</v>
      </c>
      <c r="B389" s="13" t="s">
        <v>136</v>
      </c>
      <c r="C389" s="13" t="s">
        <v>47</v>
      </c>
      <c r="D389" s="14"/>
      <c r="E389" s="15">
        <v>6400</v>
      </c>
      <c r="F389" s="15">
        <v>300</v>
      </c>
      <c r="G389" s="15">
        <v>400</v>
      </c>
      <c r="H389" s="15">
        <f t="shared" si="34"/>
        <v>7100</v>
      </c>
      <c r="I389" s="15">
        <f t="shared" si="35"/>
        <v>0</v>
      </c>
      <c r="J389" s="16"/>
      <c r="K389" s="15"/>
      <c r="L389" s="15">
        <f t="shared" ref="L389:L452" si="36">D389*20</f>
        <v>0</v>
      </c>
      <c r="M389" s="16"/>
      <c r="N389" s="16"/>
      <c r="O389" s="15">
        <f t="shared" ref="O389:O452" si="37">250*D389</f>
        <v>0</v>
      </c>
      <c r="P389" s="15">
        <f t="shared" ref="P389:P452" si="38">SUM(J389:O389)</f>
        <v>0</v>
      </c>
      <c r="Q389" s="15">
        <f t="shared" ref="Q389:Q452" si="39">I389-P389</f>
        <v>0</v>
      </c>
      <c r="R389" s="17">
        <v>1535</v>
      </c>
    </row>
    <row r="390" spans="1:18" ht="16.5" x14ac:dyDescent="0.25">
      <c r="A390" s="12">
        <v>1536</v>
      </c>
      <c r="B390" s="13" t="s">
        <v>349</v>
      </c>
      <c r="C390" s="13" t="s">
        <v>36</v>
      </c>
      <c r="D390" s="16"/>
      <c r="E390" s="15">
        <v>6400</v>
      </c>
      <c r="F390" s="15">
        <v>400</v>
      </c>
      <c r="G390" s="15">
        <v>400</v>
      </c>
      <c r="H390" s="15">
        <f t="shared" ref="H390:H453" si="40">SUM(E390:G390)</f>
        <v>7200</v>
      </c>
      <c r="I390" s="15">
        <f t="shared" ref="I390:I453" si="41">H390*D390</f>
        <v>0</v>
      </c>
      <c r="J390" s="20"/>
      <c r="K390" s="15"/>
      <c r="L390" s="15">
        <f t="shared" si="36"/>
        <v>0</v>
      </c>
      <c r="M390" s="16"/>
      <c r="N390" s="16"/>
      <c r="O390" s="15">
        <f t="shared" si="37"/>
        <v>0</v>
      </c>
      <c r="P390" s="15">
        <f t="shared" si="38"/>
        <v>0</v>
      </c>
      <c r="Q390" s="15">
        <f t="shared" si="39"/>
        <v>0</v>
      </c>
      <c r="R390" s="17">
        <v>1536</v>
      </c>
    </row>
    <row r="391" spans="1:18" ht="16.5" x14ac:dyDescent="0.25">
      <c r="A391" s="12">
        <v>1537</v>
      </c>
      <c r="B391" s="13" t="s">
        <v>350</v>
      </c>
      <c r="C391" s="13" t="s">
        <v>54</v>
      </c>
      <c r="D391" s="19"/>
      <c r="E391" s="15">
        <v>6400</v>
      </c>
      <c r="F391" s="15">
        <v>400</v>
      </c>
      <c r="G391" s="15">
        <v>400</v>
      </c>
      <c r="H391" s="15">
        <f t="shared" si="40"/>
        <v>7200</v>
      </c>
      <c r="I391" s="15">
        <f t="shared" si="41"/>
        <v>0</v>
      </c>
      <c r="J391" s="16"/>
      <c r="K391" s="15"/>
      <c r="L391" s="15">
        <f t="shared" si="36"/>
        <v>0</v>
      </c>
      <c r="M391" s="16"/>
      <c r="N391" s="16"/>
      <c r="O391" s="15">
        <f t="shared" si="37"/>
        <v>0</v>
      </c>
      <c r="P391" s="15">
        <f t="shared" si="38"/>
        <v>0</v>
      </c>
      <c r="Q391" s="15">
        <f t="shared" si="39"/>
        <v>0</v>
      </c>
      <c r="R391" s="17">
        <v>1537</v>
      </c>
    </row>
    <row r="392" spans="1:18" ht="16.5" x14ac:dyDescent="0.25">
      <c r="A392" s="12">
        <v>1538</v>
      </c>
      <c r="B392" s="13" t="s">
        <v>351</v>
      </c>
      <c r="C392" s="13" t="s">
        <v>43</v>
      </c>
      <c r="D392" s="16">
        <v>135</v>
      </c>
      <c r="E392" s="15">
        <v>6400</v>
      </c>
      <c r="F392" s="15">
        <v>600</v>
      </c>
      <c r="G392" s="15">
        <v>400</v>
      </c>
      <c r="H392" s="15">
        <f t="shared" si="40"/>
        <v>7400</v>
      </c>
      <c r="I392" s="15">
        <f t="shared" si="41"/>
        <v>999000</v>
      </c>
      <c r="J392" s="16"/>
      <c r="K392" s="15">
        <v>600000</v>
      </c>
      <c r="L392" s="15">
        <f t="shared" si="36"/>
        <v>2700</v>
      </c>
      <c r="M392" s="16"/>
      <c r="N392" s="16"/>
      <c r="O392" s="15">
        <f t="shared" si="37"/>
        <v>33750</v>
      </c>
      <c r="P392" s="15">
        <f t="shared" si="38"/>
        <v>636450</v>
      </c>
      <c r="Q392" s="15">
        <f t="shared" si="39"/>
        <v>362550</v>
      </c>
      <c r="R392" s="17">
        <v>1538</v>
      </c>
    </row>
    <row r="393" spans="1:18" ht="16.5" x14ac:dyDescent="0.25">
      <c r="A393" s="12">
        <v>1540</v>
      </c>
      <c r="B393" s="13" t="s">
        <v>352</v>
      </c>
      <c r="C393" s="13" t="s">
        <v>25</v>
      </c>
      <c r="D393" s="16"/>
      <c r="E393" s="15">
        <v>6400</v>
      </c>
      <c r="F393" s="15">
        <v>400</v>
      </c>
      <c r="G393" s="15">
        <v>400</v>
      </c>
      <c r="H393" s="15">
        <f t="shared" si="40"/>
        <v>7200</v>
      </c>
      <c r="I393" s="15">
        <f t="shared" si="41"/>
        <v>0</v>
      </c>
      <c r="J393" s="16"/>
      <c r="K393" s="15"/>
      <c r="L393" s="15">
        <f t="shared" si="36"/>
        <v>0</v>
      </c>
      <c r="M393" s="16"/>
      <c r="N393" s="16"/>
      <c r="O393" s="15">
        <f t="shared" si="37"/>
        <v>0</v>
      </c>
      <c r="P393" s="15">
        <f t="shared" si="38"/>
        <v>0</v>
      </c>
      <c r="Q393" s="15">
        <f t="shared" si="39"/>
        <v>0</v>
      </c>
      <c r="R393" s="17">
        <v>1540</v>
      </c>
    </row>
    <row r="394" spans="1:18" ht="16.5" x14ac:dyDescent="0.25">
      <c r="A394" s="12">
        <v>1542</v>
      </c>
      <c r="B394" s="13" t="s">
        <v>214</v>
      </c>
      <c r="C394" s="13" t="s">
        <v>25</v>
      </c>
      <c r="D394" s="16">
        <v>84</v>
      </c>
      <c r="E394" s="15">
        <v>6400</v>
      </c>
      <c r="F394" s="15">
        <v>500</v>
      </c>
      <c r="G394" s="15">
        <v>400</v>
      </c>
      <c r="H394" s="15">
        <f t="shared" si="40"/>
        <v>7300</v>
      </c>
      <c r="I394" s="15">
        <f t="shared" si="41"/>
        <v>613200</v>
      </c>
      <c r="J394" s="16"/>
      <c r="K394" s="15">
        <v>200000</v>
      </c>
      <c r="L394" s="15">
        <f t="shared" si="36"/>
        <v>1680</v>
      </c>
      <c r="M394" s="16"/>
      <c r="N394" s="16"/>
      <c r="O394" s="15">
        <f t="shared" si="37"/>
        <v>21000</v>
      </c>
      <c r="P394" s="15">
        <f t="shared" si="38"/>
        <v>222680</v>
      </c>
      <c r="Q394" s="15">
        <f t="shared" si="39"/>
        <v>390520</v>
      </c>
      <c r="R394" s="17">
        <v>1542</v>
      </c>
    </row>
    <row r="395" spans="1:18" ht="16.5" x14ac:dyDescent="0.25">
      <c r="A395" s="12">
        <v>1543</v>
      </c>
      <c r="B395" s="13" t="s">
        <v>353</v>
      </c>
      <c r="C395" s="13" t="s">
        <v>82</v>
      </c>
      <c r="D395" s="16">
        <v>246</v>
      </c>
      <c r="E395" s="15">
        <v>6400</v>
      </c>
      <c r="F395" s="15">
        <v>600</v>
      </c>
      <c r="G395" s="15">
        <v>400</v>
      </c>
      <c r="H395" s="15">
        <f t="shared" si="40"/>
        <v>7400</v>
      </c>
      <c r="I395" s="15">
        <f t="shared" si="41"/>
        <v>1820400</v>
      </c>
      <c r="J395" s="16">
        <v>200000</v>
      </c>
      <c r="K395" s="15">
        <v>400000</v>
      </c>
      <c r="L395" s="15">
        <f t="shared" si="36"/>
        <v>4920</v>
      </c>
      <c r="M395" s="16"/>
      <c r="N395" s="16"/>
      <c r="O395" s="15">
        <f t="shared" si="37"/>
        <v>61500</v>
      </c>
      <c r="P395" s="15">
        <f t="shared" si="38"/>
        <v>666420</v>
      </c>
      <c r="Q395" s="15">
        <f t="shared" si="39"/>
        <v>1153980</v>
      </c>
      <c r="R395" s="17">
        <v>1543</v>
      </c>
    </row>
    <row r="396" spans="1:18" ht="16.5" x14ac:dyDescent="0.25">
      <c r="A396" s="12">
        <v>1544</v>
      </c>
      <c r="B396" s="13" t="s">
        <v>354</v>
      </c>
      <c r="C396" s="13" t="s">
        <v>188</v>
      </c>
      <c r="D396" s="16">
        <v>269</v>
      </c>
      <c r="E396" s="15">
        <v>6400</v>
      </c>
      <c r="F396" s="15">
        <v>500</v>
      </c>
      <c r="G396" s="15">
        <v>400</v>
      </c>
      <c r="H396" s="15">
        <f t="shared" si="40"/>
        <v>7300</v>
      </c>
      <c r="I396" s="15">
        <f t="shared" si="41"/>
        <v>1963700</v>
      </c>
      <c r="J396" s="16"/>
      <c r="K396" s="15"/>
      <c r="L396" s="15">
        <f t="shared" si="36"/>
        <v>5380</v>
      </c>
      <c r="M396" s="16"/>
      <c r="N396" s="16"/>
      <c r="O396" s="15">
        <f t="shared" si="37"/>
        <v>67250</v>
      </c>
      <c r="P396" s="15">
        <f t="shared" si="38"/>
        <v>72630</v>
      </c>
      <c r="Q396" s="15">
        <f t="shared" si="39"/>
        <v>1891070</v>
      </c>
      <c r="R396" s="17">
        <v>1544</v>
      </c>
    </row>
    <row r="397" spans="1:18" ht="16.5" x14ac:dyDescent="0.25">
      <c r="A397" s="12">
        <v>1545</v>
      </c>
      <c r="B397" s="13" t="s">
        <v>355</v>
      </c>
      <c r="C397" s="13" t="s">
        <v>43</v>
      </c>
      <c r="D397" s="16"/>
      <c r="E397" s="15">
        <v>6400</v>
      </c>
      <c r="F397" s="15">
        <v>300</v>
      </c>
      <c r="G397" s="15">
        <v>400</v>
      </c>
      <c r="H397" s="15">
        <f t="shared" si="40"/>
        <v>7100</v>
      </c>
      <c r="I397" s="15">
        <f t="shared" si="41"/>
        <v>0</v>
      </c>
      <c r="J397" s="16"/>
      <c r="K397" s="15"/>
      <c r="L397" s="15">
        <f t="shared" si="36"/>
        <v>0</v>
      </c>
      <c r="M397" s="16"/>
      <c r="N397" s="16"/>
      <c r="O397" s="15">
        <f t="shared" si="37"/>
        <v>0</v>
      </c>
      <c r="P397" s="15">
        <f t="shared" si="38"/>
        <v>0</v>
      </c>
      <c r="Q397" s="15">
        <f t="shared" si="39"/>
        <v>0</v>
      </c>
      <c r="R397" s="17">
        <v>1545</v>
      </c>
    </row>
    <row r="398" spans="1:18" ht="16.5" x14ac:dyDescent="0.25">
      <c r="A398" s="12">
        <v>1547</v>
      </c>
      <c r="B398" s="13" t="s">
        <v>356</v>
      </c>
      <c r="C398" s="13" t="s">
        <v>47</v>
      </c>
      <c r="D398" s="16"/>
      <c r="E398" s="15">
        <v>6400</v>
      </c>
      <c r="F398" s="15">
        <v>400</v>
      </c>
      <c r="G398" s="15">
        <v>400</v>
      </c>
      <c r="H398" s="15">
        <f t="shared" si="40"/>
        <v>7200</v>
      </c>
      <c r="I398" s="15">
        <f t="shared" si="41"/>
        <v>0</v>
      </c>
      <c r="J398" s="16"/>
      <c r="K398" s="15"/>
      <c r="L398" s="15">
        <f t="shared" si="36"/>
        <v>0</v>
      </c>
      <c r="M398" s="16"/>
      <c r="N398" s="16"/>
      <c r="O398" s="15">
        <f t="shared" si="37"/>
        <v>0</v>
      </c>
      <c r="P398" s="15">
        <f t="shared" si="38"/>
        <v>0</v>
      </c>
      <c r="Q398" s="15">
        <f t="shared" si="39"/>
        <v>0</v>
      </c>
      <c r="R398" s="17">
        <v>1547</v>
      </c>
    </row>
    <row r="399" spans="1:18" ht="16.5" x14ac:dyDescent="0.25">
      <c r="A399" s="12">
        <v>1548</v>
      </c>
      <c r="B399" s="13" t="s">
        <v>357</v>
      </c>
      <c r="C399" s="13" t="s">
        <v>25</v>
      </c>
      <c r="D399" s="16"/>
      <c r="E399" s="15">
        <v>6400</v>
      </c>
      <c r="F399" s="15">
        <v>300</v>
      </c>
      <c r="G399" s="15">
        <v>400</v>
      </c>
      <c r="H399" s="15">
        <f t="shared" si="40"/>
        <v>7100</v>
      </c>
      <c r="I399" s="15">
        <f t="shared" si="41"/>
        <v>0</v>
      </c>
      <c r="J399" s="15"/>
      <c r="K399" s="15"/>
      <c r="L399" s="15">
        <f t="shared" si="36"/>
        <v>0</v>
      </c>
      <c r="M399" s="16"/>
      <c r="N399" s="16"/>
      <c r="O399" s="15">
        <f t="shared" si="37"/>
        <v>0</v>
      </c>
      <c r="P399" s="15">
        <f t="shared" si="38"/>
        <v>0</v>
      </c>
      <c r="Q399" s="15">
        <f t="shared" si="39"/>
        <v>0</v>
      </c>
      <c r="R399" s="17">
        <v>1548</v>
      </c>
    </row>
    <row r="400" spans="1:18" ht="16.5" x14ac:dyDescent="0.25">
      <c r="A400" s="12">
        <v>1549</v>
      </c>
      <c r="B400" s="13" t="s">
        <v>358</v>
      </c>
      <c r="C400" s="13" t="s">
        <v>25</v>
      </c>
      <c r="D400" s="16">
        <v>144</v>
      </c>
      <c r="E400" s="15">
        <v>6400</v>
      </c>
      <c r="F400" s="15">
        <v>400</v>
      </c>
      <c r="G400" s="15">
        <v>400</v>
      </c>
      <c r="H400" s="15">
        <f t="shared" si="40"/>
        <v>7200</v>
      </c>
      <c r="I400" s="15">
        <f t="shared" si="41"/>
        <v>1036800</v>
      </c>
      <c r="J400" s="16"/>
      <c r="K400" s="15"/>
      <c r="L400" s="15">
        <f t="shared" si="36"/>
        <v>2880</v>
      </c>
      <c r="M400" s="16"/>
      <c r="N400" s="16"/>
      <c r="O400" s="15">
        <f t="shared" si="37"/>
        <v>36000</v>
      </c>
      <c r="P400" s="15">
        <f t="shared" si="38"/>
        <v>38880</v>
      </c>
      <c r="Q400" s="15">
        <f t="shared" si="39"/>
        <v>997920</v>
      </c>
      <c r="R400" s="17">
        <v>1549</v>
      </c>
    </row>
    <row r="401" spans="1:18" ht="16.5" x14ac:dyDescent="0.25">
      <c r="A401" s="12">
        <v>1551</v>
      </c>
      <c r="B401" s="13" t="s">
        <v>359</v>
      </c>
      <c r="C401" s="13" t="s">
        <v>360</v>
      </c>
      <c r="D401" s="16"/>
      <c r="E401" s="15">
        <v>6400</v>
      </c>
      <c r="F401" s="15">
        <v>300</v>
      </c>
      <c r="G401" s="15">
        <v>400</v>
      </c>
      <c r="H401" s="15">
        <f t="shared" si="40"/>
        <v>7100</v>
      </c>
      <c r="I401" s="15">
        <f t="shared" si="41"/>
        <v>0</v>
      </c>
      <c r="J401" s="16"/>
      <c r="K401" s="15"/>
      <c r="L401" s="15">
        <f t="shared" si="36"/>
        <v>0</v>
      </c>
      <c r="M401" s="16"/>
      <c r="N401" s="16"/>
      <c r="O401" s="15">
        <f t="shared" si="37"/>
        <v>0</v>
      </c>
      <c r="P401" s="15">
        <f t="shared" si="38"/>
        <v>0</v>
      </c>
      <c r="Q401" s="15">
        <f t="shared" si="39"/>
        <v>0</v>
      </c>
      <c r="R401" s="17">
        <v>1551</v>
      </c>
    </row>
    <row r="402" spans="1:18" ht="16.5" x14ac:dyDescent="0.25">
      <c r="A402" s="12">
        <v>1552</v>
      </c>
      <c r="B402" s="13" t="s">
        <v>361</v>
      </c>
      <c r="C402" s="13" t="s">
        <v>25</v>
      </c>
      <c r="D402" s="16"/>
      <c r="E402" s="15">
        <v>6400</v>
      </c>
      <c r="F402" s="15">
        <v>300</v>
      </c>
      <c r="G402" s="15">
        <v>400</v>
      </c>
      <c r="H402" s="15">
        <f t="shared" si="40"/>
        <v>7100</v>
      </c>
      <c r="I402" s="15">
        <f t="shared" si="41"/>
        <v>0</v>
      </c>
      <c r="J402" s="16"/>
      <c r="K402" s="15"/>
      <c r="L402" s="15">
        <f t="shared" si="36"/>
        <v>0</v>
      </c>
      <c r="M402" s="16"/>
      <c r="N402" s="16"/>
      <c r="O402" s="15">
        <f t="shared" si="37"/>
        <v>0</v>
      </c>
      <c r="P402" s="15">
        <f t="shared" si="38"/>
        <v>0</v>
      </c>
      <c r="Q402" s="15">
        <f t="shared" si="39"/>
        <v>0</v>
      </c>
      <c r="R402" s="17">
        <v>1552</v>
      </c>
    </row>
    <row r="403" spans="1:18" ht="16.5" x14ac:dyDescent="0.25">
      <c r="A403" s="12">
        <v>1570</v>
      </c>
      <c r="B403" s="13" t="s">
        <v>50</v>
      </c>
      <c r="C403" s="13" t="s">
        <v>25</v>
      </c>
      <c r="D403" s="16"/>
      <c r="E403" s="15">
        <v>6400</v>
      </c>
      <c r="F403" s="15">
        <v>300</v>
      </c>
      <c r="G403" s="15">
        <v>400</v>
      </c>
      <c r="H403" s="15">
        <f t="shared" si="40"/>
        <v>7100</v>
      </c>
      <c r="I403" s="15">
        <f t="shared" si="41"/>
        <v>0</v>
      </c>
      <c r="J403" s="16"/>
      <c r="K403" s="15"/>
      <c r="L403" s="15">
        <f t="shared" si="36"/>
        <v>0</v>
      </c>
      <c r="M403" s="16"/>
      <c r="N403" s="16"/>
      <c r="O403" s="15">
        <f t="shared" si="37"/>
        <v>0</v>
      </c>
      <c r="P403" s="15">
        <f t="shared" si="38"/>
        <v>0</v>
      </c>
      <c r="Q403" s="15">
        <f t="shared" si="39"/>
        <v>0</v>
      </c>
      <c r="R403" s="17">
        <v>1570</v>
      </c>
    </row>
    <row r="404" spans="1:18" ht="16.5" x14ac:dyDescent="0.25">
      <c r="A404" s="12">
        <v>1571</v>
      </c>
      <c r="B404" s="13" t="s">
        <v>362</v>
      </c>
      <c r="C404" s="13" t="s">
        <v>25</v>
      </c>
      <c r="D404" s="16"/>
      <c r="E404" s="15">
        <v>6400</v>
      </c>
      <c r="F404" s="15">
        <v>400</v>
      </c>
      <c r="G404" s="15">
        <v>400</v>
      </c>
      <c r="H404" s="15">
        <f t="shared" si="40"/>
        <v>7200</v>
      </c>
      <c r="I404" s="15">
        <f t="shared" si="41"/>
        <v>0</v>
      </c>
      <c r="J404" s="16"/>
      <c r="K404" s="15"/>
      <c r="L404" s="15">
        <f t="shared" si="36"/>
        <v>0</v>
      </c>
      <c r="M404" s="16"/>
      <c r="N404" s="16"/>
      <c r="O404" s="15">
        <f t="shared" si="37"/>
        <v>0</v>
      </c>
      <c r="P404" s="15">
        <f t="shared" si="38"/>
        <v>0</v>
      </c>
      <c r="Q404" s="15">
        <f t="shared" si="39"/>
        <v>0</v>
      </c>
      <c r="R404" s="17">
        <v>1571</v>
      </c>
    </row>
    <row r="405" spans="1:18" ht="16.5" x14ac:dyDescent="0.25">
      <c r="A405" s="12">
        <v>1572</v>
      </c>
      <c r="B405" s="13" t="s">
        <v>363</v>
      </c>
      <c r="C405" s="13" t="s">
        <v>25</v>
      </c>
      <c r="D405" s="16">
        <v>261</v>
      </c>
      <c r="E405" s="15">
        <v>6400</v>
      </c>
      <c r="F405" s="15">
        <v>500</v>
      </c>
      <c r="G405" s="15">
        <v>400</v>
      </c>
      <c r="H405" s="15">
        <f t="shared" si="40"/>
        <v>7300</v>
      </c>
      <c r="I405" s="15">
        <f t="shared" si="41"/>
        <v>1905300</v>
      </c>
      <c r="J405" s="16"/>
      <c r="K405" s="15">
        <v>600000</v>
      </c>
      <c r="L405" s="15">
        <f t="shared" si="36"/>
        <v>5220</v>
      </c>
      <c r="M405" s="16"/>
      <c r="N405" s="16"/>
      <c r="O405" s="15">
        <f t="shared" si="37"/>
        <v>65250</v>
      </c>
      <c r="P405" s="15">
        <f t="shared" si="38"/>
        <v>670470</v>
      </c>
      <c r="Q405" s="15">
        <f t="shared" si="39"/>
        <v>1234830</v>
      </c>
      <c r="R405" s="17">
        <v>1572</v>
      </c>
    </row>
    <row r="406" spans="1:18" ht="16.5" x14ac:dyDescent="0.25">
      <c r="A406" s="12">
        <v>1573</v>
      </c>
      <c r="B406" s="13" t="s">
        <v>229</v>
      </c>
      <c r="C406" s="13" t="s">
        <v>36</v>
      </c>
      <c r="D406" s="16">
        <v>156</v>
      </c>
      <c r="E406" s="15">
        <v>6400</v>
      </c>
      <c r="F406" s="15">
        <v>400</v>
      </c>
      <c r="G406" s="15">
        <v>400</v>
      </c>
      <c r="H406" s="15">
        <f t="shared" si="40"/>
        <v>7200</v>
      </c>
      <c r="I406" s="15">
        <f t="shared" si="41"/>
        <v>1123200</v>
      </c>
      <c r="J406" s="16"/>
      <c r="K406" s="15"/>
      <c r="L406" s="15">
        <f t="shared" si="36"/>
        <v>3120</v>
      </c>
      <c r="M406" s="16"/>
      <c r="N406" s="16"/>
      <c r="O406" s="15">
        <f t="shared" si="37"/>
        <v>39000</v>
      </c>
      <c r="P406" s="15">
        <f t="shared" si="38"/>
        <v>42120</v>
      </c>
      <c r="Q406" s="15">
        <f t="shared" si="39"/>
        <v>1081080</v>
      </c>
      <c r="R406" s="17">
        <v>1573</v>
      </c>
    </row>
    <row r="407" spans="1:18" ht="16.5" x14ac:dyDescent="0.25">
      <c r="A407" s="12">
        <v>1574</v>
      </c>
      <c r="B407" s="13" t="s">
        <v>364</v>
      </c>
      <c r="C407" s="13" t="s">
        <v>36</v>
      </c>
      <c r="D407" s="16"/>
      <c r="E407" s="15">
        <v>6400</v>
      </c>
      <c r="F407" s="15">
        <v>300</v>
      </c>
      <c r="G407" s="15">
        <v>400</v>
      </c>
      <c r="H407" s="15">
        <f t="shared" si="40"/>
        <v>7100</v>
      </c>
      <c r="I407" s="15">
        <f t="shared" si="41"/>
        <v>0</v>
      </c>
      <c r="J407" s="16"/>
      <c r="K407" s="15"/>
      <c r="L407" s="15">
        <f t="shared" si="36"/>
        <v>0</v>
      </c>
      <c r="M407" s="16"/>
      <c r="N407" s="16"/>
      <c r="O407" s="15">
        <f t="shared" si="37"/>
        <v>0</v>
      </c>
      <c r="P407" s="15">
        <f t="shared" si="38"/>
        <v>0</v>
      </c>
      <c r="Q407" s="15">
        <f t="shared" si="39"/>
        <v>0</v>
      </c>
      <c r="R407" s="17">
        <v>1574</v>
      </c>
    </row>
    <row r="408" spans="1:18" ht="16.5" x14ac:dyDescent="0.25">
      <c r="A408" s="12">
        <v>1575</v>
      </c>
      <c r="B408" s="13" t="s">
        <v>365</v>
      </c>
      <c r="C408" s="13" t="s">
        <v>30</v>
      </c>
      <c r="D408" s="16"/>
      <c r="E408" s="15">
        <v>6400</v>
      </c>
      <c r="F408" s="15">
        <v>300</v>
      </c>
      <c r="G408" s="15">
        <v>400</v>
      </c>
      <c r="H408" s="15">
        <f t="shared" si="40"/>
        <v>7100</v>
      </c>
      <c r="I408" s="15">
        <f t="shared" si="41"/>
        <v>0</v>
      </c>
      <c r="J408" s="16"/>
      <c r="K408" s="15"/>
      <c r="L408" s="15">
        <f t="shared" si="36"/>
        <v>0</v>
      </c>
      <c r="M408" s="16"/>
      <c r="N408" s="16"/>
      <c r="O408" s="15">
        <f t="shared" si="37"/>
        <v>0</v>
      </c>
      <c r="P408" s="15">
        <f t="shared" si="38"/>
        <v>0</v>
      </c>
      <c r="Q408" s="15">
        <f t="shared" si="39"/>
        <v>0</v>
      </c>
      <c r="R408" s="17">
        <v>1575</v>
      </c>
    </row>
    <row r="409" spans="1:18" ht="16.5" x14ac:dyDescent="0.25">
      <c r="A409" s="12">
        <v>1576</v>
      </c>
      <c r="B409" s="13" t="s">
        <v>366</v>
      </c>
      <c r="C409" s="13" t="s">
        <v>25</v>
      </c>
      <c r="D409" s="16">
        <v>131</v>
      </c>
      <c r="E409" s="15">
        <v>6400</v>
      </c>
      <c r="F409" s="15">
        <v>400</v>
      </c>
      <c r="G409" s="15">
        <v>400</v>
      </c>
      <c r="H409" s="15">
        <f t="shared" si="40"/>
        <v>7200</v>
      </c>
      <c r="I409" s="15">
        <f t="shared" si="41"/>
        <v>943200</v>
      </c>
      <c r="J409" s="16"/>
      <c r="K409" s="15">
        <v>200000</v>
      </c>
      <c r="L409" s="15">
        <f t="shared" si="36"/>
        <v>2620</v>
      </c>
      <c r="M409" s="16"/>
      <c r="N409" s="16"/>
      <c r="O409" s="15">
        <f t="shared" si="37"/>
        <v>32750</v>
      </c>
      <c r="P409" s="15">
        <f t="shared" si="38"/>
        <v>235370</v>
      </c>
      <c r="Q409" s="15">
        <f t="shared" si="39"/>
        <v>707830</v>
      </c>
      <c r="R409" s="17">
        <v>1576</v>
      </c>
    </row>
    <row r="410" spans="1:18" ht="16.5" x14ac:dyDescent="0.25">
      <c r="A410" s="12">
        <v>1577</v>
      </c>
      <c r="B410" s="13" t="s">
        <v>101</v>
      </c>
      <c r="C410" s="13" t="s">
        <v>47</v>
      </c>
      <c r="D410" s="16">
        <v>329</v>
      </c>
      <c r="E410" s="15">
        <v>6400</v>
      </c>
      <c r="F410" s="15">
        <v>600</v>
      </c>
      <c r="G410" s="15">
        <v>400</v>
      </c>
      <c r="H410" s="15">
        <f t="shared" si="40"/>
        <v>7400</v>
      </c>
      <c r="I410" s="15">
        <f t="shared" si="41"/>
        <v>2434600</v>
      </c>
      <c r="J410" s="16"/>
      <c r="K410" s="15">
        <v>1000000</v>
      </c>
      <c r="L410" s="15">
        <f t="shared" si="36"/>
        <v>6580</v>
      </c>
      <c r="M410" s="16"/>
      <c r="N410" s="16"/>
      <c r="O410" s="15">
        <f t="shared" si="37"/>
        <v>82250</v>
      </c>
      <c r="P410" s="15">
        <f t="shared" si="38"/>
        <v>1088830</v>
      </c>
      <c r="Q410" s="15">
        <f t="shared" si="39"/>
        <v>1345770</v>
      </c>
      <c r="R410" s="17">
        <v>1577</v>
      </c>
    </row>
    <row r="411" spans="1:18" ht="16.5" x14ac:dyDescent="0.25">
      <c r="A411" s="12">
        <v>1578</v>
      </c>
      <c r="B411" s="13" t="s">
        <v>215</v>
      </c>
      <c r="C411" s="13" t="s">
        <v>17</v>
      </c>
      <c r="D411" s="29"/>
      <c r="E411" s="15">
        <v>6400</v>
      </c>
      <c r="F411" s="15">
        <v>300</v>
      </c>
      <c r="G411" s="15">
        <v>400</v>
      </c>
      <c r="H411" s="15">
        <f t="shared" si="40"/>
        <v>7100</v>
      </c>
      <c r="I411" s="15">
        <f t="shared" si="41"/>
        <v>0</v>
      </c>
      <c r="J411" s="33"/>
      <c r="K411" s="15"/>
      <c r="L411" s="15">
        <f t="shared" si="36"/>
        <v>0</v>
      </c>
      <c r="M411" s="16"/>
      <c r="N411" s="16"/>
      <c r="O411" s="15">
        <f t="shared" si="37"/>
        <v>0</v>
      </c>
      <c r="P411" s="15">
        <f t="shared" si="38"/>
        <v>0</v>
      </c>
      <c r="Q411" s="15">
        <f t="shared" si="39"/>
        <v>0</v>
      </c>
      <c r="R411" s="17">
        <v>1578</v>
      </c>
    </row>
    <row r="412" spans="1:18" ht="16.5" x14ac:dyDescent="0.25">
      <c r="A412" s="12">
        <v>1579</v>
      </c>
      <c r="B412" s="13" t="s">
        <v>367</v>
      </c>
      <c r="C412" s="13" t="s">
        <v>25</v>
      </c>
      <c r="D412" s="16"/>
      <c r="E412" s="15">
        <v>6400</v>
      </c>
      <c r="F412" s="15">
        <v>300</v>
      </c>
      <c r="G412" s="15">
        <v>400</v>
      </c>
      <c r="H412" s="15">
        <f t="shared" si="40"/>
        <v>7100</v>
      </c>
      <c r="I412" s="15">
        <f t="shared" si="41"/>
        <v>0</v>
      </c>
      <c r="J412" s="16"/>
      <c r="K412" s="15"/>
      <c r="L412" s="15">
        <f t="shared" si="36"/>
        <v>0</v>
      </c>
      <c r="M412" s="16"/>
      <c r="N412" s="16"/>
      <c r="O412" s="15">
        <f t="shared" si="37"/>
        <v>0</v>
      </c>
      <c r="P412" s="15">
        <f t="shared" si="38"/>
        <v>0</v>
      </c>
      <c r="Q412" s="15">
        <f t="shared" si="39"/>
        <v>0</v>
      </c>
      <c r="R412" s="17">
        <v>1579</v>
      </c>
    </row>
    <row r="413" spans="1:18" ht="16.5" x14ac:dyDescent="0.25">
      <c r="A413" s="12">
        <v>1580</v>
      </c>
      <c r="B413" s="13" t="s">
        <v>365</v>
      </c>
      <c r="C413" s="13" t="s">
        <v>17</v>
      </c>
      <c r="D413" s="16"/>
      <c r="E413" s="15">
        <v>6400</v>
      </c>
      <c r="F413" s="15">
        <v>300</v>
      </c>
      <c r="G413" s="15">
        <v>400</v>
      </c>
      <c r="H413" s="15">
        <f t="shared" si="40"/>
        <v>7100</v>
      </c>
      <c r="I413" s="15">
        <f t="shared" si="41"/>
        <v>0</v>
      </c>
      <c r="J413" s="16"/>
      <c r="K413" s="15"/>
      <c r="L413" s="15">
        <f t="shared" si="36"/>
        <v>0</v>
      </c>
      <c r="M413" s="16"/>
      <c r="N413" s="16"/>
      <c r="O413" s="15">
        <f t="shared" si="37"/>
        <v>0</v>
      </c>
      <c r="P413" s="15">
        <f t="shared" si="38"/>
        <v>0</v>
      </c>
      <c r="Q413" s="15">
        <f t="shared" si="39"/>
        <v>0</v>
      </c>
      <c r="R413" s="17">
        <v>1580</v>
      </c>
    </row>
    <row r="414" spans="1:18" ht="16.5" x14ac:dyDescent="0.25">
      <c r="A414" s="12">
        <v>1581</v>
      </c>
      <c r="B414" s="13" t="s">
        <v>368</v>
      </c>
      <c r="C414" s="13" t="s">
        <v>30</v>
      </c>
      <c r="D414" s="16"/>
      <c r="E414" s="15">
        <v>6400</v>
      </c>
      <c r="F414" s="15">
        <v>400</v>
      </c>
      <c r="G414" s="15">
        <v>400</v>
      </c>
      <c r="H414" s="15">
        <f t="shared" si="40"/>
        <v>7200</v>
      </c>
      <c r="I414" s="15">
        <f t="shared" si="41"/>
        <v>0</v>
      </c>
      <c r="J414" s="16"/>
      <c r="K414" s="15"/>
      <c r="L414" s="15">
        <f t="shared" si="36"/>
        <v>0</v>
      </c>
      <c r="M414" s="16"/>
      <c r="N414" s="16"/>
      <c r="O414" s="15">
        <f t="shared" si="37"/>
        <v>0</v>
      </c>
      <c r="P414" s="15">
        <f t="shared" si="38"/>
        <v>0</v>
      </c>
      <c r="Q414" s="15">
        <f t="shared" si="39"/>
        <v>0</v>
      </c>
      <c r="R414" s="17">
        <v>1581</v>
      </c>
    </row>
    <row r="415" spans="1:18" ht="16.5" x14ac:dyDescent="0.25">
      <c r="A415" s="12">
        <v>1582</v>
      </c>
      <c r="B415" s="13" t="s">
        <v>232</v>
      </c>
      <c r="C415" s="13" t="s">
        <v>16</v>
      </c>
      <c r="D415" s="16"/>
      <c r="E415" s="15">
        <v>6400</v>
      </c>
      <c r="F415" s="15">
        <v>300</v>
      </c>
      <c r="G415" s="15">
        <v>400</v>
      </c>
      <c r="H415" s="15">
        <f t="shared" si="40"/>
        <v>7100</v>
      </c>
      <c r="I415" s="15">
        <f t="shared" si="41"/>
        <v>0</v>
      </c>
      <c r="J415" s="16"/>
      <c r="K415" s="15"/>
      <c r="L415" s="15">
        <f t="shared" si="36"/>
        <v>0</v>
      </c>
      <c r="M415" s="16"/>
      <c r="N415" s="16"/>
      <c r="O415" s="15">
        <f t="shared" si="37"/>
        <v>0</v>
      </c>
      <c r="P415" s="15">
        <f t="shared" si="38"/>
        <v>0</v>
      </c>
      <c r="Q415" s="15">
        <f t="shared" si="39"/>
        <v>0</v>
      </c>
      <c r="R415" s="17">
        <v>1582</v>
      </c>
    </row>
    <row r="416" spans="1:18" ht="16.5" x14ac:dyDescent="0.25">
      <c r="A416" s="12">
        <v>1584</v>
      </c>
      <c r="B416" s="13" t="s">
        <v>369</v>
      </c>
      <c r="C416" s="13" t="s">
        <v>21</v>
      </c>
      <c r="D416" s="20"/>
      <c r="E416" s="15">
        <v>6400</v>
      </c>
      <c r="F416" s="15">
        <v>400</v>
      </c>
      <c r="G416" s="15">
        <v>400</v>
      </c>
      <c r="H416" s="15">
        <f t="shared" si="40"/>
        <v>7200</v>
      </c>
      <c r="I416" s="15">
        <f t="shared" si="41"/>
        <v>0</v>
      </c>
      <c r="J416" s="16"/>
      <c r="K416" s="15"/>
      <c r="L416" s="15">
        <f t="shared" si="36"/>
        <v>0</v>
      </c>
      <c r="M416" s="16"/>
      <c r="N416" s="16"/>
      <c r="O416" s="15">
        <f t="shared" si="37"/>
        <v>0</v>
      </c>
      <c r="P416" s="15">
        <f t="shared" si="38"/>
        <v>0</v>
      </c>
      <c r="Q416" s="15">
        <f t="shared" si="39"/>
        <v>0</v>
      </c>
      <c r="R416" s="17">
        <v>1584</v>
      </c>
    </row>
    <row r="417" spans="1:18" ht="16.5" x14ac:dyDescent="0.25">
      <c r="A417" s="12">
        <v>1585</v>
      </c>
      <c r="B417" s="13" t="s">
        <v>370</v>
      </c>
      <c r="C417" s="13" t="s">
        <v>25</v>
      </c>
      <c r="D417" s="20"/>
      <c r="E417" s="15">
        <v>6400</v>
      </c>
      <c r="F417" s="15">
        <v>300</v>
      </c>
      <c r="G417" s="15">
        <v>400</v>
      </c>
      <c r="H417" s="15">
        <f t="shared" si="40"/>
        <v>7100</v>
      </c>
      <c r="I417" s="15">
        <f t="shared" si="41"/>
        <v>0</v>
      </c>
      <c r="J417" s="16"/>
      <c r="K417" s="15"/>
      <c r="L417" s="15">
        <f t="shared" si="36"/>
        <v>0</v>
      </c>
      <c r="M417" s="16"/>
      <c r="N417" s="16"/>
      <c r="O417" s="15">
        <f t="shared" si="37"/>
        <v>0</v>
      </c>
      <c r="P417" s="15">
        <f t="shared" si="38"/>
        <v>0</v>
      </c>
      <c r="Q417" s="15">
        <f t="shared" si="39"/>
        <v>0</v>
      </c>
      <c r="R417" s="17">
        <v>1585</v>
      </c>
    </row>
    <row r="418" spans="1:18" ht="16.5" x14ac:dyDescent="0.25">
      <c r="A418" s="12">
        <v>1586</v>
      </c>
      <c r="B418" s="13" t="s">
        <v>371</v>
      </c>
      <c r="C418" s="13" t="s">
        <v>17</v>
      </c>
      <c r="D418" s="20"/>
      <c r="E418" s="15">
        <v>6400</v>
      </c>
      <c r="F418" s="15">
        <v>300</v>
      </c>
      <c r="G418" s="15">
        <v>400</v>
      </c>
      <c r="H418" s="15">
        <f t="shared" si="40"/>
        <v>7100</v>
      </c>
      <c r="I418" s="15">
        <f t="shared" si="41"/>
        <v>0</v>
      </c>
      <c r="J418" s="16"/>
      <c r="K418" s="15"/>
      <c r="L418" s="15">
        <f t="shared" si="36"/>
        <v>0</v>
      </c>
      <c r="M418" s="16"/>
      <c r="N418" s="16"/>
      <c r="O418" s="15">
        <f t="shared" si="37"/>
        <v>0</v>
      </c>
      <c r="P418" s="15">
        <f t="shared" si="38"/>
        <v>0</v>
      </c>
      <c r="Q418" s="15">
        <f t="shared" si="39"/>
        <v>0</v>
      </c>
      <c r="R418" s="17">
        <v>1586</v>
      </c>
    </row>
    <row r="419" spans="1:18" ht="16.5" x14ac:dyDescent="0.25">
      <c r="A419" s="12">
        <v>1587</v>
      </c>
      <c r="B419" s="13" t="s">
        <v>372</v>
      </c>
      <c r="C419" s="13" t="s">
        <v>36</v>
      </c>
      <c r="D419" s="20">
        <v>365</v>
      </c>
      <c r="E419" s="15">
        <v>6400</v>
      </c>
      <c r="F419" s="15">
        <v>500</v>
      </c>
      <c r="G419" s="15">
        <v>400</v>
      </c>
      <c r="H419" s="15">
        <f t="shared" si="40"/>
        <v>7300</v>
      </c>
      <c r="I419" s="15">
        <f t="shared" si="41"/>
        <v>2664500</v>
      </c>
      <c r="J419" s="20"/>
      <c r="K419" s="20"/>
      <c r="L419" s="15">
        <f t="shared" si="36"/>
        <v>7300</v>
      </c>
      <c r="M419" s="16"/>
      <c r="N419" s="16"/>
      <c r="O419" s="15">
        <f t="shared" si="37"/>
        <v>91250</v>
      </c>
      <c r="P419" s="15">
        <f t="shared" si="38"/>
        <v>98550</v>
      </c>
      <c r="Q419" s="15">
        <f t="shared" si="39"/>
        <v>2565950</v>
      </c>
      <c r="R419" s="17">
        <v>1587</v>
      </c>
    </row>
    <row r="420" spans="1:18" ht="16.5" x14ac:dyDescent="0.25">
      <c r="A420" s="12">
        <v>1588</v>
      </c>
      <c r="B420" s="13" t="s">
        <v>373</v>
      </c>
      <c r="C420" s="13" t="s">
        <v>25</v>
      </c>
      <c r="D420" s="20"/>
      <c r="E420" s="15">
        <v>6400</v>
      </c>
      <c r="F420" s="15">
        <v>300</v>
      </c>
      <c r="G420" s="15">
        <v>400</v>
      </c>
      <c r="H420" s="15">
        <f t="shared" si="40"/>
        <v>7100</v>
      </c>
      <c r="I420" s="15">
        <f t="shared" si="41"/>
        <v>0</v>
      </c>
      <c r="J420" s="16"/>
      <c r="K420" s="15"/>
      <c r="L420" s="15">
        <f t="shared" si="36"/>
        <v>0</v>
      </c>
      <c r="M420" s="16"/>
      <c r="N420" s="16"/>
      <c r="O420" s="15">
        <f t="shared" si="37"/>
        <v>0</v>
      </c>
      <c r="P420" s="15">
        <f t="shared" si="38"/>
        <v>0</v>
      </c>
      <c r="Q420" s="15">
        <f t="shared" si="39"/>
        <v>0</v>
      </c>
      <c r="R420" s="17">
        <v>1588</v>
      </c>
    </row>
    <row r="421" spans="1:18" ht="16.5" x14ac:dyDescent="0.25">
      <c r="A421" s="12">
        <v>1589</v>
      </c>
      <c r="B421" s="13" t="s">
        <v>374</v>
      </c>
      <c r="C421" s="13" t="s">
        <v>82</v>
      </c>
      <c r="D421" s="20">
        <v>263</v>
      </c>
      <c r="E421" s="15">
        <v>6400</v>
      </c>
      <c r="F421" s="15">
        <v>500</v>
      </c>
      <c r="G421" s="15">
        <v>400</v>
      </c>
      <c r="H421" s="15">
        <f t="shared" si="40"/>
        <v>7300</v>
      </c>
      <c r="I421" s="15">
        <f t="shared" si="41"/>
        <v>1919900</v>
      </c>
      <c r="J421" s="16"/>
      <c r="K421" s="15"/>
      <c r="L421" s="15">
        <f t="shared" si="36"/>
        <v>5260</v>
      </c>
      <c r="M421" s="16"/>
      <c r="N421" s="16"/>
      <c r="O421" s="15">
        <f t="shared" si="37"/>
        <v>65750</v>
      </c>
      <c r="P421" s="15">
        <f t="shared" si="38"/>
        <v>71010</v>
      </c>
      <c r="Q421" s="15">
        <f t="shared" si="39"/>
        <v>1848890</v>
      </c>
      <c r="R421" s="17">
        <v>1589</v>
      </c>
    </row>
    <row r="422" spans="1:18" ht="16.5" x14ac:dyDescent="0.25">
      <c r="A422" s="12">
        <v>1590</v>
      </c>
      <c r="B422" s="13" t="s">
        <v>375</v>
      </c>
      <c r="C422" s="13" t="s">
        <v>376</v>
      </c>
      <c r="D422" s="20"/>
      <c r="E422" s="15">
        <v>6400</v>
      </c>
      <c r="F422" s="15">
        <v>400</v>
      </c>
      <c r="G422" s="15">
        <v>400</v>
      </c>
      <c r="H422" s="15">
        <f t="shared" si="40"/>
        <v>7200</v>
      </c>
      <c r="I422" s="15">
        <f t="shared" si="41"/>
        <v>0</v>
      </c>
      <c r="J422" s="16"/>
      <c r="K422" s="15"/>
      <c r="L422" s="15">
        <f t="shared" si="36"/>
        <v>0</v>
      </c>
      <c r="M422" s="16"/>
      <c r="N422" s="16"/>
      <c r="O422" s="15">
        <f t="shared" si="37"/>
        <v>0</v>
      </c>
      <c r="P422" s="15">
        <f t="shared" si="38"/>
        <v>0</v>
      </c>
      <c r="Q422" s="15">
        <f t="shared" si="39"/>
        <v>0</v>
      </c>
      <c r="R422" s="17">
        <v>1590</v>
      </c>
    </row>
    <row r="423" spans="1:18" ht="16.5" x14ac:dyDescent="0.25">
      <c r="A423" s="12">
        <v>1591</v>
      </c>
      <c r="B423" s="13" t="s">
        <v>332</v>
      </c>
      <c r="C423" s="13" t="s">
        <v>47</v>
      </c>
      <c r="D423" s="20"/>
      <c r="E423" s="15">
        <v>6400</v>
      </c>
      <c r="F423" s="15">
        <v>300</v>
      </c>
      <c r="G423" s="15">
        <v>400</v>
      </c>
      <c r="H423" s="15">
        <f t="shared" si="40"/>
        <v>7100</v>
      </c>
      <c r="I423" s="15">
        <f t="shared" si="41"/>
        <v>0</v>
      </c>
      <c r="J423" s="16"/>
      <c r="K423" s="15"/>
      <c r="L423" s="15">
        <f t="shared" si="36"/>
        <v>0</v>
      </c>
      <c r="M423" s="16"/>
      <c r="N423" s="16"/>
      <c r="O423" s="15">
        <f t="shared" si="37"/>
        <v>0</v>
      </c>
      <c r="P423" s="15">
        <f t="shared" si="38"/>
        <v>0</v>
      </c>
      <c r="Q423" s="15">
        <f t="shared" si="39"/>
        <v>0</v>
      </c>
      <c r="R423" s="17">
        <v>1591</v>
      </c>
    </row>
    <row r="424" spans="1:18" ht="16.5" x14ac:dyDescent="0.25">
      <c r="A424" s="12">
        <v>1592</v>
      </c>
      <c r="B424" s="13" t="s">
        <v>18</v>
      </c>
      <c r="C424" s="13" t="s">
        <v>376</v>
      </c>
      <c r="D424" s="20"/>
      <c r="E424" s="15">
        <v>6400</v>
      </c>
      <c r="F424" s="15">
        <v>400</v>
      </c>
      <c r="G424" s="15">
        <v>400</v>
      </c>
      <c r="H424" s="15">
        <f t="shared" si="40"/>
        <v>7200</v>
      </c>
      <c r="I424" s="15">
        <f t="shared" si="41"/>
        <v>0</v>
      </c>
      <c r="J424" s="16"/>
      <c r="K424" s="15"/>
      <c r="L424" s="15">
        <f t="shared" si="36"/>
        <v>0</v>
      </c>
      <c r="M424" s="16"/>
      <c r="N424" s="16"/>
      <c r="O424" s="15">
        <f t="shared" si="37"/>
        <v>0</v>
      </c>
      <c r="P424" s="15">
        <f t="shared" si="38"/>
        <v>0</v>
      </c>
      <c r="Q424" s="15">
        <f t="shared" si="39"/>
        <v>0</v>
      </c>
      <c r="R424" s="17">
        <v>1592</v>
      </c>
    </row>
    <row r="425" spans="1:18" ht="16.5" x14ac:dyDescent="0.25">
      <c r="A425" s="12">
        <v>1594</v>
      </c>
      <c r="B425" s="13" t="s">
        <v>377</v>
      </c>
      <c r="C425" s="13" t="s">
        <v>36</v>
      </c>
      <c r="D425" s="20">
        <v>390</v>
      </c>
      <c r="E425" s="15">
        <v>6400</v>
      </c>
      <c r="F425" s="15">
        <v>500</v>
      </c>
      <c r="G425" s="15">
        <v>400</v>
      </c>
      <c r="H425" s="15">
        <f t="shared" si="40"/>
        <v>7300</v>
      </c>
      <c r="I425" s="15">
        <f t="shared" si="41"/>
        <v>2847000</v>
      </c>
      <c r="J425" s="16"/>
      <c r="K425" s="15"/>
      <c r="L425" s="15">
        <f t="shared" si="36"/>
        <v>7800</v>
      </c>
      <c r="M425" s="16"/>
      <c r="N425" s="16"/>
      <c r="O425" s="15">
        <f t="shared" si="37"/>
        <v>97500</v>
      </c>
      <c r="P425" s="15">
        <f t="shared" si="38"/>
        <v>105300</v>
      </c>
      <c r="Q425" s="15">
        <f t="shared" si="39"/>
        <v>2741700</v>
      </c>
      <c r="R425" s="17">
        <v>1594</v>
      </c>
    </row>
    <row r="426" spans="1:18" ht="16.5" x14ac:dyDescent="0.25">
      <c r="A426" s="12">
        <v>1595</v>
      </c>
      <c r="B426" s="13" t="s">
        <v>378</v>
      </c>
      <c r="C426" s="13" t="s">
        <v>43</v>
      </c>
      <c r="D426" s="20"/>
      <c r="E426" s="15">
        <v>6400</v>
      </c>
      <c r="F426" s="15">
        <v>300</v>
      </c>
      <c r="G426" s="15">
        <v>400</v>
      </c>
      <c r="H426" s="15">
        <f t="shared" si="40"/>
        <v>7100</v>
      </c>
      <c r="I426" s="15">
        <f t="shared" si="41"/>
        <v>0</v>
      </c>
      <c r="J426" s="16"/>
      <c r="K426" s="15"/>
      <c r="L426" s="15">
        <f t="shared" si="36"/>
        <v>0</v>
      </c>
      <c r="M426" s="16"/>
      <c r="N426" s="16"/>
      <c r="O426" s="15">
        <f t="shared" si="37"/>
        <v>0</v>
      </c>
      <c r="P426" s="15">
        <f t="shared" si="38"/>
        <v>0</v>
      </c>
      <c r="Q426" s="15">
        <f t="shared" si="39"/>
        <v>0</v>
      </c>
      <c r="R426" s="17">
        <v>1595</v>
      </c>
    </row>
    <row r="427" spans="1:18" ht="16.5" x14ac:dyDescent="0.25">
      <c r="A427" s="12">
        <v>1596</v>
      </c>
      <c r="B427" s="13" t="s">
        <v>379</v>
      </c>
      <c r="C427" s="13" t="s">
        <v>36</v>
      </c>
      <c r="D427" s="20">
        <v>519</v>
      </c>
      <c r="E427" s="15">
        <v>6400</v>
      </c>
      <c r="F427" s="15">
        <v>400</v>
      </c>
      <c r="G427" s="15">
        <v>400</v>
      </c>
      <c r="H427" s="15">
        <f t="shared" si="40"/>
        <v>7200</v>
      </c>
      <c r="I427" s="15">
        <f t="shared" si="41"/>
        <v>3736800</v>
      </c>
      <c r="J427" s="16"/>
      <c r="K427" s="15"/>
      <c r="L427" s="15">
        <f t="shared" si="36"/>
        <v>10380</v>
      </c>
      <c r="M427" s="16"/>
      <c r="N427" s="16"/>
      <c r="O427" s="15">
        <f t="shared" si="37"/>
        <v>129750</v>
      </c>
      <c r="P427" s="15">
        <f t="shared" si="38"/>
        <v>140130</v>
      </c>
      <c r="Q427" s="15">
        <f t="shared" si="39"/>
        <v>3596670</v>
      </c>
      <c r="R427" s="17">
        <v>1596</v>
      </c>
    </row>
    <row r="428" spans="1:18" ht="16.5" x14ac:dyDescent="0.25">
      <c r="A428" s="12">
        <v>1597</v>
      </c>
      <c r="B428" s="13" t="s">
        <v>380</v>
      </c>
      <c r="C428" s="13" t="s">
        <v>16</v>
      </c>
      <c r="D428" s="20"/>
      <c r="E428" s="15">
        <v>6400</v>
      </c>
      <c r="F428" s="15">
        <v>300</v>
      </c>
      <c r="G428" s="15">
        <v>400</v>
      </c>
      <c r="H428" s="15">
        <f t="shared" si="40"/>
        <v>7100</v>
      </c>
      <c r="I428" s="15">
        <f t="shared" si="41"/>
        <v>0</v>
      </c>
      <c r="J428" s="16"/>
      <c r="K428" s="15"/>
      <c r="L428" s="15">
        <f t="shared" si="36"/>
        <v>0</v>
      </c>
      <c r="M428" s="16"/>
      <c r="N428" s="16"/>
      <c r="O428" s="15">
        <f t="shared" si="37"/>
        <v>0</v>
      </c>
      <c r="P428" s="15">
        <f t="shared" si="38"/>
        <v>0</v>
      </c>
      <c r="Q428" s="15">
        <f t="shared" si="39"/>
        <v>0</v>
      </c>
      <c r="R428" s="17">
        <v>1597</v>
      </c>
    </row>
    <row r="429" spans="1:18" ht="16.5" x14ac:dyDescent="0.25">
      <c r="A429" s="12">
        <v>1598</v>
      </c>
      <c r="B429" s="13" t="s">
        <v>381</v>
      </c>
      <c r="C429" s="13" t="s">
        <v>30</v>
      </c>
      <c r="D429" s="20"/>
      <c r="E429" s="15">
        <v>6400</v>
      </c>
      <c r="F429" s="15">
        <v>400</v>
      </c>
      <c r="G429" s="15">
        <v>400</v>
      </c>
      <c r="H429" s="15">
        <f t="shared" si="40"/>
        <v>7200</v>
      </c>
      <c r="I429" s="15">
        <f t="shared" si="41"/>
        <v>0</v>
      </c>
      <c r="J429" s="16"/>
      <c r="K429" s="15"/>
      <c r="L429" s="15">
        <f t="shared" si="36"/>
        <v>0</v>
      </c>
      <c r="M429" s="16"/>
      <c r="N429" s="16"/>
      <c r="O429" s="15">
        <f t="shared" si="37"/>
        <v>0</v>
      </c>
      <c r="P429" s="15">
        <f t="shared" si="38"/>
        <v>0</v>
      </c>
      <c r="Q429" s="15">
        <f t="shared" si="39"/>
        <v>0</v>
      </c>
      <c r="R429" s="17">
        <v>1598</v>
      </c>
    </row>
    <row r="430" spans="1:18" ht="16.5" x14ac:dyDescent="0.25">
      <c r="A430" s="12">
        <v>1599</v>
      </c>
      <c r="B430" s="13" t="s">
        <v>426</v>
      </c>
      <c r="C430" s="13" t="s">
        <v>36</v>
      </c>
      <c r="D430" s="20"/>
      <c r="E430" s="15">
        <v>6400</v>
      </c>
      <c r="F430" s="15">
        <v>300</v>
      </c>
      <c r="G430" s="15">
        <v>400</v>
      </c>
      <c r="H430" s="15">
        <f t="shared" si="40"/>
        <v>7100</v>
      </c>
      <c r="I430" s="15">
        <f t="shared" si="41"/>
        <v>0</v>
      </c>
      <c r="J430" s="16"/>
      <c r="K430" s="15"/>
      <c r="L430" s="15">
        <f t="shared" si="36"/>
        <v>0</v>
      </c>
      <c r="M430" s="16"/>
      <c r="N430" s="16"/>
      <c r="O430" s="15">
        <f t="shared" si="37"/>
        <v>0</v>
      </c>
      <c r="P430" s="15">
        <f t="shared" si="38"/>
        <v>0</v>
      </c>
      <c r="Q430" s="15">
        <f t="shared" si="39"/>
        <v>0</v>
      </c>
      <c r="R430" s="17">
        <v>1599</v>
      </c>
    </row>
    <row r="431" spans="1:18" ht="16.5" x14ac:dyDescent="0.25">
      <c r="A431" s="12">
        <v>1600</v>
      </c>
      <c r="B431" s="13"/>
      <c r="C431" s="13" t="s">
        <v>47</v>
      </c>
      <c r="D431" s="20"/>
      <c r="E431" s="15">
        <v>6400</v>
      </c>
      <c r="F431" s="15">
        <v>300</v>
      </c>
      <c r="G431" s="15">
        <v>400</v>
      </c>
      <c r="H431" s="15">
        <f t="shared" si="40"/>
        <v>7100</v>
      </c>
      <c r="I431" s="15">
        <f t="shared" si="41"/>
        <v>0</v>
      </c>
      <c r="J431" s="16"/>
      <c r="K431" s="15"/>
      <c r="L431" s="15">
        <f t="shared" si="36"/>
        <v>0</v>
      </c>
      <c r="M431" s="16"/>
      <c r="N431" s="16"/>
      <c r="O431" s="15">
        <f t="shared" si="37"/>
        <v>0</v>
      </c>
      <c r="P431" s="15">
        <f t="shared" si="38"/>
        <v>0</v>
      </c>
      <c r="Q431" s="15">
        <f t="shared" si="39"/>
        <v>0</v>
      </c>
      <c r="R431" s="17">
        <v>1600</v>
      </c>
    </row>
    <row r="432" spans="1:18" ht="16.5" x14ac:dyDescent="0.25">
      <c r="A432" s="12">
        <v>1601</v>
      </c>
      <c r="B432" s="13" t="s">
        <v>424</v>
      </c>
      <c r="C432" s="13" t="s">
        <v>54</v>
      </c>
      <c r="D432" s="20"/>
      <c r="E432" s="15">
        <v>6400</v>
      </c>
      <c r="F432" s="15">
        <v>400</v>
      </c>
      <c r="G432" s="15">
        <v>400</v>
      </c>
      <c r="H432" s="15">
        <f t="shared" si="40"/>
        <v>7200</v>
      </c>
      <c r="I432" s="15">
        <f t="shared" si="41"/>
        <v>0</v>
      </c>
      <c r="J432" s="16"/>
      <c r="K432" s="15"/>
      <c r="L432" s="15">
        <f t="shared" si="36"/>
        <v>0</v>
      </c>
      <c r="M432" s="16"/>
      <c r="N432" s="16"/>
      <c r="O432" s="15">
        <f t="shared" si="37"/>
        <v>0</v>
      </c>
      <c r="P432" s="15">
        <f t="shared" si="38"/>
        <v>0</v>
      </c>
      <c r="Q432" s="15">
        <f t="shared" si="39"/>
        <v>0</v>
      </c>
      <c r="R432" s="17">
        <v>1601</v>
      </c>
    </row>
    <row r="433" spans="1:18" ht="16.5" x14ac:dyDescent="0.25">
      <c r="A433" s="12">
        <v>1602</v>
      </c>
      <c r="B433" s="13"/>
      <c r="C433" s="13"/>
      <c r="D433" s="20"/>
      <c r="E433" s="15">
        <v>6400</v>
      </c>
      <c r="F433" s="15">
        <v>300</v>
      </c>
      <c r="G433" s="15">
        <v>400</v>
      </c>
      <c r="H433" s="15">
        <f t="shared" si="40"/>
        <v>7100</v>
      </c>
      <c r="I433" s="15">
        <f t="shared" si="41"/>
        <v>0</v>
      </c>
      <c r="J433" s="16"/>
      <c r="K433" s="15"/>
      <c r="L433" s="15">
        <f t="shared" si="36"/>
        <v>0</v>
      </c>
      <c r="M433" s="16"/>
      <c r="N433" s="16"/>
      <c r="O433" s="15">
        <f t="shared" si="37"/>
        <v>0</v>
      </c>
      <c r="P433" s="15">
        <f t="shared" si="38"/>
        <v>0</v>
      </c>
      <c r="Q433" s="15">
        <f t="shared" si="39"/>
        <v>0</v>
      </c>
      <c r="R433" s="17">
        <v>1602</v>
      </c>
    </row>
    <row r="434" spans="1:18" ht="16.5" x14ac:dyDescent="0.25">
      <c r="A434" s="12">
        <v>1603</v>
      </c>
      <c r="B434" s="13" t="s">
        <v>382</v>
      </c>
      <c r="C434" s="13" t="s">
        <v>43</v>
      </c>
      <c r="D434" s="20">
        <v>108</v>
      </c>
      <c r="E434" s="15">
        <v>6400</v>
      </c>
      <c r="F434" s="15">
        <v>400</v>
      </c>
      <c r="G434" s="15">
        <v>400</v>
      </c>
      <c r="H434" s="15">
        <f t="shared" si="40"/>
        <v>7200</v>
      </c>
      <c r="I434" s="15">
        <f t="shared" si="41"/>
        <v>777600</v>
      </c>
      <c r="J434" s="16"/>
      <c r="K434" s="15">
        <v>400000</v>
      </c>
      <c r="L434" s="15">
        <f t="shared" si="36"/>
        <v>2160</v>
      </c>
      <c r="M434" s="16"/>
      <c r="N434" s="16"/>
      <c r="O434" s="15">
        <f t="shared" si="37"/>
        <v>27000</v>
      </c>
      <c r="P434" s="15">
        <f t="shared" si="38"/>
        <v>429160</v>
      </c>
      <c r="Q434" s="15">
        <f t="shared" si="39"/>
        <v>348440</v>
      </c>
      <c r="R434" s="17">
        <v>1603</v>
      </c>
    </row>
    <row r="435" spans="1:18" ht="16.5" x14ac:dyDescent="0.25">
      <c r="A435" s="12">
        <v>1604</v>
      </c>
      <c r="B435" s="13" t="s">
        <v>383</v>
      </c>
      <c r="C435" s="13" t="s">
        <v>186</v>
      </c>
      <c r="D435" s="20"/>
      <c r="E435" s="15">
        <v>6400</v>
      </c>
      <c r="F435" s="15">
        <v>300</v>
      </c>
      <c r="G435" s="15">
        <v>400</v>
      </c>
      <c r="H435" s="15">
        <f t="shared" si="40"/>
        <v>7100</v>
      </c>
      <c r="I435" s="15">
        <f t="shared" si="41"/>
        <v>0</v>
      </c>
      <c r="J435" s="16"/>
      <c r="K435" s="15"/>
      <c r="L435" s="15">
        <f t="shared" si="36"/>
        <v>0</v>
      </c>
      <c r="M435" s="16"/>
      <c r="N435" s="16"/>
      <c r="O435" s="15">
        <f t="shared" si="37"/>
        <v>0</v>
      </c>
      <c r="P435" s="15">
        <f t="shared" si="38"/>
        <v>0</v>
      </c>
      <c r="Q435" s="15">
        <f t="shared" si="39"/>
        <v>0</v>
      </c>
      <c r="R435" s="17">
        <v>1604</v>
      </c>
    </row>
    <row r="436" spans="1:18" ht="16.5" x14ac:dyDescent="0.25">
      <c r="A436" s="12">
        <v>1605</v>
      </c>
      <c r="B436" s="34" t="s">
        <v>384</v>
      </c>
      <c r="C436" s="13" t="s">
        <v>186</v>
      </c>
      <c r="D436" s="20"/>
      <c r="E436" s="15">
        <v>6400</v>
      </c>
      <c r="F436" s="15">
        <v>300</v>
      </c>
      <c r="G436" s="15">
        <v>400</v>
      </c>
      <c r="H436" s="15">
        <f t="shared" si="40"/>
        <v>7100</v>
      </c>
      <c r="I436" s="15">
        <f t="shared" si="41"/>
        <v>0</v>
      </c>
      <c r="J436" s="16"/>
      <c r="K436" s="15"/>
      <c r="L436" s="15">
        <f t="shared" si="36"/>
        <v>0</v>
      </c>
      <c r="M436" s="16"/>
      <c r="N436" s="16"/>
      <c r="O436" s="15">
        <f t="shared" si="37"/>
        <v>0</v>
      </c>
      <c r="P436" s="15">
        <f t="shared" si="38"/>
        <v>0</v>
      </c>
      <c r="Q436" s="15">
        <f t="shared" si="39"/>
        <v>0</v>
      </c>
      <c r="R436" s="17">
        <v>1605</v>
      </c>
    </row>
    <row r="437" spans="1:18" ht="16.5" x14ac:dyDescent="0.25">
      <c r="A437" s="12">
        <v>1606</v>
      </c>
      <c r="B437" s="13" t="s">
        <v>385</v>
      </c>
      <c r="C437" s="13" t="s">
        <v>43</v>
      </c>
      <c r="D437" s="20">
        <v>59</v>
      </c>
      <c r="E437" s="15">
        <v>6400</v>
      </c>
      <c r="F437" s="15">
        <v>500</v>
      </c>
      <c r="G437" s="15">
        <v>400</v>
      </c>
      <c r="H437" s="15">
        <f t="shared" si="40"/>
        <v>7300</v>
      </c>
      <c r="I437" s="15">
        <f t="shared" si="41"/>
        <v>430700</v>
      </c>
      <c r="J437" s="16"/>
      <c r="K437" s="15">
        <v>100000</v>
      </c>
      <c r="L437" s="15">
        <f t="shared" si="36"/>
        <v>1180</v>
      </c>
      <c r="M437" s="16"/>
      <c r="N437" s="16"/>
      <c r="O437" s="15">
        <f t="shared" si="37"/>
        <v>14750</v>
      </c>
      <c r="P437" s="15">
        <f t="shared" si="38"/>
        <v>115930</v>
      </c>
      <c r="Q437" s="15">
        <f t="shared" si="39"/>
        <v>314770</v>
      </c>
      <c r="R437" s="17">
        <v>1606</v>
      </c>
    </row>
    <row r="438" spans="1:18" ht="16.5" x14ac:dyDescent="0.25">
      <c r="A438" s="12">
        <v>1607</v>
      </c>
      <c r="B438" s="13" t="s">
        <v>410</v>
      </c>
      <c r="C438" s="13" t="s">
        <v>25</v>
      </c>
      <c r="D438" s="20"/>
      <c r="E438" s="15">
        <v>6400</v>
      </c>
      <c r="F438" s="15">
        <v>300</v>
      </c>
      <c r="G438" s="15">
        <v>400</v>
      </c>
      <c r="H438" s="15">
        <f t="shared" si="40"/>
        <v>7100</v>
      </c>
      <c r="I438" s="15">
        <f t="shared" si="41"/>
        <v>0</v>
      </c>
      <c r="J438" s="16"/>
      <c r="K438" s="15"/>
      <c r="L438" s="15">
        <f t="shared" si="36"/>
        <v>0</v>
      </c>
      <c r="M438" s="16"/>
      <c r="N438" s="16"/>
      <c r="O438" s="15">
        <f t="shared" si="37"/>
        <v>0</v>
      </c>
      <c r="P438" s="15">
        <f t="shared" si="38"/>
        <v>0</v>
      </c>
      <c r="Q438" s="15">
        <f t="shared" si="39"/>
        <v>0</v>
      </c>
      <c r="R438" s="17">
        <v>1607</v>
      </c>
    </row>
    <row r="439" spans="1:18" ht="16.5" x14ac:dyDescent="0.25">
      <c r="A439" s="12">
        <v>1608</v>
      </c>
      <c r="B439" s="13"/>
      <c r="C439" s="13"/>
      <c r="D439" s="20"/>
      <c r="E439" s="15">
        <v>6400</v>
      </c>
      <c r="F439" s="15">
        <v>500</v>
      </c>
      <c r="G439" s="15">
        <v>400</v>
      </c>
      <c r="H439" s="15">
        <f t="shared" si="40"/>
        <v>7300</v>
      </c>
      <c r="I439" s="15">
        <f t="shared" si="41"/>
        <v>0</v>
      </c>
      <c r="J439" s="16"/>
      <c r="K439" s="15"/>
      <c r="L439" s="15">
        <f t="shared" si="36"/>
        <v>0</v>
      </c>
      <c r="M439" s="16"/>
      <c r="N439" s="16"/>
      <c r="O439" s="15">
        <f t="shared" si="37"/>
        <v>0</v>
      </c>
      <c r="P439" s="15">
        <f t="shared" si="38"/>
        <v>0</v>
      </c>
      <c r="Q439" s="15">
        <f t="shared" si="39"/>
        <v>0</v>
      </c>
      <c r="R439" s="17">
        <v>1608</v>
      </c>
    </row>
    <row r="440" spans="1:18" ht="16.5" x14ac:dyDescent="0.25">
      <c r="A440" s="12">
        <v>1609</v>
      </c>
      <c r="B440" s="13" t="s">
        <v>386</v>
      </c>
      <c r="C440" s="13" t="s">
        <v>43</v>
      </c>
      <c r="D440" s="20"/>
      <c r="E440" s="15">
        <v>6400</v>
      </c>
      <c r="F440" s="15">
        <v>400</v>
      </c>
      <c r="G440" s="15">
        <v>400</v>
      </c>
      <c r="H440" s="15">
        <f t="shared" si="40"/>
        <v>7200</v>
      </c>
      <c r="I440" s="15">
        <f t="shared" si="41"/>
        <v>0</v>
      </c>
      <c r="J440" s="16"/>
      <c r="K440" s="15"/>
      <c r="L440" s="15">
        <f t="shared" si="36"/>
        <v>0</v>
      </c>
      <c r="M440" s="16"/>
      <c r="N440" s="16"/>
      <c r="O440" s="15">
        <f t="shared" si="37"/>
        <v>0</v>
      </c>
      <c r="P440" s="15">
        <f t="shared" si="38"/>
        <v>0</v>
      </c>
      <c r="Q440" s="15">
        <f t="shared" si="39"/>
        <v>0</v>
      </c>
      <c r="R440" s="17">
        <v>1609</v>
      </c>
    </row>
    <row r="441" spans="1:18" ht="16.5" x14ac:dyDescent="0.25">
      <c r="A441" s="12">
        <v>1610</v>
      </c>
      <c r="B441" s="13" t="s">
        <v>379</v>
      </c>
      <c r="C441" s="13" t="s">
        <v>25</v>
      </c>
      <c r="D441" s="20"/>
      <c r="E441" s="15">
        <v>6400</v>
      </c>
      <c r="F441" s="15">
        <v>400</v>
      </c>
      <c r="G441" s="15">
        <v>400</v>
      </c>
      <c r="H441" s="15">
        <f t="shared" si="40"/>
        <v>7200</v>
      </c>
      <c r="I441" s="15">
        <f t="shared" si="41"/>
        <v>0</v>
      </c>
      <c r="J441" s="16"/>
      <c r="K441" s="15"/>
      <c r="L441" s="15">
        <f t="shared" si="36"/>
        <v>0</v>
      </c>
      <c r="M441" s="16"/>
      <c r="N441" s="16"/>
      <c r="O441" s="15">
        <f t="shared" si="37"/>
        <v>0</v>
      </c>
      <c r="P441" s="15">
        <f t="shared" si="38"/>
        <v>0</v>
      </c>
      <c r="Q441" s="15">
        <f t="shared" si="39"/>
        <v>0</v>
      </c>
      <c r="R441" s="17">
        <v>1610</v>
      </c>
    </row>
    <row r="442" spans="1:18" ht="16.5" x14ac:dyDescent="0.25">
      <c r="A442" s="12">
        <v>1611</v>
      </c>
      <c r="B442" s="13" t="s">
        <v>252</v>
      </c>
      <c r="C442" s="13"/>
      <c r="D442" s="20"/>
      <c r="E442" s="15">
        <v>6400</v>
      </c>
      <c r="F442" s="15">
        <v>400</v>
      </c>
      <c r="G442" s="15">
        <v>400</v>
      </c>
      <c r="H442" s="15">
        <f t="shared" si="40"/>
        <v>7200</v>
      </c>
      <c r="I442" s="15">
        <f t="shared" si="41"/>
        <v>0</v>
      </c>
      <c r="J442" s="16"/>
      <c r="K442" s="15"/>
      <c r="L442" s="15">
        <f t="shared" si="36"/>
        <v>0</v>
      </c>
      <c r="M442" s="16"/>
      <c r="N442" s="16"/>
      <c r="O442" s="15">
        <f t="shared" si="37"/>
        <v>0</v>
      </c>
      <c r="P442" s="15">
        <f t="shared" si="38"/>
        <v>0</v>
      </c>
      <c r="Q442" s="15">
        <f t="shared" si="39"/>
        <v>0</v>
      </c>
      <c r="R442" s="17">
        <v>1611</v>
      </c>
    </row>
    <row r="443" spans="1:18" ht="16.5" x14ac:dyDescent="0.25">
      <c r="A443" s="12">
        <v>1612</v>
      </c>
      <c r="B443" s="13" t="s">
        <v>387</v>
      </c>
      <c r="C443" s="13" t="s">
        <v>19</v>
      </c>
      <c r="D443" s="20"/>
      <c r="E443" s="15">
        <v>6400</v>
      </c>
      <c r="F443" s="15">
        <v>300</v>
      </c>
      <c r="G443" s="15">
        <v>400</v>
      </c>
      <c r="H443" s="15">
        <f t="shared" si="40"/>
        <v>7100</v>
      </c>
      <c r="I443" s="15">
        <f t="shared" si="41"/>
        <v>0</v>
      </c>
      <c r="J443" s="16"/>
      <c r="K443" s="15"/>
      <c r="L443" s="15">
        <f t="shared" si="36"/>
        <v>0</v>
      </c>
      <c r="M443" s="16"/>
      <c r="N443" s="16"/>
      <c r="O443" s="15">
        <f t="shared" si="37"/>
        <v>0</v>
      </c>
      <c r="P443" s="15">
        <f t="shared" si="38"/>
        <v>0</v>
      </c>
      <c r="Q443" s="15">
        <f t="shared" si="39"/>
        <v>0</v>
      </c>
      <c r="R443" s="17">
        <v>1612</v>
      </c>
    </row>
    <row r="444" spans="1:18" ht="16.5" x14ac:dyDescent="0.25">
      <c r="A444" s="12">
        <v>1613</v>
      </c>
      <c r="B444" s="13" t="s">
        <v>388</v>
      </c>
      <c r="C444" s="13" t="s">
        <v>43</v>
      </c>
      <c r="D444" s="20">
        <v>193</v>
      </c>
      <c r="E444" s="15">
        <v>6400</v>
      </c>
      <c r="F444" s="15">
        <v>600</v>
      </c>
      <c r="G444" s="15">
        <v>400</v>
      </c>
      <c r="H444" s="15">
        <f t="shared" si="40"/>
        <v>7400</v>
      </c>
      <c r="I444" s="15">
        <f t="shared" si="41"/>
        <v>1428200</v>
      </c>
      <c r="J444" s="16">
        <v>200000</v>
      </c>
      <c r="K444" s="15">
        <v>400000</v>
      </c>
      <c r="L444" s="15">
        <f t="shared" si="36"/>
        <v>3860</v>
      </c>
      <c r="M444" s="16"/>
      <c r="N444" s="16"/>
      <c r="O444" s="15">
        <f t="shared" si="37"/>
        <v>48250</v>
      </c>
      <c r="P444" s="15">
        <f t="shared" si="38"/>
        <v>652110</v>
      </c>
      <c r="Q444" s="15">
        <f t="shared" si="39"/>
        <v>776090</v>
      </c>
      <c r="R444" s="17">
        <v>1613</v>
      </c>
    </row>
    <row r="445" spans="1:18" ht="16.5" x14ac:dyDescent="0.25">
      <c r="A445" s="12">
        <v>1614</v>
      </c>
      <c r="B445" s="13" t="s">
        <v>389</v>
      </c>
      <c r="C445" s="13" t="s">
        <v>184</v>
      </c>
      <c r="D445" s="20"/>
      <c r="E445" s="15">
        <v>6400</v>
      </c>
      <c r="F445" s="15">
        <v>400</v>
      </c>
      <c r="G445" s="15">
        <v>400</v>
      </c>
      <c r="H445" s="15">
        <f t="shared" si="40"/>
        <v>7200</v>
      </c>
      <c r="I445" s="15">
        <f t="shared" si="41"/>
        <v>0</v>
      </c>
      <c r="J445" s="14"/>
      <c r="K445" s="15"/>
      <c r="L445" s="15">
        <f t="shared" si="36"/>
        <v>0</v>
      </c>
      <c r="M445" s="16"/>
      <c r="N445" s="16"/>
      <c r="O445" s="15">
        <f t="shared" si="37"/>
        <v>0</v>
      </c>
      <c r="P445" s="15">
        <f t="shared" si="38"/>
        <v>0</v>
      </c>
      <c r="Q445" s="15">
        <f t="shared" si="39"/>
        <v>0</v>
      </c>
      <c r="R445" s="17">
        <v>1614</v>
      </c>
    </row>
    <row r="446" spans="1:18" ht="16.5" x14ac:dyDescent="0.25">
      <c r="A446" s="12">
        <v>1615</v>
      </c>
      <c r="B446" s="13" t="s">
        <v>411</v>
      </c>
      <c r="C446" s="13" t="s">
        <v>30</v>
      </c>
      <c r="D446" s="20"/>
      <c r="E446" s="15">
        <v>6400</v>
      </c>
      <c r="F446" s="15">
        <v>400</v>
      </c>
      <c r="G446" s="15">
        <v>400</v>
      </c>
      <c r="H446" s="15">
        <f t="shared" si="40"/>
        <v>7200</v>
      </c>
      <c r="I446" s="15">
        <f t="shared" si="41"/>
        <v>0</v>
      </c>
      <c r="J446" s="16"/>
      <c r="K446" s="15"/>
      <c r="L446" s="15">
        <f t="shared" si="36"/>
        <v>0</v>
      </c>
      <c r="M446" s="16"/>
      <c r="N446" s="16"/>
      <c r="O446" s="15">
        <f t="shared" si="37"/>
        <v>0</v>
      </c>
      <c r="P446" s="15">
        <f t="shared" si="38"/>
        <v>0</v>
      </c>
      <c r="Q446" s="15">
        <f t="shared" si="39"/>
        <v>0</v>
      </c>
      <c r="R446" s="17">
        <v>1615</v>
      </c>
    </row>
    <row r="447" spans="1:18" ht="16.5" x14ac:dyDescent="0.25">
      <c r="A447" s="12">
        <v>1616</v>
      </c>
      <c r="B447" s="13" t="s">
        <v>177</v>
      </c>
      <c r="C447" s="13" t="s">
        <v>30</v>
      </c>
      <c r="D447" s="20">
        <v>93</v>
      </c>
      <c r="E447" s="15">
        <v>6400</v>
      </c>
      <c r="F447" s="15">
        <v>600</v>
      </c>
      <c r="G447" s="15">
        <v>400</v>
      </c>
      <c r="H447" s="15">
        <f t="shared" si="40"/>
        <v>7400</v>
      </c>
      <c r="I447" s="15">
        <f t="shared" si="41"/>
        <v>688200</v>
      </c>
      <c r="J447" s="16"/>
      <c r="K447" s="15"/>
      <c r="L447" s="15">
        <f t="shared" si="36"/>
        <v>1860</v>
      </c>
      <c r="M447" s="16"/>
      <c r="N447" s="16"/>
      <c r="O447" s="15">
        <f t="shared" si="37"/>
        <v>23250</v>
      </c>
      <c r="P447" s="15">
        <f t="shared" si="38"/>
        <v>25110</v>
      </c>
      <c r="Q447" s="15">
        <f t="shared" si="39"/>
        <v>663090</v>
      </c>
      <c r="R447" s="17">
        <v>1616</v>
      </c>
    </row>
    <row r="448" spans="1:18" ht="16.5" x14ac:dyDescent="0.25">
      <c r="A448" s="12">
        <v>1617</v>
      </c>
      <c r="B448" s="13"/>
      <c r="C448" s="13" t="s">
        <v>36</v>
      </c>
      <c r="D448" s="20"/>
      <c r="E448" s="15">
        <v>6400</v>
      </c>
      <c r="F448" s="15">
        <v>300</v>
      </c>
      <c r="G448" s="15">
        <v>400</v>
      </c>
      <c r="H448" s="15">
        <f t="shared" si="40"/>
        <v>7100</v>
      </c>
      <c r="I448" s="15">
        <f t="shared" si="41"/>
        <v>0</v>
      </c>
      <c r="J448" s="16"/>
      <c r="K448" s="15"/>
      <c r="L448" s="15">
        <f t="shared" si="36"/>
        <v>0</v>
      </c>
      <c r="M448" s="16"/>
      <c r="N448" s="16"/>
      <c r="O448" s="15">
        <f t="shared" si="37"/>
        <v>0</v>
      </c>
      <c r="P448" s="15">
        <f t="shared" si="38"/>
        <v>0</v>
      </c>
      <c r="Q448" s="15">
        <f t="shared" si="39"/>
        <v>0</v>
      </c>
      <c r="R448" s="17">
        <v>1617</v>
      </c>
    </row>
    <row r="449" spans="1:18" ht="16.5" x14ac:dyDescent="0.25">
      <c r="A449" s="12">
        <v>1618</v>
      </c>
      <c r="B449" s="13" t="s">
        <v>365</v>
      </c>
      <c r="C449" s="13" t="s">
        <v>30</v>
      </c>
      <c r="D449" s="20">
        <v>133</v>
      </c>
      <c r="E449" s="15">
        <v>6400</v>
      </c>
      <c r="F449" s="15">
        <v>600</v>
      </c>
      <c r="G449" s="15">
        <v>400</v>
      </c>
      <c r="H449" s="15">
        <f t="shared" si="40"/>
        <v>7400</v>
      </c>
      <c r="I449" s="15">
        <f t="shared" si="41"/>
        <v>984200</v>
      </c>
      <c r="J449" s="16"/>
      <c r="K449" s="15">
        <v>200000</v>
      </c>
      <c r="L449" s="15">
        <f t="shared" si="36"/>
        <v>2660</v>
      </c>
      <c r="M449" s="16"/>
      <c r="N449" s="16"/>
      <c r="O449" s="15">
        <f t="shared" si="37"/>
        <v>33250</v>
      </c>
      <c r="P449" s="15">
        <f t="shared" si="38"/>
        <v>235910</v>
      </c>
      <c r="Q449" s="15">
        <f t="shared" si="39"/>
        <v>748290</v>
      </c>
      <c r="R449" s="17">
        <v>1618</v>
      </c>
    </row>
    <row r="450" spans="1:18" ht="16.5" x14ac:dyDescent="0.25">
      <c r="A450" s="12">
        <v>1619</v>
      </c>
      <c r="B450" s="13" t="s">
        <v>409</v>
      </c>
      <c r="C450" s="13" t="s">
        <v>30</v>
      </c>
      <c r="D450" s="20"/>
      <c r="E450" s="15">
        <v>6400</v>
      </c>
      <c r="F450" s="15">
        <v>300</v>
      </c>
      <c r="G450" s="15">
        <v>400</v>
      </c>
      <c r="H450" s="15">
        <f t="shared" si="40"/>
        <v>7100</v>
      </c>
      <c r="I450" s="15">
        <f t="shared" si="41"/>
        <v>0</v>
      </c>
      <c r="J450" s="16"/>
      <c r="K450" s="15"/>
      <c r="L450" s="15">
        <f t="shared" si="36"/>
        <v>0</v>
      </c>
      <c r="M450" s="16"/>
      <c r="N450" s="16"/>
      <c r="O450" s="15">
        <f t="shared" si="37"/>
        <v>0</v>
      </c>
      <c r="P450" s="15">
        <f t="shared" si="38"/>
        <v>0</v>
      </c>
      <c r="Q450" s="15">
        <f t="shared" si="39"/>
        <v>0</v>
      </c>
      <c r="R450" s="17">
        <v>1619</v>
      </c>
    </row>
    <row r="451" spans="1:18" ht="16.5" x14ac:dyDescent="0.25">
      <c r="A451" s="12">
        <v>1620</v>
      </c>
      <c r="B451" s="13" t="s">
        <v>452</v>
      </c>
      <c r="C451" s="13" t="s">
        <v>25</v>
      </c>
      <c r="D451" s="20">
        <v>116</v>
      </c>
      <c r="E451" s="15">
        <v>6400</v>
      </c>
      <c r="F451" s="15">
        <v>400</v>
      </c>
      <c r="G451" s="15">
        <v>400</v>
      </c>
      <c r="H451" s="15">
        <f t="shared" si="40"/>
        <v>7200</v>
      </c>
      <c r="I451" s="15">
        <f t="shared" si="41"/>
        <v>835200</v>
      </c>
      <c r="J451" s="16"/>
      <c r="K451" s="15">
        <v>400000</v>
      </c>
      <c r="L451" s="15">
        <f t="shared" si="36"/>
        <v>2320</v>
      </c>
      <c r="M451" s="16"/>
      <c r="N451" s="16"/>
      <c r="O451" s="15">
        <f t="shared" si="37"/>
        <v>29000</v>
      </c>
      <c r="P451" s="15">
        <f t="shared" si="38"/>
        <v>431320</v>
      </c>
      <c r="Q451" s="15">
        <f t="shared" si="39"/>
        <v>403880</v>
      </c>
      <c r="R451" s="17">
        <v>1620</v>
      </c>
    </row>
    <row r="452" spans="1:18" ht="16.5" x14ac:dyDescent="0.25">
      <c r="A452" s="12">
        <v>1621</v>
      </c>
      <c r="B452" s="13" t="s">
        <v>408</v>
      </c>
      <c r="C452" s="13" t="s">
        <v>82</v>
      </c>
      <c r="D452" s="20">
        <v>82</v>
      </c>
      <c r="E452" s="15">
        <v>6400</v>
      </c>
      <c r="F452" s="15">
        <v>400</v>
      </c>
      <c r="G452" s="15">
        <v>400</v>
      </c>
      <c r="H452" s="15">
        <f t="shared" si="40"/>
        <v>7200</v>
      </c>
      <c r="I452" s="15">
        <f t="shared" si="41"/>
        <v>590400</v>
      </c>
      <c r="J452" s="16"/>
      <c r="K452" s="15"/>
      <c r="L452" s="15">
        <f t="shared" si="36"/>
        <v>1640</v>
      </c>
      <c r="M452" s="16"/>
      <c r="N452" s="16"/>
      <c r="O452" s="15">
        <f t="shared" si="37"/>
        <v>20500</v>
      </c>
      <c r="P452" s="15">
        <f t="shared" si="38"/>
        <v>22140</v>
      </c>
      <c r="Q452" s="15">
        <f t="shared" si="39"/>
        <v>568260</v>
      </c>
      <c r="R452" s="17">
        <v>1621</v>
      </c>
    </row>
    <row r="453" spans="1:18" ht="16.5" x14ac:dyDescent="0.25">
      <c r="A453" s="12">
        <v>1622</v>
      </c>
      <c r="B453" s="13" t="s">
        <v>412</v>
      </c>
      <c r="C453" s="13" t="s">
        <v>54</v>
      </c>
      <c r="D453" s="20"/>
      <c r="E453" s="15">
        <v>6400</v>
      </c>
      <c r="F453" s="15">
        <v>300</v>
      </c>
      <c r="G453" s="15">
        <v>400</v>
      </c>
      <c r="H453" s="15">
        <f t="shared" si="40"/>
        <v>7100</v>
      </c>
      <c r="I453" s="15">
        <f t="shared" si="41"/>
        <v>0</v>
      </c>
      <c r="J453" s="16"/>
      <c r="K453" s="15"/>
      <c r="L453" s="15">
        <f t="shared" ref="L453:L478" si="42">D453*20</f>
        <v>0</v>
      </c>
      <c r="M453" s="16"/>
      <c r="N453" s="16"/>
      <c r="O453" s="15">
        <f t="shared" ref="O453:O473" si="43">250*D453</f>
        <v>0</v>
      </c>
      <c r="P453" s="15">
        <f t="shared" ref="P453:P473" si="44">SUM(J453:O453)</f>
        <v>0</v>
      </c>
      <c r="Q453" s="15">
        <f t="shared" ref="Q453:Q473" si="45">I453-P453</f>
        <v>0</v>
      </c>
      <c r="R453" s="17">
        <v>1622</v>
      </c>
    </row>
    <row r="454" spans="1:18" ht="16.5" x14ac:dyDescent="0.25">
      <c r="A454" s="12">
        <v>1623</v>
      </c>
      <c r="B454" s="13" t="s">
        <v>414</v>
      </c>
      <c r="C454" s="13" t="s">
        <v>82</v>
      </c>
      <c r="D454" s="20">
        <v>122</v>
      </c>
      <c r="E454" s="15">
        <v>6400</v>
      </c>
      <c r="F454" s="15">
        <v>400</v>
      </c>
      <c r="G454" s="15">
        <v>400</v>
      </c>
      <c r="H454" s="15">
        <f t="shared" ref="H454:H473" si="46">SUM(E454:G454)</f>
        <v>7200</v>
      </c>
      <c r="I454" s="15">
        <f t="shared" ref="I454:I478" si="47">H454*D454</f>
        <v>878400</v>
      </c>
      <c r="J454" s="16"/>
      <c r="K454" s="15"/>
      <c r="L454" s="15">
        <f t="shared" si="42"/>
        <v>2440</v>
      </c>
      <c r="M454" s="16"/>
      <c r="N454" s="16"/>
      <c r="O454" s="15">
        <f t="shared" si="43"/>
        <v>30500</v>
      </c>
      <c r="P454" s="15">
        <f t="shared" si="44"/>
        <v>32940</v>
      </c>
      <c r="Q454" s="15">
        <f t="shared" si="45"/>
        <v>845460</v>
      </c>
      <c r="R454" s="17">
        <v>1623</v>
      </c>
    </row>
    <row r="455" spans="1:18" ht="16.5" x14ac:dyDescent="0.25">
      <c r="A455" s="12">
        <v>1625</v>
      </c>
      <c r="B455" s="13" t="s">
        <v>415</v>
      </c>
      <c r="C455" s="13" t="s">
        <v>54</v>
      </c>
      <c r="D455" s="20"/>
      <c r="E455" s="15">
        <v>6400</v>
      </c>
      <c r="F455" s="15">
        <v>400</v>
      </c>
      <c r="G455" s="15">
        <v>400</v>
      </c>
      <c r="H455" s="15">
        <f t="shared" si="46"/>
        <v>7200</v>
      </c>
      <c r="I455" s="15">
        <f t="shared" si="47"/>
        <v>0</v>
      </c>
      <c r="J455" s="16"/>
      <c r="K455" s="15"/>
      <c r="L455" s="15">
        <f t="shared" si="42"/>
        <v>0</v>
      </c>
      <c r="M455" s="16"/>
      <c r="N455" s="16"/>
      <c r="O455" s="15">
        <f t="shared" si="43"/>
        <v>0</v>
      </c>
      <c r="P455" s="15">
        <f t="shared" si="44"/>
        <v>0</v>
      </c>
      <c r="Q455" s="15">
        <f t="shared" si="45"/>
        <v>0</v>
      </c>
      <c r="R455" s="17">
        <v>1625</v>
      </c>
    </row>
    <row r="456" spans="1:18" ht="16.5" x14ac:dyDescent="0.25">
      <c r="A456" s="12">
        <v>1626</v>
      </c>
      <c r="B456" s="13" t="s">
        <v>222</v>
      </c>
      <c r="C456" s="13" t="s">
        <v>188</v>
      </c>
      <c r="D456" s="20"/>
      <c r="E456" s="15">
        <v>6400</v>
      </c>
      <c r="F456" s="15">
        <v>300</v>
      </c>
      <c r="G456" s="15">
        <v>400</v>
      </c>
      <c r="H456" s="15">
        <f t="shared" si="46"/>
        <v>7100</v>
      </c>
      <c r="I456" s="15">
        <f t="shared" si="47"/>
        <v>0</v>
      </c>
      <c r="J456" s="16"/>
      <c r="K456" s="15"/>
      <c r="L456" s="15">
        <f t="shared" si="42"/>
        <v>0</v>
      </c>
      <c r="M456" s="16"/>
      <c r="N456" s="16"/>
      <c r="O456" s="15">
        <f t="shared" si="43"/>
        <v>0</v>
      </c>
      <c r="P456" s="15">
        <f t="shared" si="44"/>
        <v>0</v>
      </c>
      <c r="Q456" s="15">
        <f t="shared" si="45"/>
        <v>0</v>
      </c>
      <c r="R456" s="17">
        <v>1626</v>
      </c>
    </row>
    <row r="457" spans="1:18" ht="16.5" x14ac:dyDescent="0.25">
      <c r="A457" s="12">
        <v>1627</v>
      </c>
      <c r="B457" s="13" t="s">
        <v>264</v>
      </c>
      <c r="C457" s="13" t="s">
        <v>30</v>
      </c>
      <c r="D457" s="20">
        <v>85</v>
      </c>
      <c r="E457" s="15">
        <v>6400</v>
      </c>
      <c r="F457" s="15">
        <v>500</v>
      </c>
      <c r="G457" s="15">
        <v>400</v>
      </c>
      <c r="H457" s="15">
        <f t="shared" si="46"/>
        <v>7300</v>
      </c>
      <c r="I457" s="15">
        <f t="shared" si="47"/>
        <v>620500</v>
      </c>
      <c r="J457" s="16"/>
      <c r="K457" s="15"/>
      <c r="L457" s="15">
        <f t="shared" si="42"/>
        <v>1700</v>
      </c>
      <c r="M457" s="16"/>
      <c r="N457" s="16"/>
      <c r="O457" s="15">
        <f t="shared" si="43"/>
        <v>21250</v>
      </c>
      <c r="P457" s="15">
        <f t="shared" si="44"/>
        <v>22950</v>
      </c>
      <c r="Q457" s="15">
        <f t="shared" si="45"/>
        <v>597550</v>
      </c>
      <c r="R457" s="17">
        <v>1627</v>
      </c>
    </row>
    <row r="458" spans="1:18" ht="16.5" x14ac:dyDescent="0.25">
      <c r="A458" s="12">
        <v>1628</v>
      </c>
      <c r="B458" s="13" t="s">
        <v>417</v>
      </c>
      <c r="C458" s="13" t="s">
        <v>19</v>
      </c>
      <c r="D458" s="20"/>
      <c r="E458" s="15">
        <v>6400</v>
      </c>
      <c r="F458" s="15">
        <v>300</v>
      </c>
      <c r="G458" s="15">
        <v>400</v>
      </c>
      <c r="H458" s="15">
        <f t="shared" si="46"/>
        <v>7100</v>
      </c>
      <c r="I458" s="15">
        <f t="shared" si="47"/>
        <v>0</v>
      </c>
      <c r="J458" s="16"/>
      <c r="K458" s="15"/>
      <c r="L458" s="15">
        <f t="shared" si="42"/>
        <v>0</v>
      </c>
      <c r="M458" s="16"/>
      <c r="N458" s="16"/>
      <c r="O458" s="15">
        <f t="shared" si="43"/>
        <v>0</v>
      </c>
      <c r="P458" s="15">
        <f t="shared" si="44"/>
        <v>0</v>
      </c>
      <c r="Q458" s="15">
        <f t="shared" si="45"/>
        <v>0</v>
      </c>
      <c r="R458" s="17">
        <v>1628</v>
      </c>
    </row>
    <row r="459" spans="1:18" ht="16.5" x14ac:dyDescent="0.25">
      <c r="A459" s="12">
        <v>1629</v>
      </c>
      <c r="B459" s="13" t="s">
        <v>454</v>
      </c>
      <c r="C459" s="13" t="s">
        <v>30</v>
      </c>
      <c r="D459" s="20">
        <v>164</v>
      </c>
      <c r="E459" s="15">
        <v>6400</v>
      </c>
      <c r="F459" s="15">
        <v>600</v>
      </c>
      <c r="G459" s="15">
        <v>400</v>
      </c>
      <c r="H459" s="15">
        <f t="shared" si="46"/>
        <v>7400</v>
      </c>
      <c r="I459" s="15">
        <f t="shared" si="47"/>
        <v>1213600</v>
      </c>
      <c r="J459" s="16"/>
      <c r="K459" s="15">
        <v>200000</v>
      </c>
      <c r="L459" s="15">
        <f t="shared" si="42"/>
        <v>3280</v>
      </c>
      <c r="M459" s="16"/>
      <c r="N459" s="16"/>
      <c r="O459" s="15">
        <f t="shared" si="43"/>
        <v>41000</v>
      </c>
      <c r="P459" s="15">
        <f t="shared" si="44"/>
        <v>244280</v>
      </c>
      <c r="Q459" s="15">
        <f t="shared" si="45"/>
        <v>969320</v>
      </c>
      <c r="R459" s="17"/>
    </row>
    <row r="460" spans="1:18" ht="16.5" x14ac:dyDescent="0.25">
      <c r="A460" s="12">
        <v>1635</v>
      </c>
      <c r="B460" s="13" t="s">
        <v>446</v>
      </c>
      <c r="C460" s="13" t="s">
        <v>43</v>
      </c>
      <c r="D460" s="20">
        <v>347</v>
      </c>
      <c r="E460" s="15">
        <v>6400</v>
      </c>
      <c r="F460" s="15">
        <v>600</v>
      </c>
      <c r="G460" s="15">
        <v>400</v>
      </c>
      <c r="H460" s="15">
        <f t="shared" si="46"/>
        <v>7400</v>
      </c>
      <c r="I460" s="15">
        <f t="shared" si="47"/>
        <v>2567800</v>
      </c>
      <c r="J460" s="16"/>
      <c r="K460" s="15"/>
      <c r="L460" s="15">
        <f t="shared" si="42"/>
        <v>6940</v>
      </c>
      <c r="M460" s="16"/>
      <c r="N460" s="16"/>
      <c r="O460" s="15">
        <f t="shared" si="43"/>
        <v>86750</v>
      </c>
      <c r="P460" s="15">
        <f t="shared" si="44"/>
        <v>93690</v>
      </c>
      <c r="Q460" s="15">
        <f t="shared" si="45"/>
        <v>2474110</v>
      </c>
      <c r="R460" s="17">
        <v>1629</v>
      </c>
    </row>
    <row r="461" spans="1:18" ht="16.5" x14ac:dyDescent="0.25">
      <c r="A461" s="12">
        <v>1652</v>
      </c>
      <c r="B461" s="13" t="s">
        <v>435</v>
      </c>
      <c r="C461" s="13" t="s">
        <v>25</v>
      </c>
      <c r="D461" s="20"/>
      <c r="E461" s="15">
        <v>6400</v>
      </c>
      <c r="F461" s="15">
        <v>400</v>
      </c>
      <c r="G461" s="15">
        <v>400</v>
      </c>
      <c r="H461" s="15">
        <f t="shared" si="46"/>
        <v>7200</v>
      </c>
      <c r="I461" s="15">
        <f t="shared" si="47"/>
        <v>0</v>
      </c>
      <c r="J461" s="16"/>
      <c r="K461" s="15">
        <v>200000</v>
      </c>
      <c r="L461" s="15">
        <f t="shared" si="42"/>
        <v>0</v>
      </c>
      <c r="M461" s="16"/>
      <c r="N461" s="16"/>
      <c r="O461" s="15">
        <f t="shared" si="43"/>
        <v>0</v>
      </c>
      <c r="P461" s="15">
        <f t="shared" si="44"/>
        <v>200000</v>
      </c>
      <c r="Q461" s="15">
        <f t="shared" si="45"/>
        <v>-200000</v>
      </c>
      <c r="R461" s="17"/>
    </row>
    <row r="462" spans="1:18" ht="16.5" x14ac:dyDescent="0.25">
      <c r="A462" s="12">
        <v>1653</v>
      </c>
      <c r="B462" s="13" t="s">
        <v>436</v>
      </c>
      <c r="C462" s="13" t="s">
        <v>25</v>
      </c>
      <c r="D462" s="20">
        <v>330</v>
      </c>
      <c r="E462" s="15">
        <v>6400</v>
      </c>
      <c r="F462" s="15">
        <v>400</v>
      </c>
      <c r="G462" s="15">
        <v>400</v>
      </c>
      <c r="H462" s="15">
        <f t="shared" si="46"/>
        <v>7200</v>
      </c>
      <c r="I462" s="15">
        <f t="shared" si="47"/>
        <v>2376000</v>
      </c>
      <c r="J462" s="16"/>
      <c r="K462" s="15">
        <v>400000</v>
      </c>
      <c r="L462" s="15">
        <f t="shared" si="42"/>
        <v>6600</v>
      </c>
      <c r="M462" s="16"/>
      <c r="N462" s="16"/>
      <c r="O462" s="15">
        <f t="shared" si="43"/>
        <v>82500</v>
      </c>
      <c r="P462" s="15">
        <f t="shared" si="44"/>
        <v>489100</v>
      </c>
      <c r="Q462" s="15">
        <f t="shared" si="45"/>
        <v>1886900</v>
      </c>
      <c r="R462" s="17"/>
    </row>
    <row r="463" spans="1:18" ht="16.5" x14ac:dyDescent="0.25">
      <c r="A463" s="12">
        <v>1654</v>
      </c>
      <c r="B463" s="13" t="s">
        <v>437</v>
      </c>
      <c r="C463" s="13" t="s">
        <v>43</v>
      </c>
      <c r="D463" s="20"/>
      <c r="E463" s="15">
        <v>6400</v>
      </c>
      <c r="F463" s="15">
        <v>400</v>
      </c>
      <c r="G463" s="15">
        <v>400</v>
      </c>
      <c r="H463" s="15">
        <f t="shared" si="46"/>
        <v>7200</v>
      </c>
      <c r="I463" s="15">
        <f t="shared" si="47"/>
        <v>0</v>
      </c>
      <c r="J463" s="16"/>
      <c r="K463" s="15">
        <v>200000</v>
      </c>
      <c r="L463" s="15">
        <f t="shared" si="42"/>
        <v>0</v>
      </c>
      <c r="M463" s="16"/>
      <c r="N463" s="16"/>
      <c r="O463" s="15">
        <f t="shared" si="43"/>
        <v>0</v>
      </c>
      <c r="P463" s="15">
        <f t="shared" si="44"/>
        <v>200000</v>
      </c>
      <c r="Q463" s="15">
        <f t="shared" si="45"/>
        <v>-200000</v>
      </c>
      <c r="R463" s="17"/>
    </row>
    <row r="464" spans="1:18" ht="16.5" x14ac:dyDescent="0.25">
      <c r="A464" s="12">
        <v>1655</v>
      </c>
      <c r="B464" s="67" t="s">
        <v>195</v>
      </c>
      <c r="C464" s="13" t="s">
        <v>30</v>
      </c>
      <c r="D464" s="20"/>
      <c r="E464" s="15">
        <v>6400</v>
      </c>
      <c r="F464" s="15">
        <v>400</v>
      </c>
      <c r="G464" s="15">
        <v>400</v>
      </c>
      <c r="H464" s="15">
        <f t="shared" si="46"/>
        <v>7200</v>
      </c>
      <c r="I464" s="15">
        <f t="shared" si="47"/>
        <v>0</v>
      </c>
      <c r="J464" s="16"/>
      <c r="K464" s="15"/>
      <c r="L464" s="15">
        <f t="shared" si="42"/>
        <v>0</v>
      </c>
      <c r="M464" s="16"/>
      <c r="N464" s="16"/>
      <c r="O464" s="15">
        <f t="shared" si="43"/>
        <v>0</v>
      </c>
      <c r="P464" s="15">
        <f t="shared" si="44"/>
        <v>0</v>
      </c>
      <c r="Q464" s="15">
        <f t="shared" si="45"/>
        <v>0</v>
      </c>
      <c r="R464" s="17"/>
    </row>
    <row r="465" spans="1:18" ht="16.5" x14ac:dyDescent="0.25">
      <c r="A465" s="12">
        <v>1656</v>
      </c>
      <c r="B465" s="13" t="s">
        <v>438</v>
      </c>
      <c r="C465" s="13" t="s">
        <v>82</v>
      </c>
      <c r="D465" s="20">
        <v>132</v>
      </c>
      <c r="E465" s="15">
        <v>6400</v>
      </c>
      <c r="F465" s="15">
        <v>500</v>
      </c>
      <c r="G465" s="15">
        <v>400</v>
      </c>
      <c r="H465" s="15">
        <f t="shared" si="46"/>
        <v>7300</v>
      </c>
      <c r="I465" s="15">
        <f t="shared" si="47"/>
        <v>963600</v>
      </c>
      <c r="J465" s="16"/>
      <c r="K465" s="15">
        <v>200000</v>
      </c>
      <c r="L465" s="15">
        <f t="shared" si="42"/>
        <v>2640</v>
      </c>
      <c r="M465" s="16"/>
      <c r="N465" s="16"/>
      <c r="O465" s="15">
        <f t="shared" si="43"/>
        <v>33000</v>
      </c>
      <c r="P465" s="15">
        <f t="shared" si="44"/>
        <v>235640</v>
      </c>
      <c r="Q465" s="15">
        <f t="shared" si="45"/>
        <v>727960</v>
      </c>
      <c r="R465" s="17"/>
    </row>
    <row r="466" spans="1:18" ht="16.5" x14ac:dyDescent="0.25">
      <c r="A466" s="12">
        <v>1657</v>
      </c>
      <c r="B466" s="13" t="s">
        <v>439</v>
      </c>
      <c r="C466" s="13" t="s">
        <v>82</v>
      </c>
      <c r="D466" s="20">
        <v>113</v>
      </c>
      <c r="E466" s="15">
        <v>6400</v>
      </c>
      <c r="F466" s="15">
        <v>500</v>
      </c>
      <c r="G466" s="15">
        <v>400</v>
      </c>
      <c r="H466" s="15">
        <f t="shared" si="46"/>
        <v>7300</v>
      </c>
      <c r="I466" s="15">
        <f t="shared" si="47"/>
        <v>824900</v>
      </c>
      <c r="J466" s="16"/>
      <c r="K466" s="15"/>
      <c r="L466" s="15">
        <f t="shared" si="42"/>
        <v>2260</v>
      </c>
      <c r="M466" s="16"/>
      <c r="N466" s="16"/>
      <c r="O466" s="15">
        <f t="shared" si="43"/>
        <v>28250</v>
      </c>
      <c r="P466" s="15">
        <f t="shared" si="44"/>
        <v>30510</v>
      </c>
      <c r="Q466" s="15">
        <f t="shared" si="45"/>
        <v>794390</v>
      </c>
      <c r="R466" s="17"/>
    </row>
    <row r="467" spans="1:18" ht="16.5" x14ac:dyDescent="0.25">
      <c r="A467" s="12">
        <v>1658</v>
      </c>
      <c r="B467" s="13" t="s">
        <v>440</v>
      </c>
      <c r="C467" s="13" t="s">
        <v>30</v>
      </c>
      <c r="D467" s="20"/>
      <c r="E467" s="15">
        <v>6400</v>
      </c>
      <c r="F467" s="15">
        <v>400</v>
      </c>
      <c r="G467" s="15">
        <v>400</v>
      </c>
      <c r="H467" s="15">
        <f t="shared" si="46"/>
        <v>7200</v>
      </c>
      <c r="I467" s="15">
        <f t="shared" si="47"/>
        <v>0</v>
      </c>
      <c r="J467" s="16"/>
      <c r="K467" s="15"/>
      <c r="L467" s="15">
        <f t="shared" si="42"/>
        <v>0</v>
      </c>
      <c r="M467" s="16"/>
      <c r="N467" s="16"/>
      <c r="O467" s="15">
        <f t="shared" si="43"/>
        <v>0</v>
      </c>
      <c r="P467" s="15">
        <f t="shared" si="44"/>
        <v>0</v>
      </c>
      <c r="Q467" s="15">
        <f t="shared" si="45"/>
        <v>0</v>
      </c>
      <c r="R467" s="17"/>
    </row>
    <row r="468" spans="1:18" ht="16.5" x14ac:dyDescent="0.25">
      <c r="A468" s="12">
        <v>1660</v>
      </c>
      <c r="B468" s="13" t="s">
        <v>455</v>
      </c>
      <c r="C468" s="13" t="s">
        <v>30</v>
      </c>
      <c r="D468" s="20"/>
      <c r="E468" s="15">
        <v>6400</v>
      </c>
      <c r="F468" s="15">
        <v>400</v>
      </c>
      <c r="G468" s="15">
        <v>400</v>
      </c>
      <c r="H468" s="15">
        <f t="shared" si="46"/>
        <v>7200</v>
      </c>
      <c r="I468" s="15">
        <f t="shared" si="47"/>
        <v>0</v>
      </c>
      <c r="J468" s="16"/>
      <c r="K468" s="15"/>
      <c r="L468" s="15">
        <f t="shared" si="42"/>
        <v>0</v>
      </c>
      <c r="M468" s="16"/>
      <c r="N468" s="16"/>
      <c r="O468" s="15">
        <f t="shared" si="43"/>
        <v>0</v>
      </c>
      <c r="P468" s="15">
        <f t="shared" si="44"/>
        <v>0</v>
      </c>
      <c r="Q468" s="15">
        <f t="shared" si="45"/>
        <v>0</v>
      </c>
      <c r="R468" s="17"/>
    </row>
    <row r="469" spans="1:18" ht="16.5" x14ac:dyDescent="0.25">
      <c r="A469" s="12">
        <v>1661</v>
      </c>
      <c r="B469" s="13" t="s">
        <v>442</v>
      </c>
      <c r="C469" s="13" t="s">
        <v>36</v>
      </c>
      <c r="D469" s="20"/>
      <c r="E469" s="15">
        <v>6400</v>
      </c>
      <c r="F469" s="15">
        <v>400</v>
      </c>
      <c r="G469" s="15">
        <v>400</v>
      </c>
      <c r="H469" s="15">
        <f t="shared" si="46"/>
        <v>7200</v>
      </c>
      <c r="I469" s="15">
        <f t="shared" si="47"/>
        <v>0</v>
      </c>
      <c r="J469" s="16"/>
      <c r="K469" s="15"/>
      <c r="L469" s="15">
        <f t="shared" si="42"/>
        <v>0</v>
      </c>
      <c r="M469" s="16"/>
      <c r="N469" s="16"/>
      <c r="O469" s="15">
        <f t="shared" si="43"/>
        <v>0</v>
      </c>
      <c r="P469" s="15">
        <f t="shared" si="44"/>
        <v>0</v>
      </c>
      <c r="Q469" s="15">
        <f t="shared" si="45"/>
        <v>0</v>
      </c>
      <c r="R469" s="17"/>
    </row>
    <row r="470" spans="1:18" ht="16.5" x14ac:dyDescent="0.25">
      <c r="A470" s="12">
        <v>1662</v>
      </c>
      <c r="B470" s="13" t="s">
        <v>350</v>
      </c>
      <c r="C470" s="13" t="s">
        <v>36</v>
      </c>
      <c r="D470" s="20"/>
      <c r="E470" s="15">
        <v>6400</v>
      </c>
      <c r="F470" s="15">
        <v>500</v>
      </c>
      <c r="G470" s="15">
        <v>400</v>
      </c>
      <c r="H470" s="15">
        <f t="shared" si="46"/>
        <v>7300</v>
      </c>
      <c r="I470" s="15">
        <f t="shared" si="47"/>
        <v>0</v>
      </c>
      <c r="J470" s="16"/>
      <c r="K470" s="15"/>
      <c r="L470" s="15">
        <f t="shared" si="42"/>
        <v>0</v>
      </c>
      <c r="M470" s="16"/>
      <c r="N470" s="16"/>
      <c r="O470" s="15">
        <f t="shared" si="43"/>
        <v>0</v>
      </c>
      <c r="P470" s="15">
        <f t="shared" si="44"/>
        <v>0</v>
      </c>
      <c r="Q470" s="15">
        <f t="shared" si="45"/>
        <v>0</v>
      </c>
      <c r="R470" s="17"/>
    </row>
    <row r="471" spans="1:18" ht="16.5" x14ac:dyDescent="0.25">
      <c r="A471" s="12">
        <v>1663</v>
      </c>
      <c r="B471" s="13" t="s">
        <v>447</v>
      </c>
      <c r="C471" s="13" t="s">
        <v>82</v>
      </c>
      <c r="D471" s="20">
        <v>160</v>
      </c>
      <c r="E471" s="15">
        <v>6400</v>
      </c>
      <c r="F471" s="15">
        <v>400</v>
      </c>
      <c r="G471" s="15">
        <v>400</v>
      </c>
      <c r="H471" s="15">
        <f t="shared" si="46"/>
        <v>7200</v>
      </c>
      <c r="I471" s="15">
        <f t="shared" si="47"/>
        <v>1152000</v>
      </c>
      <c r="J471" s="16"/>
      <c r="K471" s="15"/>
      <c r="L471" s="15">
        <f t="shared" si="42"/>
        <v>3200</v>
      </c>
      <c r="M471" s="16"/>
      <c r="N471" s="16"/>
      <c r="O471" s="15">
        <f t="shared" si="43"/>
        <v>40000</v>
      </c>
      <c r="P471" s="15">
        <f t="shared" si="44"/>
        <v>43200</v>
      </c>
      <c r="Q471" s="15">
        <f t="shared" si="45"/>
        <v>1108800</v>
      </c>
      <c r="R471" s="17"/>
    </row>
    <row r="472" spans="1:18" ht="16.5" x14ac:dyDescent="0.25">
      <c r="A472" s="12">
        <v>1664</v>
      </c>
      <c r="B472" s="13" t="s">
        <v>448</v>
      </c>
      <c r="C472" s="13" t="s">
        <v>36</v>
      </c>
      <c r="D472" s="20"/>
      <c r="E472" s="15">
        <v>6400</v>
      </c>
      <c r="F472" s="15">
        <v>400</v>
      </c>
      <c r="G472" s="15">
        <v>400</v>
      </c>
      <c r="H472" s="15">
        <f t="shared" si="46"/>
        <v>7200</v>
      </c>
      <c r="I472" s="15">
        <f t="shared" si="47"/>
        <v>0</v>
      </c>
      <c r="J472" s="16"/>
      <c r="K472" s="15"/>
      <c r="L472" s="15">
        <f t="shared" si="42"/>
        <v>0</v>
      </c>
      <c r="M472" s="16"/>
      <c r="N472" s="16"/>
      <c r="O472" s="15">
        <f t="shared" si="43"/>
        <v>0</v>
      </c>
      <c r="P472" s="15">
        <f t="shared" si="44"/>
        <v>0</v>
      </c>
      <c r="Q472" s="15">
        <f t="shared" si="45"/>
        <v>0</v>
      </c>
      <c r="R472" s="17"/>
    </row>
    <row r="473" spans="1:18" ht="16.5" x14ac:dyDescent="0.25">
      <c r="A473" s="12">
        <v>1666</v>
      </c>
      <c r="B473" s="13" t="s">
        <v>449</v>
      </c>
      <c r="C473" s="13" t="s">
        <v>82</v>
      </c>
      <c r="D473" s="20"/>
      <c r="E473" s="15">
        <v>6400</v>
      </c>
      <c r="F473" s="15">
        <v>400</v>
      </c>
      <c r="G473" s="15">
        <v>400</v>
      </c>
      <c r="H473" s="15">
        <f t="shared" si="46"/>
        <v>7200</v>
      </c>
      <c r="I473" s="15">
        <f t="shared" si="47"/>
        <v>0</v>
      </c>
      <c r="J473" s="16"/>
      <c r="K473" s="15"/>
      <c r="L473" s="15">
        <f t="shared" si="42"/>
        <v>0</v>
      </c>
      <c r="M473" s="16"/>
      <c r="N473" s="16"/>
      <c r="O473" s="15">
        <f t="shared" si="43"/>
        <v>0</v>
      </c>
      <c r="P473" s="15">
        <f t="shared" si="44"/>
        <v>0</v>
      </c>
      <c r="Q473" s="15">
        <f t="shared" si="45"/>
        <v>0</v>
      </c>
      <c r="R473" s="17"/>
    </row>
    <row r="474" spans="1:18" ht="16.5" x14ac:dyDescent="0.25">
      <c r="A474" s="12">
        <v>1667</v>
      </c>
      <c r="B474" s="13" t="s">
        <v>272</v>
      </c>
      <c r="C474" s="13" t="s">
        <v>30</v>
      </c>
      <c r="D474" s="20"/>
      <c r="E474" s="15">
        <v>6400</v>
      </c>
      <c r="F474" s="15">
        <v>400</v>
      </c>
      <c r="G474" s="15">
        <v>400</v>
      </c>
      <c r="H474" s="15">
        <f t="shared" ref="H474" si="48">SUM(E474:G474)</f>
        <v>7200</v>
      </c>
      <c r="I474" s="15">
        <f t="shared" si="47"/>
        <v>0</v>
      </c>
      <c r="J474" s="16"/>
      <c r="K474" s="15"/>
      <c r="L474" s="15">
        <f t="shared" si="42"/>
        <v>0</v>
      </c>
      <c r="M474" s="16"/>
      <c r="N474" s="16"/>
      <c r="O474" s="15">
        <f>250*D474</f>
        <v>0</v>
      </c>
      <c r="P474" s="15"/>
      <c r="Q474" s="15"/>
      <c r="R474" s="17"/>
    </row>
    <row r="475" spans="1:18" ht="16.5" x14ac:dyDescent="0.25">
      <c r="A475" s="12">
        <v>1668</v>
      </c>
      <c r="B475" s="13" t="s">
        <v>154</v>
      </c>
      <c r="C475" s="13" t="s">
        <v>82</v>
      </c>
      <c r="D475" s="20">
        <v>770</v>
      </c>
      <c r="E475" s="15">
        <v>6400</v>
      </c>
      <c r="F475" s="15">
        <v>600</v>
      </c>
      <c r="G475" s="15">
        <v>400</v>
      </c>
      <c r="H475" s="15">
        <f t="shared" ref="H475:H478" si="49">SUM(E475:G475)</f>
        <v>7400</v>
      </c>
      <c r="I475" s="15">
        <f t="shared" si="47"/>
        <v>5698000</v>
      </c>
      <c r="J475" s="16"/>
      <c r="K475" s="15"/>
      <c r="L475" s="15">
        <f t="shared" si="42"/>
        <v>15400</v>
      </c>
      <c r="M475" s="16"/>
      <c r="N475" s="16"/>
      <c r="O475" s="15">
        <f t="shared" ref="O475:O478" si="50">250*D475</f>
        <v>192500</v>
      </c>
      <c r="P475" s="15"/>
      <c r="Q475" s="15"/>
      <c r="R475" s="17"/>
    </row>
    <row r="476" spans="1:18" ht="16.5" x14ac:dyDescent="0.25">
      <c r="A476" s="12">
        <v>1669</v>
      </c>
      <c r="B476" s="13" t="s">
        <v>456</v>
      </c>
      <c r="C476" s="13" t="s">
        <v>36</v>
      </c>
      <c r="D476" s="20">
        <v>60</v>
      </c>
      <c r="E476" s="15">
        <v>6400</v>
      </c>
      <c r="F476" s="15">
        <v>400</v>
      </c>
      <c r="G476" s="15">
        <v>400</v>
      </c>
      <c r="H476" s="15">
        <f t="shared" si="49"/>
        <v>7200</v>
      </c>
      <c r="I476" s="15">
        <f t="shared" si="47"/>
        <v>432000</v>
      </c>
      <c r="J476" s="16"/>
      <c r="K476" s="15"/>
      <c r="L476" s="15">
        <f t="shared" si="42"/>
        <v>1200</v>
      </c>
      <c r="M476" s="16"/>
      <c r="N476" s="16"/>
      <c r="O476" s="15">
        <f t="shared" si="50"/>
        <v>15000</v>
      </c>
      <c r="P476" s="15"/>
      <c r="Q476" s="15"/>
      <c r="R476" s="17"/>
    </row>
    <row r="477" spans="1:18" ht="16.5" x14ac:dyDescent="0.25">
      <c r="A477" s="12">
        <v>1670</v>
      </c>
      <c r="B477" s="13" t="s">
        <v>461</v>
      </c>
      <c r="C477" s="13" t="s">
        <v>36</v>
      </c>
      <c r="D477" s="20">
        <v>256</v>
      </c>
      <c r="E477" s="15">
        <v>6400</v>
      </c>
      <c r="F477" s="15">
        <v>500</v>
      </c>
      <c r="G477" s="15">
        <v>400</v>
      </c>
      <c r="H477" s="15">
        <f t="shared" si="49"/>
        <v>7300</v>
      </c>
      <c r="I477" s="15">
        <f t="shared" si="47"/>
        <v>1868800</v>
      </c>
      <c r="J477" s="16"/>
      <c r="K477" s="15"/>
      <c r="L477" s="15">
        <f t="shared" si="42"/>
        <v>5120</v>
      </c>
      <c r="M477" s="16"/>
      <c r="N477" s="16"/>
      <c r="O477" s="15">
        <f t="shared" si="50"/>
        <v>64000</v>
      </c>
      <c r="P477" s="15"/>
      <c r="Q477" s="15"/>
      <c r="R477" s="17"/>
    </row>
    <row r="478" spans="1:18" ht="16.5" x14ac:dyDescent="0.25">
      <c r="A478" s="12">
        <v>1671</v>
      </c>
      <c r="B478" s="13" t="s">
        <v>460</v>
      </c>
      <c r="C478" s="13" t="s">
        <v>30</v>
      </c>
      <c r="D478" s="20">
        <v>224</v>
      </c>
      <c r="E478" s="15">
        <v>6400</v>
      </c>
      <c r="F478" s="15">
        <v>600</v>
      </c>
      <c r="G478" s="15">
        <v>400</v>
      </c>
      <c r="H478" s="15">
        <f t="shared" si="49"/>
        <v>7400</v>
      </c>
      <c r="I478" s="15">
        <f t="shared" si="47"/>
        <v>1657600</v>
      </c>
      <c r="J478" s="16"/>
      <c r="K478" s="15"/>
      <c r="L478" s="15">
        <f t="shared" si="42"/>
        <v>4480</v>
      </c>
      <c r="M478" s="16"/>
      <c r="N478" s="16"/>
      <c r="O478" s="15">
        <f t="shared" si="50"/>
        <v>56000</v>
      </c>
      <c r="P478" s="15"/>
      <c r="Q478" s="15"/>
      <c r="R478" s="17"/>
    </row>
    <row r="479" spans="1:18" ht="16.5" x14ac:dyDescent="0.25">
      <c r="A479" s="12"/>
      <c r="B479" s="35" t="s">
        <v>390</v>
      </c>
      <c r="C479" s="35"/>
      <c r="D479" s="20">
        <f t="shared" ref="D479:Q479" si="51">SUM(D4:D478)</f>
        <v>26936</v>
      </c>
      <c r="E479" s="20">
        <f>SUM(E4:E478)</f>
        <v>3040000</v>
      </c>
      <c r="F479" s="20">
        <f t="shared" si="51"/>
        <v>179900</v>
      </c>
      <c r="G479" s="20">
        <f t="shared" si="51"/>
        <v>190000</v>
      </c>
      <c r="H479" s="20">
        <f t="shared" si="51"/>
        <v>3409900</v>
      </c>
      <c r="I479" s="20">
        <f>SUM(I4:I478)</f>
        <v>197083100</v>
      </c>
      <c r="J479" s="20">
        <f t="shared" si="51"/>
        <v>600000</v>
      </c>
      <c r="K479" s="20">
        <f t="shared" si="51"/>
        <v>36176000</v>
      </c>
      <c r="L479" s="20">
        <f t="shared" si="51"/>
        <v>538720</v>
      </c>
      <c r="M479" s="20">
        <f t="shared" si="51"/>
        <v>0</v>
      </c>
      <c r="N479" s="20">
        <f t="shared" si="51"/>
        <v>0</v>
      </c>
      <c r="O479" s="20">
        <f t="shared" si="51"/>
        <v>6734000</v>
      </c>
      <c r="P479" s="20">
        <f t="shared" si="51"/>
        <v>43695020</v>
      </c>
      <c r="Q479" s="20">
        <f t="shared" si="51"/>
        <v>143731680</v>
      </c>
      <c r="R479" s="36"/>
    </row>
    <row r="480" spans="1:18" ht="16.5" x14ac:dyDescent="0.25">
      <c r="A480" s="37"/>
      <c r="B480" s="38"/>
      <c r="C480" s="38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39"/>
    </row>
    <row r="481" spans="1:18" ht="16.5" x14ac:dyDescent="0.25">
      <c r="A481" s="37"/>
      <c r="B481" s="38"/>
      <c r="C481" s="38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39"/>
    </row>
    <row r="482" spans="1:18" ht="16.5" x14ac:dyDescent="0.25">
      <c r="A482" s="37"/>
      <c r="B482" s="38"/>
      <c r="C482" s="38"/>
      <c r="D482" s="23" t="s">
        <v>391</v>
      </c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39"/>
    </row>
    <row r="483" spans="1:18" ht="16.5" x14ac:dyDescent="0.25">
      <c r="A483" s="37"/>
      <c r="B483" s="38"/>
      <c r="C483" s="38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39"/>
    </row>
    <row r="484" spans="1:18" ht="16.5" x14ac:dyDescent="0.25">
      <c r="A484" s="37"/>
      <c r="B484" s="38"/>
      <c r="C484" s="38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39"/>
    </row>
    <row r="485" spans="1:18" ht="16.5" x14ac:dyDescent="0.25">
      <c r="A485" s="37"/>
      <c r="B485" s="38"/>
      <c r="C485" s="38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39"/>
    </row>
    <row r="486" spans="1:18" ht="16.5" x14ac:dyDescent="0.25">
      <c r="A486" s="37"/>
      <c r="B486" s="38"/>
      <c r="C486" s="38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39"/>
    </row>
    <row r="487" spans="1:18" ht="16.5" x14ac:dyDescent="0.25">
      <c r="A487" s="37"/>
      <c r="B487" s="38"/>
      <c r="C487" s="38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39"/>
    </row>
    <row r="488" spans="1:18" ht="16.5" x14ac:dyDescent="0.25">
      <c r="A488" s="37"/>
      <c r="B488" s="38"/>
      <c r="C488" s="38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39"/>
    </row>
    <row r="489" spans="1:18" ht="16.5" x14ac:dyDescent="0.25">
      <c r="A489" s="37"/>
      <c r="B489" s="38"/>
      <c r="C489" s="38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39"/>
    </row>
    <row r="490" spans="1:18" ht="16.5" x14ac:dyDescent="0.25">
      <c r="A490" s="37"/>
      <c r="B490" s="38"/>
      <c r="C490" s="38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39"/>
    </row>
    <row r="491" spans="1:18" ht="16.5" x14ac:dyDescent="0.25">
      <c r="A491" s="37"/>
      <c r="B491" s="38"/>
      <c r="C491" s="38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39"/>
    </row>
    <row r="492" spans="1:18" ht="18" x14ac:dyDescent="0.25">
      <c r="A492" s="77" t="str">
        <f>A1</f>
        <v>PEMBAYARAN SETORAN SUSU  PADA PETERNAK BAGIAN TANGGAL :  01 S / D 10 FEBRUARI 2026</v>
      </c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</row>
    <row r="493" spans="1:18" ht="16.5" x14ac:dyDescent="0.25">
      <c r="A493" s="5" t="s">
        <v>2</v>
      </c>
      <c r="B493" s="6" t="s">
        <v>3</v>
      </c>
      <c r="C493" s="6" t="s">
        <v>4</v>
      </c>
      <c r="D493" s="7" t="s">
        <v>5</v>
      </c>
      <c r="E493" s="8" t="s">
        <v>428</v>
      </c>
      <c r="F493" s="8" t="s">
        <v>429</v>
      </c>
      <c r="G493" s="8" t="s">
        <v>430</v>
      </c>
      <c r="H493" s="8" t="s">
        <v>431</v>
      </c>
      <c r="I493" s="8" t="s">
        <v>432</v>
      </c>
      <c r="J493" s="9" t="s">
        <v>7</v>
      </c>
      <c r="K493" s="9" t="s">
        <v>8</v>
      </c>
      <c r="L493" s="10" t="s">
        <v>9</v>
      </c>
      <c r="M493" s="10" t="s">
        <v>10</v>
      </c>
      <c r="N493" s="10" t="s">
        <v>427</v>
      </c>
      <c r="O493" s="10" t="s">
        <v>11</v>
      </c>
      <c r="P493" s="10" t="s">
        <v>12</v>
      </c>
      <c r="Q493" s="10" t="s">
        <v>13</v>
      </c>
      <c r="R493" s="11" t="s">
        <v>14</v>
      </c>
    </row>
    <row r="494" spans="1:18" ht="16.5" x14ac:dyDescent="0.25">
      <c r="A494" s="12">
        <v>0</v>
      </c>
      <c r="B494" s="13" t="s">
        <v>36</v>
      </c>
      <c r="C494" s="13">
        <v>0</v>
      </c>
      <c r="D494" s="40">
        <v>60</v>
      </c>
      <c r="E494" s="16">
        <v>7300</v>
      </c>
      <c r="F494" s="16"/>
      <c r="G494" s="16"/>
      <c r="H494" s="15">
        <f>SUM(E494:G494)</f>
        <v>7300</v>
      </c>
      <c r="I494" s="15">
        <f>D494*H494</f>
        <v>438000</v>
      </c>
      <c r="J494" s="20"/>
      <c r="K494" s="15"/>
      <c r="L494" s="15"/>
      <c r="M494" s="20"/>
      <c r="N494" s="20"/>
      <c r="O494" s="22"/>
      <c r="P494" s="15">
        <f>SUM(J494:O494)</f>
        <v>0</v>
      </c>
      <c r="Q494" s="15">
        <f>I494-P494</f>
        <v>438000</v>
      </c>
      <c r="R494" s="36"/>
    </row>
    <row r="495" spans="1:18" ht="16.5" x14ac:dyDescent="0.25">
      <c r="A495" s="12">
        <v>0</v>
      </c>
      <c r="B495" s="13" t="s">
        <v>25</v>
      </c>
      <c r="C495" s="13">
        <v>0</v>
      </c>
      <c r="D495" s="20">
        <v>96</v>
      </c>
      <c r="E495" s="16">
        <v>7300</v>
      </c>
      <c r="F495" s="16"/>
      <c r="G495" s="16"/>
      <c r="H495" s="15">
        <f t="shared" ref="H495:H502" si="52">SUM(E495:G495)</f>
        <v>7300</v>
      </c>
      <c r="I495" s="15">
        <f t="shared" ref="I495:I502" si="53">D495*H495</f>
        <v>700800</v>
      </c>
      <c r="J495" s="20"/>
      <c r="K495" s="15"/>
      <c r="L495" s="15"/>
      <c r="M495" s="20"/>
      <c r="N495" s="20"/>
      <c r="O495" s="22"/>
      <c r="P495" s="15">
        <f t="shared" ref="P495:P502" si="54">SUM(J495:O495)</f>
        <v>0</v>
      </c>
      <c r="Q495" s="15">
        <f t="shared" ref="Q495:Q502" si="55">I495-P495</f>
        <v>700800</v>
      </c>
      <c r="R495" s="36"/>
    </row>
    <row r="496" spans="1:18" ht="16.5" x14ac:dyDescent="0.25">
      <c r="A496" s="12">
        <v>0</v>
      </c>
      <c r="B496" s="13" t="s">
        <v>21</v>
      </c>
      <c r="C496" s="13">
        <v>0</v>
      </c>
      <c r="D496" s="20">
        <v>9</v>
      </c>
      <c r="E496" s="16">
        <v>7300</v>
      </c>
      <c r="F496" s="16"/>
      <c r="G496" s="16"/>
      <c r="H496" s="15">
        <f t="shared" si="52"/>
        <v>7300</v>
      </c>
      <c r="I496" s="15">
        <f t="shared" si="53"/>
        <v>65700</v>
      </c>
      <c r="J496" s="20"/>
      <c r="K496" s="15"/>
      <c r="L496" s="15"/>
      <c r="M496" s="20"/>
      <c r="N496" s="20"/>
      <c r="O496" s="22"/>
      <c r="P496" s="15">
        <f t="shared" si="54"/>
        <v>0</v>
      </c>
      <c r="Q496" s="15">
        <f t="shared" si="55"/>
        <v>65700</v>
      </c>
      <c r="R496" s="36"/>
    </row>
    <row r="497" spans="1:18" ht="16.5" x14ac:dyDescent="0.25">
      <c r="A497" s="12">
        <v>0</v>
      </c>
      <c r="B497" s="13" t="s">
        <v>47</v>
      </c>
      <c r="C497" s="13">
        <v>0</v>
      </c>
      <c r="D497" s="20">
        <v>50</v>
      </c>
      <c r="E497" s="16">
        <v>7300</v>
      </c>
      <c r="F497" s="16"/>
      <c r="G497" s="16"/>
      <c r="H497" s="15">
        <f t="shared" si="52"/>
        <v>7300</v>
      </c>
      <c r="I497" s="15">
        <f t="shared" si="53"/>
        <v>365000</v>
      </c>
      <c r="J497" s="20"/>
      <c r="K497" s="15"/>
      <c r="L497" s="15"/>
      <c r="M497" s="20"/>
      <c r="N497" s="20"/>
      <c r="O497" s="22"/>
      <c r="P497" s="15">
        <f t="shared" si="54"/>
        <v>0</v>
      </c>
      <c r="Q497" s="15">
        <f t="shared" si="55"/>
        <v>365000</v>
      </c>
      <c r="R497" s="36"/>
    </row>
    <row r="498" spans="1:18" ht="16.5" x14ac:dyDescent="0.25">
      <c r="A498" s="12">
        <v>0</v>
      </c>
      <c r="B498" s="13" t="s">
        <v>43</v>
      </c>
      <c r="C498" s="13">
        <v>0</v>
      </c>
      <c r="D498" s="20">
        <v>240</v>
      </c>
      <c r="E498" s="16">
        <v>7300</v>
      </c>
      <c r="F498" s="16"/>
      <c r="G498" s="16"/>
      <c r="H498" s="15">
        <f t="shared" si="52"/>
        <v>7300</v>
      </c>
      <c r="I498" s="15">
        <f t="shared" si="53"/>
        <v>1752000</v>
      </c>
      <c r="J498" s="20"/>
      <c r="K498" s="15"/>
      <c r="L498" s="15"/>
      <c r="M498" s="20"/>
      <c r="N498" s="20"/>
      <c r="O498" s="22"/>
      <c r="P498" s="15">
        <f t="shared" si="54"/>
        <v>0</v>
      </c>
      <c r="Q498" s="15">
        <f t="shared" si="55"/>
        <v>1752000</v>
      </c>
      <c r="R498" s="36"/>
    </row>
    <row r="499" spans="1:18" ht="16.5" x14ac:dyDescent="0.25">
      <c r="A499" s="12">
        <v>0</v>
      </c>
      <c r="B499" s="13" t="s">
        <v>30</v>
      </c>
      <c r="C499" s="13">
        <v>0</v>
      </c>
      <c r="D499" s="20">
        <v>180</v>
      </c>
      <c r="E499" s="16">
        <v>7300</v>
      </c>
      <c r="F499" s="16"/>
      <c r="G499" s="16"/>
      <c r="H499" s="15">
        <f t="shared" si="52"/>
        <v>7300</v>
      </c>
      <c r="I499" s="15">
        <f t="shared" si="53"/>
        <v>1314000</v>
      </c>
      <c r="J499" s="20"/>
      <c r="K499" s="15"/>
      <c r="L499" s="15"/>
      <c r="M499" s="20"/>
      <c r="N499" s="20"/>
      <c r="O499" s="22"/>
      <c r="P499" s="15">
        <f t="shared" si="54"/>
        <v>0</v>
      </c>
      <c r="Q499" s="15">
        <f t="shared" si="55"/>
        <v>1314000</v>
      </c>
      <c r="R499" s="36"/>
    </row>
    <row r="500" spans="1:18" ht="16.5" x14ac:dyDescent="0.25">
      <c r="A500" s="12">
        <v>0</v>
      </c>
      <c r="B500" s="13" t="s">
        <v>54</v>
      </c>
      <c r="C500" s="13">
        <v>0</v>
      </c>
      <c r="D500" s="20">
        <v>80</v>
      </c>
      <c r="E500" s="16">
        <v>7300</v>
      </c>
      <c r="F500" s="16"/>
      <c r="G500" s="16"/>
      <c r="H500" s="15">
        <f t="shared" si="52"/>
        <v>7300</v>
      </c>
      <c r="I500" s="15">
        <f t="shared" si="53"/>
        <v>584000</v>
      </c>
      <c r="J500" s="20"/>
      <c r="K500" s="15"/>
      <c r="L500" s="15"/>
      <c r="M500" s="20"/>
      <c r="N500" s="20"/>
      <c r="O500" s="22"/>
      <c r="P500" s="15">
        <f t="shared" si="54"/>
        <v>0</v>
      </c>
      <c r="Q500" s="15">
        <f t="shared" si="55"/>
        <v>584000</v>
      </c>
      <c r="R500" s="36"/>
    </row>
    <row r="501" spans="1:18" ht="16.5" x14ac:dyDescent="0.25">
      <c r="A501" s="12">
        <v>0</v>
      </c>
      <c r="B501" s="13" t="s">
        <v>392</v>
      </c>
      <c r="C501" s="13">
        <v>0</v>
      </c>
      <c r="D501" s="20">
        <v>20</v>
      </c>
      <c r="E501" s="16">
        <v>7300</v>
      </c>
      <c r="F501" s="16"/>
      <c r="G501" s="16"/>
      <c r="H501" s="15">
        <f t="shared" si="52"/>
        <v>7300</v>
      </c>
      <c r="I501" s="15">
        <f t="shared" si="53"/>
        <v>146000</v>
      </c>
      <c r="J501" s="20"/>
      <c r="K501" s="15"/>
      <c r="L501" s="15"/>
      <c r="M501" s="20"/>
      <c r="N501" s="20"/>
      <c r="O501" s="22"/>
      <c r="P501" s="15">
        <f t="shared" si="54"/>
        <v>0</v>
      </c>
      <c r="Q501" s="15">
        <f t="shared" si="55"/>
        <v>146000</v>
      </c>
      <c r="R501" s="36"/>
    </row>
    <row r="502" spans="1:18" ht="16.5" x14ac:dyDescent="0.25">
      <c r="A502" s="12">
        <v>0</v>
      </c>
      <c r="B502" s="41" t="s">
        <v>19</v>
      </c>
      <c r="C502" s="13">
        <v>0</v>
      </c>
      <c r="D502" s="20"/>
      <c r="E502" s="16">
        <v>7300</v>
      </c>
      <c r="F502" s="16"/>
      <c r="G502" s="16"/>
      <c r="H502" s="15">
        <f t="shared" si="52"/>
        <v>7300</v>
      </c>
      <c r="I502" s="15">
        <f t="shared" si="53"/>
        <v>0</v>
      </c>
      <c r="J502" s="20"/>
      <c r="K502" s="15"/>
      <c r="L502" s="15"/>
      <c r="M502" s="20"/>
      <c r="N502" s="20"/>
      <c r="O502" s="22"/>
      <c r="P502" s="15">
        <f t="shared" si="54"/>
        <v>0</v>
      </c>
      <c r="Q502" s="15">
        <f t="shared" si="55"/>
        <v>0</v>
      </c>
      <c r="R502" s="36"/>
    </row>
    <row r="503" spans="1:18" ht="16.5" x14ac:dyDescent="0.25">
      <c r="A503" s="12"/>
      <c r="B503" s="42"/>
      <c r="C503" s="43"/>
      <c r="D503" s="20"/>
      <c r="E503" s="15"/>
      <c r="F503" s="15"/>
      <c r="G503" s="15"/>
      <c r="H503" s="15"/>
      <c r="I503" s="15"/>
      <c r="J503" s="20"/>
      <c r="K503" s="15"/>
      <c r="L503" s="15"/>
      <c r="M503" s="20"/>
      <c r="N503" s="20"/>
      <c r="O503" s="22"/>
      <c r="P503" s="15"/>
      <c r="Q503" s="15">
        <f t="shared" ref="Q503" si="56">H503-P503</f>
        <v>0</v>
      </c>
      <c r="R503" s="36"/>
    </row>
    <row r="504" spans="1:18" ht="16.5" x14ac:dyDescent="0.25">
      <c r="A504" s="44"/>
      <c r="B504" s="70" t="s">
        <v>393</v>
      </c>
      <c r="C504" s="71"/>
      <c r="D504" s="22">
        <f>SUM(D494:D503)</f>
        <v>735</v>
      </c>
      <c r="E504" s="22">
        <f t="shared" ref="E504:Q504" si="57">SUM(E494:E503)</f>
        <v>65700</v>
      </c>
      <c r="F504" s="22">
        <f t="shared" si="57"/>
        <v>0</v>
      </c>
      <c r="G504" s="22">
        <f t="shared" si="57"/>
        <v>0</v>
      </c>
      <c r="H504" s="22">
        <f t="shared" si="57"/>
        <v>65700</v>
      </c>
      <c r="I504" s="22">
        <f t="shared" si="57"/>
        <v>5365500</v>
      </c>
      <c r="J504" s="22">
        <f t="shared" si="57"/>
        <v>0</v>
      </c>
      <c r="K504" s="22">
        <f t="shared" si="57"/>
        <v>0</v>
      </c>
      <c r="L504" s="22">
        <f t="shared" si="57"/>
        <v>0</v>
      </c>
      <c r="M504" s="22">
        <f t="shared" si="57"/>
        <v>0</v>
      </c>
      <c r="N504" s="22">
        <f t="shared" si="57"/>
        <v>0</v>
      </c>
      <c r="O504" s="22">
        <f t="shared" si="57"/>
        <v>0</v>
      </c>
      <c r="P504" s="22">
        <f t="shared" si="57"/>
        <v>0</v>
      </c>
      <c r="Q504" s="22">
        <f t="shared" si="57"/>
        <v>5365500</v>
      </c>
      <c r="R504" s="47"/>
    </row>
    <row r="505" spans="1:18" ht="16.5" x14ac:dyDescent="0.25">
      <c r="A505" s="48"/>
      <c r="B505" s="49"/>
      <c r="C505" s="49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1"/>
    </row>
    <row r="506" spans="1:18" ht="16.5" x14ac:dyDescent="0.25">
      <c r="A506" s="48"/>
      <c r="B506" s="49"/>
      <c r="C506" s="49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1"/>
    </row>
    <row r="507" spans="1:18" ht="16.5" x14ac:dyDescent="0.25">
      <c r="A507" s="48"/>
      <c r="B507" s="49"/>
      <c r="C507" s="49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1"/>
    </row>
    <row r="508" spans="1:18" ht="16.5" x14ac:dyDescent="0.25">
      <c r="A508" s="48"/>
      <c r="B508" s="49"/>
      <c r="C508" s="49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1"/>
    </row>
    <row r="509" spans="1:18" ht="16.5" x14ac:dyDescent="0.25">
      <c r="A509" s="48"/>
      <c r="B509" s="49"/>
      <c r="C509" s="49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1"/>
    </row>
    <row r="510" spans="1:18" ht="16.5" x14ac:dyDescent="0.25">
      <c r="A510" s="48"/>
      <c r="B510" s="49"/>
      <c r="C510" s="4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1"/>
    </row>
    <row r="511" spans="1:18" ht="16.5" x14ac:dyDescent="0.25">
      <c r="A511" s="48"/>
      <c r="B511" s="49"/>
      <c r="C511" s="49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1"/>
    </row>
    <row r="512" spans="1:18" ht="16.5" x14ac:dyDescent="0.25">
      <c r="A512" s="48"/>
      <c r="B512" s="49"/>
      <c r="C512" s="4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1"/>
    </row>
    <row r="513" spans="1:18" x14ac:dyDescent="0.2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3"/>
    </row>
    <row r="514" spans="1:18" ht="18" x14ac:dyDescent="0.25">
      <c r="A514" s="73" t="str">
        <f>A492</f>
        <v>PEMBAYARAN SETORAN SUSU  PADA PETERNAK BAGIAN TANGGAL :  01 S / D 10 FEBRUARI 2026</v>
      </c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1:18" ht="16.5" x14ac:dyDescent="0.25">
      <c r="A515" s="5" t="s">
        <v>2</v>
      </c>
      <c r="B515" s="6" t="s">
        <v>3</v>
      </c>
      <c r="C515" s="6" t="s">
        <v>4</v>
      </c>
      <c r="D515" s="54" t="s">
        <v>5</v>
      </c>
      <c r="E515" s="55" t="s">
        <v>6</v>
      </c>
      <c r="F515" s="55" t="s">
        <v>429</v>
      </c>
      <c r="G515" s="55" t="s">
        <v>430</v>
      </c>
      <c r="H515" s="55" t="s">
        <v>431</v>
      </c>
      <c r="I515" s="55" t="s">
        <v>434</v>
      </c>
      <c r="J515" s="9" t="s">
        <v>7</v>
      </c>
      <c r="K515" s="9" t="s">
        <v>8</v>
      </c>
      <c r="L515" s="10" t="s">
        <v>9</v>
      </c>
      <c r="M515" s="10" t="s">
        <v>10</v>
      </c>
      <c r="N515" s="10"/>
      <c r="O515" s="10" t="s">
        <v>11</v>
      </c>
      <c r="P515" s="10" t="s">
        <v>12</v>
      </c>
      <c r="Q515" s="10" t="s">
        <v>13</v>
      </c>
      <c r="R515" s="11" t="s">
        <v>14</v>
      </c>
    </row>
    <row r="516" spans="1:18" ht="16.5" x14ac:dyDescent="0.3">
      <c r="A516" s="56"/>
      <c r="B516" s="57" t="s">
        <v>394</v>
      </c>
      <c r="C516" s="58"/>
      <c r="E516" s="16"/>
      <c r="F516" s="16"/>
      <c r="G516" s="16"/>
      <c r="H516" s="15">
        <v>7000</v>
      </c>
      <c r="I516" s="15">
        <f>D516*H516</f>
        <v>0</v>
      </c>
      <c r="J516" s="15"/>
      <c r="K516" s="15"/>
      <c r="L516" s="15"/>
      <c r="M516" s="15"/>
      <c r="N516" s="15"/>
      <c r="O516" s="15"/>
      <c r="P516" s="15">
        <f>SUM(J516:O516)</f>
        <v>0</v>
      </c>
      <c r="Q516" s="15">
        <f>I516-P516</f>
        <v>0</v>
      </c>
      <c r="R516" s="59"/>
    </row>
    <row r="517" spans="1:18" ht="16.5" x14ac:dyDescent="0.3">
      <c r="A517" s="56"/>
      <c r="B517" s="57" t="s">
        <v>444</v>
      </c>
      <c r="C517" s="60" t="s">
        <v>445</v>
      </c>
      <c r="D517" s="61"/>
      <c r="E517" s="16">
        <v>8000</v>
      </c>
      <c r="F517" s="16"/>
      <c r="G517" s="16"/>
      <c r="H517" s="15">
        <f t="shared" ref="H517:H524" si="58">SUM(E517:G517)</f>
        <v>8000</v>
      </c>
      <c r="I517" s="15">
        <f>D517*H517</f>
        <v>0</v>
      </c>
      <c r="J517" s="15"/>
      <c r="K517" s="15"/>
      <c r="L517" s="15"/>
      <c r="M517" s="15"/>
      <c r="N517" s="15"/>
      <c r="O517" s="15"/>
      <c r="P517" s="15">
        <f t="shared" ref="P517:P524" si="59">SUM(J517:O517)</f>
        <v>0</v>
      </c>
      <c r="Q517" s="15">
        <f t="shared" ref="Q517:Q524" si="60">I517-P517</f>
        <v>0</v>
      </c>
      <c r="R517" s="59"/>
    </row>
    <row r="518" spans="1:18" ht="16.5" x14ac:dyDescent="0.3">
      <c r="A518" s="56"/>
      <c r="B518" s="57" t="s">
        <v>395</v>
      </c>
      <c r="C518" s="58"/>
      <c r="D518" s="62"/>
      <c r="E518" s="16"/>
      <c r="F518" s="16"/>
      <c r="G518" s="16"/>
      <c r="H518" s="15">
        <f t="shared" si="58"/>
        <v>0</v>
      </c>
      <c r="I518" s="15">
        <f t="shared" ref="I518:I524" si="61">D518*H518</f>
        <v>0</v>
      </c>
      <c r="J518" s="15"/>
      <c r="K518" s="15"/>
      <c r="L518" s="15"/>
      <c r="M518" s="15"/>
      <c r="N518" s="15"/>
      <c r="O518" s="15"/>
      <c r="P518" s="15">
        <f t="shared" si="59"/>
        <v>0</v>
      </c>
      <c r="Q518" s="15">
        <f t="shared" si="60"/>
        <v>0</v>
      </c>
      <c r="R518" s="59"/>
    </row>
    <row r="519" spans="1:18" ht="16.5" x14ac:dyDescent="0.3">
      <c r="A519" s="56"/>
      <c r="B519" s="57" t="s">
        <v>396</v>
      </c>
      <c r="C519" s="58"/>
      <c r="D519" s="61"/>
      <c r="E519" s="16"/>
      <c r="F519" s="16"/>
      <c r="G519" s="16"/>
      <c r="H519" s="15">
        <f t="shared" si="58"/>
        <v>0</v>
      </c>
      <c r="I519" s="15">
        <f t="shared" si="61"/>
        <v>0</v>
      </c>
      <c r="J519" s="15"/>
      <c r="K519" s="15"/>
      <c r="L519" s="15"/>
      <c r="M519" s="15"/>
      <c r="N519" s="15"/>
      <c r="O519" s="15"/>
      <c r="P519" s="15">
        <f t="shared" si="59"/>
        <v>0</v>
      </c>
      <c r="Q519" s="15">
        <f t="shared" si="60"/>
        <v>0</v>
      </c>
      <c r="R519" s="59"/>
    </row>
    <row r="520" spans="1:18" ht="16.5" x14ac:dyDescent="0.3">
      <c r="A520" s="56"/>
      <c r="B520" s="57" t="s">
        <v>466</v>
      </c>
      <c r="C520" s="58" t="s">
        <v>416</v>
      </c>
      <c r="D520" s="61">
        <v>710</v>
      </c>
      <c r="E520" s="16">
        <v>7200</v>
      </c>
      <c r="F520" s="16"/>
      <c r="G520" s="16"/>
      <c r="H520" s="15">
        <f t="shared" si="58"/>
        <v>7200</v>
      </c>
      <c r="I520" s="15">
        <f t="shared" si="61"/>
        <v>5112000</v>
      </c>
      <c r="J520" s="15"/>
      <c r="K520" s="15"/>
      <c r="L520" s="15"/>
      <c r="M520" s="15"/>
      <c r="N520" s="15"/>
      <c r="O520" s="15"/>
      <c r="P520" s="15">
        <f t="shared" si="59"/>
        <v>0</v>
      </c>
      <c r="Q520" s="15">
        <f t="shared" si="60"/>
        <v>5112000</v>
      </c>
      <c r="R520" s="59"/>
    </row>
    <row r="521" spans="1:18" ht="16.5" x14ac:dyDescent="0.3">
      <c r="A521" s="56"/>
      <c r="B521" s="60" t="s">
        <v>397</v>
      </c>
      <c r="C521" s="58"/>
      <c r="D521" s="61"/>
      <c r="E521" s="16"/>
      <c r="F521" s="16"/>
      <c r="G521" s="16"/>
      <c r="H521" s="15">
        <f t="shared" si="58"/>
        <v>0</v>
      </c>
      <c r="I521" s="15">
        <f t="shared" si="61"/>
        <v>0</v>
      </c>
      <c r="J521" s="15"/>
      <c r="K521" s="15"/>
      <c r="L521" s="15"/>
      <c r="M521" s="15"/>
      <c r="N521" s="15"/>
      <c r="O521" s="15"/>
      <c r="P521" s="15">
        <f t="shared" si="59"/>
        <v>0</v>
      </c>
      <c r="Q521" s="15">
        <f t="shared" si="60"/>
        <v>0</v>
      </c>
      <c r="R521" s="59"/>
    </row>
    <row r="522" spans="1:18" ht="16.5" x14ac:dyDescent="0.3">
      <c r="A522" s="56"/>
      <c r="B522" s="58" t="s">
        <v>398</v>
      </c>
      <c r="C522" s="58" t="s">
        <v>465</v>
      </c>
      <c r="D522" s="61">
        <v>920</v>
      </c>
      <c r="E522" s="61">
        <v>7500</v>
      </c>
      <c r="F522" s="61"/>
      <c r="G522" s="61"/>
      <c r="H522" s="15">
        <f t="shared" si="58"/>
        <v>7500</v>
      </c>
      <c r="I522" s="15">
        <f t="shared" si="61"/>
        <v>6900000</v>
      </c>
      <c r="J522" s="15"/>
      <c r="K522" s="15"/>
      <c r="L522" s="15"/>
      <c r="M522" s="15"/>
      <c r="N522" s="15"/>
      <c r="O522" s="15"/>
      <c r="P522" s="15">
        <f t="shared" si="59"/>
        <v>0</v>
      </c>
      <c r="Q522" s="15">
        <f t="shared" si="60"/>
        <v>6900000</v>
      </c>
      <c r="R522" s="59"/>
    </row>
    <row r="523" spans="1:18" ht="16.5" x14ac:dyDescent="0.3">
      <c r="A523" s="56"/>
      <c r="B523" s="58" t="s">
        <v>467</v>
      </c>
      <c r="C523" s="58" t="s">
        <v>463</v>
      </c>
      <c r="D523" s="61">
        <v>1100</v>
      </c>
      <c r="E523" s="61">
        <v>7500</v>
      </c>
      <c r="F523" s="61"/>
      <c r="G523" s="61"/>
      <c r="H523" s="15">
        <f t="shared" si="58"/>
        <v>7500</v>
      </c>
      <c r="I523" s="15">
        <f t="shared" si="61"/>
        <v>8250000</v>
      </c>
      <c r="J523" s="15">
        <v>0</v>
      </c>
      <c r="K523" s="15">
        <v>0</v>
      </c>
      <c r="L523" s="15">
        <v>0</v>
      </c>
      <c r="M523" s="15">
        <v>0</v>
      </c>
      <c r="N523" s="15"/>
      <c r="O523" s="15">
        <v>0</v>
      </c>
      <c r="P523" s="15">
        <f t="shared" si="59"/>
        <v>0</v>
      </c>
      <c r="Q523" s="15">
        <f t="shared" si="60"/>
        <v>8250000</v>
      </c>
      <c r="R523" s="59"/>
    </row>
    <row r="524" spans="1:18" ht="16.5" x14ac:dyDescent="0.3">
      <c r="A524" s="56"/>
      <c r="B524" s="58" t="s">
        <v>413</v>
      </c>
      <c r="C524" s="58"/>
      <c r="D524" s="61"/>
      <c r="E524" s="61"/>
      <c r="F524" s="61"/>
      <c r="G524" s="61"/>
      <c r="H524" s="15">
        <f t="shared" si="58"/>
        <v>0</v>
      </c>
      <c r="I524" s="15">
        <f t="shared" si="61"/>
        <v>0</v>
      </c>
      <c r="J524" s="15"/>
      <c r="K524" s="15"/>
      <c r="L524" s="15"/>
      <c r="M524" s="15"/>
      <c r="N524" s="15"/>
      <c r="O524" s="15"/>
      <c r="P524" s="15">
        <f t="shared" si="59"/>
        <v>0</v>
      </c>
      <c r="Q524" s="15">
        <f t="shared" si="60"/>
        <v>0</v>
      </c>
      <c r="R524" s="59"/>
    </row>
    <row r="525" spans="1:18" ht="16.5" x14ac:dyDescent="0.25">
      <c r="A525" s="74" t="s">
        <v>399</v>
      </c>
      <c r="B525" s="75"/>
      <c r="C525" s="76"/>
      <c r="D525" s="22">
        <f>SUM(D516:D524)</f>
        <v>2730</v>
      </c>
      <c r="E525" s="22">
        <f>SUM(E516:E524)</f>
        <v>30200</v>
      </c>
      <c r="F525" s="22">
        <f t="shared" ref="F525:Q525" si="62">SUM(F516:F524)</f>
        <v>0</v>
      </c>
      <c r="G525" s="22">
        <f t="shared" si="62"/>
        <v>0</v>
      </c>
      <c r="H525" s="22">
        <f t="shared" si="62"/>
        <v>37200</v>
      </c>
      <c r="I525" s="22">
        <f t="shared" si="62"/>
        <v>20262000</v>
      </c>
      <c r="J525" s="22">
        <f t="shared" si="62"/>
        <v>0</v>
      </c>
      <c r="K525" s="22">
        <f t="shared" si="62"/>
        <v>0</v>
      </c>
      <c r="L525" s="22">
        <f t="shared" si="62"/>
        <v>0</v>
      </c>
      <c r="M525" s="22">
        <f t="shared" si="62"/>
        <v>0</v>
      </c>
      <c r="N525" s="22">
        <f t="shared" si="62"/>
        <v>0</v>
      </c>
      <c r="O525" s="22">
        <f t="shared" si="62"/>
        <v>0</v>
      </c>
      <c r="P525" s="22">
        <f t="shared" si="62"/>
        <v>0</v>
      </c>
      <c r="Q525" s="22">
        <f t="shared" si="62"/>
        <v>20262000</v>
      </c>
      <c r="R525" s="47"/>
    </row>
    <row r="526" spans="1:18" ht="16.5" x14ac:dyDescent="0.25">
      <c r="A526" s="74" t="s">
        <v>400</v>
      </c>
      <c r="B526" s="75"/>
      <c r="C526" s="76"/>
      <c r="D526" s="22">
        <f>SUM(D504,D479,D525)</f>
        <v>30401</v>
      </c>
      <c r="E526" s="22">
        <f t="shared" ref="E526:Q526" si="63">SUM(E504,E479,E525)</f>
        <v>3135900</v>
      </c>
      <c r="F526" s="22">
        <f t="shared" si="63"/>
        <v>179900</v>
      </c>
      <c r="G526" s="22">
        <f t="shared" si="63"/>
        <v>190000</v>
      </c>
      <c r="H526" s="22">
        <f t="shared" si="63"/>
        <v>3512800</v>
      </c>
      <c r="I526" s="22">
        <f t="shared" si="63"/>
        <v>222710600</v>
      </c>
      <c r="J526" s="22">
        <f t="shared" si="63"/>
        <v>600000</v>
      </c>
      <c r="K526" s="22">
        <f t="shared" si="63"/>
        <v>36176000</v>
      </c>
      <c r="L526" s="22">
        <f t="shared" si="63"/>
        <v>538720</v>
      </c>
      <c r="M526" s="22">
        <f t="shared" si="63"/>
        <v>0</v>
      </c>
      <c r="N526" s="22">
        <f t="shared" si="63"/>
        <v>0</v>
      </c>
      <c r="O526" s="22">
        <f t="shared" si="63"/>
        <v>6734000</v>
      </c>
      <c r="P526" s="22">
        <f t="shared" si="63"/>
        <v>43695020</v>
      </c>
      <c r="Q526" s="22">
        <f t="shared" si="63"/>
        <v>169359180</v>
      </c>
      <c r="R526" s="47"/>
    </row>
    <row r="527" spans="1:18" x14ac:dyDescent="0.25">
      <c r="A527" s="52"/>
      <c r="B527" s="52"/>
      <c r="C527" s="52"/>
      <c r="D527" s="7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</row>
    <row r="528" spans="1:18" x14ac:dyDescent="0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63"/>
    </row>
    <row r="529" spans="1:18" x14ac:dyDescent="0.2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63"/>
    </row>
    <row r="530" spans="1:18" ht="16.5" x14ac:dyDescent="0.3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64" t="s">
        <v>468</v>
      </c>
      <c r="N530" s="64"/>
      <c r="O530" s="64"/>
      <c r="P530" s="64"/>
      <c r="Q530" s="52"/>
      <c r="R530" s="53"/>
    </row>
    <row r="531" spans="1:18" ht="16.5" x14ac:dyDescent="0.3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65" t="s">
        <v>401</v>
      </c>
      <c r="N531" s="65"/>
      <c r="O531" s="65"/>
      <c r="P531" s="65"/>
      <c r="Q531" s="52"/>
      <c r="R531" s="53"/>
    </row>
    <row r="532" spans="1:18" ht="16.5" x14ac:dyDescent="0.3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64" t="s">
        <v>402</v>
      </c>
      <c r="N532" s="64"/>
      <c r="O532" s="64"/>
      <c r="P532" s="64"/>
      <c r="Q532" s="52"/>
      <c r="R532" s="53"/>
    </row>
    <row r="533" spans="1:18" ht="16.5" x14ac:dyDescent="0.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66"/>
      <c r="N533" s="66"/>
      <c r="O533" s="66"/>
      <c r="P533" s="66"/>
      <c r="Q533" s="52"/>
      <c r="R533" s="53"/>
    </row>
    <row r="534" spans="1:18" ht="16.5" x14ac:dyDescent="0.3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66"/>
      <c r="N534" s="66"/>
      <c r="O534" s="66"/>
      <c r="P534" s="66"/>
      <c r="Q534" s="52"/>
      <c r="R534" s="53"/>
    </row>
    <row r="535" spans="1:18" ht="16.5" x14ac:dyDescent="0.3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66"/>
      <c r="N535" s="66"/>
      <c r="O535" s="66"/>
      <c r="P535" s="66"/>
      <c r="Q535" s="52"/>
      <c r="R535" s="53"/>
    </row>
    <row r="536" spans="1:18" ht="16.5" x14ac:dyDescent="0.3">
      <c r="A536" s="52"/>
      <c r="B536" s="52"/>
      <c r="C536" s="52"/>
      <c r="D536" s="72"/>
      <c r="E536" s="52"/>
      <c r="F536" s="52"/>
      <c r="G536" s="52"/>
      <c r="H536" s="52"/>
      <c r="I536" s="52"/>
      <c r="J536" s="52"/>
      <c r="K536" s="52"/>
      <c r="L536" s="52"/>
      <c r="M536" s="64" t="s">
        <v>403</v>
      </c>
      <c r="N536" s="64"/>
      <c r="O536" s="64"/>
      <c r="P536" s="64"/>
      <c r="Q536" s="52"/>
      <c r="R536" s="53"/>
    </row>
    <row r="537" spans="1:18" ht="16.5" x14ac:dyDescent="0.3">
      <c r="A537" s="52"/>
      <c r="B537" s="52"/>
      <c r="C537" s="52"/>
      <c r="D537" s="72"/>
      <c r="E537" s="52"/>
      <c r="F537" s="52"/>
      <c r="G537" s="52"/>
      <c r="H537" s="52"/>
      <c r="I537" s="52"/>
      <c r="J537" s="52"/>
      <c r="K537" s="52"/>
      <c r="L537" s="52"/>
      <c r="M537" s="64" t="s">
        <v>404</v>
      </c>
      <c r="N537" s="64"/>
      <c r="O537" s="64"/>
      <c r="P537" s="64"/>
      <c r="Q537" s="52"/>
      <c r="R537" s="53"/>
    </row>
    <row r="538" spans="1:18" x14ac:dyDescent="0.2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63"/>
    </row>
    <row r="539" spans="1:18" x14ac:dyDescent="0.2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63"/>
    </row>
    <row r="540" spans="1:18" x14ac:dyDescent="0.2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63"/>
    </row>
    <row r="541" spans="1:18" x14ac:dyDescent="0.2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63"/>
    </row>
    <row r="542" spans="1:18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63"/>
    </row>
  </sheetData>
  <mergeCells count="9">
    <mergeCell ref="A514:R514"/>
    <mergeCell ref="A525:C525"/>
    <mergeCell ref="A526:C526"/>
    <mergeCell ref="A492:R492"/>
    <mergeCell ref="A1:R1"/>
    <mergeCell ref="B2:C2"/>
    <mergeCell ref="D2:H2"/>
    <mergeCell ref="J2:K2"/>
    <mergeCell ref="L2:Q2"/>
  </mergeCells>
  <pageMargins left="7.874015748031496E-2" right="7.874015748031496E-2" top="0.11811023622047245" bottom="0.11811023622047245" header="0.31496062992125984" footer="0.31496062992125984"/>
  <pageSetup paperSize="5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2"/>
  <sheetViews>
    <sheetView view="pageBreakPreview" zoomScaleNormal="100" zoomScaleSheetLayoutView="100" workbookViewId="0">
      <pane xSplit="2" ySplit="3" topLeftCell="C513" activePane="bottomRight" state="frozen"/>
      <selection pane="topRight"/>
      <selection pane="bottomLeft"/>
      <selection pane="bottomRight" activeCell="D517" sqref="D517"/>
    </sheetView>
  </sheetViews>
  <sheetFormatPr defaultColWidth="10" defaultRowHeight="15" x14ac:dyDescent="0.25"/>
  <cols>
    <col min="1" max="1" width="7" customWidth="1"/>
    <col min="2" max="2" width="12.7109375" customWidth="1"/>
    <col min="3" max="3" width="13.42578125" customWidth="1"/>
    <col min="4" max="4" width="7.85546875" customWidth="1"/>
    <col min="5" max="5" width="10.85546875" customWidth="1"/>
    <col min="6" max="6" width="8.42578125" customWidth="1"/>
    <col min="7" max="7" width="8.85546875" customWidth="1"/>
    <col min="8" max="8" width="11.28515625" customWidth="1"/>
    <col min="9" max="9" width="12" customWidth="1"/>
    <col min="10" max="10" width="11.28515625" customWidth="1"/>
    <col min="11" max="11" width="11.5703125" customWidth="1"/>
    <col min="12" max="12" width="10.28515625" customWidth="1"/>
    <col min="13" max="13" width="10.5703125" customWidth="1"/>
    <col min="14" max="14" width="10.28515625" customWidth="1"/>
    <col min="15" max="15" width="12" customWidth="1"/>
    <col min="16" max="16" width="12.28515625" customWidth="1"/>
    <col min="17" max="17" width="14" customWidth="1"/>
    <col min="18" max="18" width="8.7109375" style="1"/>
  </cols>
  <sheetData>
    <row r="1" spans="1:18" ht="18" x14ac:dyDescent="0.25">
      <c r="A1" s="78" t="s">
        <v>472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18" x14ac:dyDescent="0.25">
      <c r="A2" s="2"/>
      <c r="B2" s="79" t="s">
        <v>406</v>
      </c>
      <c r="C2" s="80"/>
      <c r="D2" s="81" t="s">
        <v>0</v>
      </c>
      <c r="E2" s="82"/>
      <c r="F2" s="82"/>
      <c r="G2" s="82"/>
      <c r="H2" s="82"/>
      <c r="I2" s="3"/>
      <c r="J2" s="83" t="s">
        <v>407</v>
      </c>
      <c r="K2" s="84"/>
      <c r="L2" s="85" t="s">
        <v>1</v>
      </c>
      <c r="M2" s="86"/>
      <c r="N2" s="86"/>
      <c r="O2" s="86"/>
      <c r="P2" s="86"/>
      <c r="Q2" s="87"/>
      <c r="R2" s="4"/>
    </row>
    <row r="3" spans="1:18" ht="16.5" x14ac:dyDescent="0.25">
      <c r="A3" s="5" t="s">
        <v>2</v>
      </c>
      <c r="B3" s="6" t="s">
        <v>3</v>
      </c>
      <c r="C3" s="6" t="s">
        <v>4</v>
      </c>
      <c r="D3" s="7" t="s">
        <v>5</v>
      </c>
      <c r="E3" s="8" t="s">
        <v>428</v>
      </c>
      <c r="F3" s="8" t="s">
        <v>429</v>
      </c>
      <c r="G3" s="8" t="s">
        <v>430</v>
      </c>
      <c r="H3" s="8" t="s">
        <v>431</v>
      </c>
      <c r="I3" s="8" t="s">
        <v>432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427</v>
      </c>
      <c r="O3" s="10" t="s">
        <v>11</v>
      </c>
      <c r="P3" s="10" t="s">
        <v>12</v>
      </c>
      <c r="Q3" s="10" t="s">
        <v>13</v>
      </c>
      <c r="R3" s="11" t="s">
        <v>14</v>
      </c>
    </row>
    <row r="4" spans="1:18" ht="16.5" x14ac:dyDescent="0.25">
      <c r="A4" s="12">
        <v>22</v>
      </c>
      <c r="B4" s="13" t="s">
        <v>15</v>
      </c>
      <c r="C4" s="13" t="s">
        <v>16</v>
      </c>
      <c r="D4" s="14"/>
      <c r="E4" s="15">
        <v>6400</v>
      </c>
      <c r="F4" s="15">
        <v>400</v>
      </c>
      <c r="G4" s="15">
        <v>400</v>
      </c>
      <c r="H4" s="15">
        <f>SUM(E4:G4)</f>
        <v>7200</v>
      </c>
      <c r="I4" s="15">
        <f>H4*D4</f>
        <v>0</v>
      </c>
      <c r="J4" s="16"/>
      <c r="K4" s="15"/>
      <c r="L4" s="15">
        <f t="shared" ref="L4:L68" si="0">D4*20</f>
        <v>0</v>
      </c>
      <c r="M4" s="16"/>
      <c r="N4" s="16"/>
      <c r="O4" s="15">
        <f t="shared" ref="O4:O68" si="1">250*D4</f>
        <v>0</v>
      </c>
      <c r="P4" s="15">
        <f t="shared" ref="P4:P68" si="2">SUM(J4:O4)</f>
        <v>0</v>
      </c>
      <c r="Q4" s="15">
        <f>I4-P4</f>
        <v>0</v>
      </c>
      <c r="R4" s="17">
        <v>22</v>
      </c>
    </row>
    <row r="5" spans="1:18" ht="16.5" x14ac:dyDescent="0.25">
      <c r="A5" s="12">
        <v>192</v>
      </c>
      <c r="B5" s="13" t="s">
        <v>20</v>
      </c>
      <c r="C5" s="13" t="s">
        <v>21</v>
      </c>
      <c r="D5" s="18">
        <v>241</v>
      </c>
      <c r="E5" s="15">
        <v>6400</v>
      </c>
      <c r="F5" s="15">
        <v>600</v>
      </c>
      <c r="G5" s="15">
        <v>400</v>
      </c>
      <c r="H5" s="15">
        <f t="shared" ref="H5:H69" si="3">SUM(E5:G5)</f>
        <v>7400</v>
      </c>
      <c r="I5" s="15">
        <f t="shared" ref="I5:I69" si="4">H5*D5</f>
        <v>1783400</v>
      </c>
      <c r="J5" s="16"/>
      <c r="K5" s="15">
        <v>800000</v>
      </c>
      <c r="L5" s="15">
        <f t="shared" si="0"/>
        <v>4820</v>
      </c>
      <c r="M5" s="16"/>
      <c r="N5" s="16"/>
      <c r="O5" s="15">
        <f t="shared" si="1"/>
        <v>60250</v>
      </c>
      <c r="P5" s="15">
        <f t="shared" si="2"/>
        <v>865070</v>
      </c>
      <c r="Q5" s="15">
        <f t="shared" ref="Q5:Q68" si="5">I5-P5</f>
        <v>918330</v>
      </c>
      <c r="R5" s="17">
        <v>192</v>
      </c>
    </row>
    <row r="6" spans="1:18" ht="16.5" x14ac:dyDescent="0.25">
      <c r="A6" s="12">
        <v>231</v>
      </c>
      <c r="B6" s="13" t="s">
        <v>22</v>
      </c>
      <c r="C6" s="13" t="s">
        <v>23</v>
      </c>
      <c r="D6" s="14">
        <v>178</v>
      </c>
      <c r="E6" s="15">
        <v>6400</v>
      </c>
      <c r="F6" s="15">
        <v>600</v>
      </c>
      <c r="G6" s="15">
        <v>400</v>
      </c>
      <c r="H6" s="15">
        <f t="shared" si="3"/>
        <v>7400</v>
      </c>
      <c r="I6" s="15">
        <f t="shared" si="4"/>
        <v>1317200</v>
      </c>
      <c r="J6" s="16"/>
      <c r="K6" s="15">
        <v>600000</v>
      </c>
      <c r="L6" s="15">
        <f t="shared" si="0"/>
        <v>3560</v>
      </c>
      <c r="M6" s="16"/>
      <c r="N6" s="16"/>
      <c r="O6" s="15">
        <f t="shared" si="1"/>
        <v>44500</v>
      </c>
      <c r="P6" s="15">
        <f t="shared" si="2"/>
        <v>648060</v>
      </c>
      <c r="Q6" s="15">
        <f t="shared" si="5"/>
        <v>669140</v>
      </c>
      <c r="R6" s="17">
        <v>231</v>
      </c>
    </row>
    <row r="7" spans="1:18" ht="16.5" x14ac:dyDescent="0.25">
      <c r="A7" s="12">
        <v>301</v>
      </c>
      <c r="B7" s="13" t="s">
        <v>24</v>
      </c>
      <c r="C7" s="13" t="s">
        <v>25</v>
      </c>
      <c r="D7" s="14"/>
      <c r="E7" s="15">
        <v>6400</v>
      </c>
      <c r="F7" s="15">
        <v>400</v>
      </c>
      <c r="G7" s="15">
        <v>400</v>
      </c>
      <c r="H7" s="15">
        <f t="shared" si="3"/>
        <v>7200</v>
      </c>
      <c r="I7" s="15">
        <f t="shared" si="4"/>
        <v>0</v>
      </c>
      <c r="J7" s="16"/>
      <c r="K7" s="15"/>
      <c r="L7" s="15">
        <f t="shared" si="0"/>
        <v>0</v>
      </c>
      <c r="M7" s="16"/>
      <c r="N7" s="16"/>
      <c r="O7" s="15">
        <f t="shared" si="1"/>
        <v>0</v>
      </c>
      <c r="P7" s="15">
        <f t="shared" si="2"/>
        <v>0</v>
      </c>
      <c r="Q7" s="15">
        <f t="shared" si="5"/>
        <v>0</v>
      </c>
      <c r="R7" s="17">
        <v>301</v>
      </c>
    </row>
    <row r="8" spans="1:18" ht="16.5" x14ac:dyDescent="0.25">
      <c r="A8" s="12">
        <v>303</v>
      </c>
      <c r="B8" s="13" t="s">
        <v>26</v>
      </c>
      <c r="C8" s="13" t="s">
        <v>25</v>
      </c>
      <c r="D8" s="14"/>
      <c r="E8" s="15">
        <v>6400</v>
      </c>
      <c r="F8" s="15">
        <v>400</v>
      </c>
      <c r="G8" s="15">
        <v>400</v>
      </c>
      <c r="H8" s="15">
        <f t="shared" si="3"/>
        <v>7200</v>
      </c>
      <c r="I8" s="15">
        <f t="shared" si="4"/>
        <v>0</v>
      </c>
      <c r="J8" s="16"/>
      <c r="K8" s="15"/>
      <c r="L8" s="15">
        <f t="shared" si="0"/>
        <v>0</v>
      </c>
      <c r="M8" s="16"/>
      <c r="N8" s="16"/>
      <c r="O8" s="15">
        <f t="shared" si="1"/>
        <v>0</v>
      </c>
      <c r="P8" s="15">
        <f t="shared" si="2"/>
        <v>0</v>
      </c>
      <c r="Q8" s="15">
        <f t="shared" si="5"/>
        <v>0</v>
      </c>
      <c r="R8" s="17">
        <v>303</v>
      </c>
    </row>
    <row r="9" spans="1:18" ht="16.5" x14ac:dyDescent="0.25">
      <c r="A9" s="12">
        <v>308</v>
      </c>
      <c r="B9" s="13" t="s">
        <v>27</v>
      </c>
      <c r="C9" s="13" t="s">
        <v>25</v>
      </c>
      <c r="D9" s="14">
        <v>492</v>
      </c>
      <c r="E9" s="15">
        <v>6400</v>
      </c>
      <c r="F9" s="15">
        <v>500</v>
      </c>
      <c r="G9" s="15">
        <v>400</v>
      </c>
      <c r="H9" s="15">
        <f t="shared" si="3"/>
        <v>7300</v>
      </c>
      <c r="I9" s="15">
        <f t="shared" si="4"/>
        <v>3591600</v>
      </c>
      <c r="J9" s="16"/>
      <c r="K9" s="15">
        <v>300000</v>
      </c>
      <c r="L9" s="15">
        <f t="shared" si="0"/>
        <v>9840</v>
      </c>
      <c r="M9" s="16"/>
      <c r="N9" s="16"/>
      <c r="O9" s="15">
        <f t="shared" si="1"/>
        <v>123000</v>
      </c>
      <c r="P9" s="15">
        <f t="shared" si="2"/>
        <v>432840</v>
      </c>
      <c r="Q9" s="15">
        <f t="shared" si="5"/>
        <v>3158760</v>
      </c>
      <c r="R9" s="17">
        <v>308</v>
      </c>
    </row>
    <row r="10" spans="1:18" ht="16.5" x14ac:dyDescent="0.25">
      <c r="A10" s="12">
        <v>315</v>
      </c>
      <c r="B10" s="13" t="s">
        <v>28</v>
      </c>
      <c r="C10" s="13" t="s">
        <v>25</v>
      </c>
      <c r="D10" s="14"/>
      <c r="E10" s="15">
        <v>6400</v>
      </c>
      <c r="F10" s="15">
        <v>400</v>
      </c>
      <c r="G10" s="15">
        <v>400</v>
      </c>
      <c r="H10" s="15">
        <f t="shared" si="3"/>
        <v>7200</v>
      </c>
      <c r="I10" s="15">
        <f t="shared" si="4"/>
        <v>0</v>
      </c>
      <c r="J10" s="16"/>
      <c r="K10" s="15"/>
      <c r="L10" s="15">
        <f t="shared" si="0"/>
        <v>0</v>
      </c>
      <c r="M10" s="16"/>
      <c r="N10" s="16"/>
      <c r="O10" s="15">
        <f t="shared" si="1"/>
        <v>0</v>
      </c>
      <c r="P10" s="15">
        <f t="shared" si="2"/>
        <v>0</v>
      </c>
      <c r="Q10" s="15">
        <f t="shared" si="5"/>
        <v>0</v>
      </c>
      <c r="R10" s="17">
        <v>315</v>
      </c>
    </row>
    <row r="11" spans="1:18" ht="16.5" x14ac:dyDescent="0.25">
      <c r="A11" s="12">
        <v>325</v>
      </c>
      <c r="B11" s="13" t="s">
        <v>29</v>
      </c>
      <c r="C11" s="13" t="s">
        <v>30</v>
      </c>
      <c r="D11" s="19"/>
      <c r="E11" s="15">
        <v>6400</v>
      </c>
      <c r="F11" s="15">
        <v>400</v>
      </c>
      <c r="G11" s="15">
        <v>400</v>
      </c>
      <c r="H11" s="15">
        <f t="shared" si="3"/>
        <v>7200</v>
      </c>
      <c r="I11" s="15">
        <f t="shared" si="4"/>
        <v>0</v>
      </c>
      <c r="J11" s="20"/>
      <c r="K11" s="15"/>
      <c r="L11" s="15">
        <f t="shared" si="0"/>
        <v>0</v>
      </c>
      <c r="M11" s="20"/>
      <c r="N11" s="20"/>
      <c r="O11" s="15">
        <f t="shared" si="1"/>
        <v>0</v>
      </c>
      <c r="P11" s="15">
        <f t="shared" si="2"/>
        <v>0</v>
      </c>
      <c r="Q11" s="15">
        <f t="shared" si="5"/>
        <v>0</v>
      </c>
      <c r="R11" s="17">
        <v>325</v>
      </c>
    </row>
    <row r="12" spans="1:18" ht="16.5" x14ac:dyDescent="0.25">
      <c r="A12" s="12">
        <v>328</v>
      </c>
      <c r="B12" s="13" t="s">
        <v>31</v>
      </c>
      <c r="C12" s="13" t="s">
        <v>30</v>
      </c>
      <c r="D12" s="14"/>
      <c r="E12" s="15">
        <v>6400</v>
      </c>
      <c r="F12" s="15">
        <v>400</v>
      </c>
      <c r="G12" s="15">
        <v>400</v>
      </c>
      <c r="H12" s="15">
        <f t="shared" si="3"/>
        <v>7200</v>
      </c>
      <c r="I12" s="15">
        <f t="shared" si="4"/>
        <v>0</v>
      </c>
      <c r="J12" s="16"/>
      <c r="K12" s="15"/>
      <c r="L12" s="15">
        <f t="shared" si="0"/>
        <v>0</v>
      </c>
      <c r="M12" s="16"/>
      <c r="N12" s="16"/>
      <c r="O12" s="15">
        <f t="shared" si="1"/>
        <v>0</v>
      </c>
      <c r="P12" s="15">
        <f t="shared" si="2"/>
        <v>0</v>
      </c>
      <c r="Q12" s="15">
        <f t="shared" si="5"/>
        <v>0</v>
      </c>
      <c r="R12" s="17">
        <v>328</v>
      </c>
    </row>
    <row r="13" spans="1:18" ht="16.5" x14ac:dyDescent="0.25">
      <c r="A13" s="12">
        <v>380</v>
      </c>
      <c r="B13" s="13" t="s">
        <v>32</v>
      </c>
      <c r="C13" s="13" t="s">
        <v>25</v>
      </c>
      <c r="D13" s="14"/>
      <c r="E13" s="15">
        <v>6400</v>
      </c>
      <c r="F13" s="15">
        <v>400</v>
      </c>
      <c r="G13" s="15">
        <v>400</v>
      </c>
      <c r="H13" s="15">
        <f t="shared" si="3"/>
        <v>7200</v>
      </c>
      <c r="I13" s="15">
        <f t="shared" si="4"/>
        <v>0</v>
      </c>
      <c r="J13" s="16"/>
      <c r="K13" s="15"/>
      <c r="L13" s="15">
        <f t="shared" si="0"/>
        <v>0</v>
      </c>
      <c r="M13" s="16"/>
      <c r="N13" s="16"/>
      <c r="O13" s="15">
        <f t="shared" si="1"/>
        <v>0</v>
      </c>
      <c r="P13" s="15">
        <f t="shared" si="2"/>
        <v>0</v>
      </c>
      <c r="Q13" s="15">
        <f t="shared" si="5"/>
        <v>0</v>
      </c>
      <c r="R13" s="17">
        <v>380</v>
      </c>
    </row>
    <row r="14" spans="1:18" ht="16.5" x14ac:dyDescent="0.25">
      <c r="A14" s="12">
        <v>381</v>
      </c>
      <c r="B14" s="13" t="s">
        <v>33</v>
      </c>
      <c r="C14" s="13" t="s">
        <v>25</v>
      </c>
      <c r="D14" s="14"/>
      <c r="E14" s="15">
        <v>6400</v>
      </c>
      <c r="F14" s="15">
        <v>400</v>
      </c>
      <c r="G14" s="15">
        <v>400</v>
      </c>
      <c r="H14" s="15">
        <f t="shared" si="3"/>
        <v>7200</v>
      </c>
      <c r="I14" s="15">
        <f t="shared" si="4"/>
        <v>0</v>
      </c>
      <c r="J14" s="16"/>
      <c r="K14" s="15"/>
      <c r="L14" s="15">
        <f t="shared" si="0"/>
        <v>0</v>
      </c>
      <c r="M14" s="16"/>
      <c r="N14" s="16"/>
      <c r="O14" s="15">
        <f t="shared" si="1"/>
        <v>0</v>
      </c>
      <c r="P14" s="15">
        <f t="shared" si="2"/>
        <v>0</v>
      </c>
      <c r="Q14" s="15">
        <f t="shared" si="5"/>
        <v>0</v>
      </c>
      <c r="R14" s="17">
        <v>381</v>
      </c>
    </row>
    <row r="15" spans="1:18" ht="16.5" x14ac:dyDescent="0.25">
      <c r="A15" s="12">
        <v>409</v>
      </c>
      <c r="B15" s="13" t="s">
        <v>34</v>
      </c>
      <c r="C15" s="13" t="s">
        <v>25</v>
      </c>
      <c r="D15" s="14"/>
      <c r="E15" s="15">
        <v>6400</v>
      </c>
      <c r="F15" s="15">
        <v>400</v>
      </c>
      <c r="G15" s="15">
        <v>400</v>
      </c>
      <c r="H15" s="15">
        <f t="shared" si="3"/>
        <v>7200</v>
      </c>
      <c r="I15" s="15">
        <f t="shared" si="4"/>
        <v>0</v>
      </c>
      <c r="J15" s="16"/>
      <c r="K15" s="15"/>
      <c r="L15" s="15">
        <f t="shared" si="0"/>
        <v>0</v>
      </c>
      <c r="M15" s="16"/>
      <c r="N15" s="16"/>
      <c r="O15" s="15">
        <f t="shared" si="1"/>
        <v>0</v>
      </c>
      <c r="P15" s="15">
        <f t="shared" si="2"/>
        <v>0</v>
      </c>
      <c r="Q15" s="15">
        <f t="shared" si="5"/>
        <v>0</v>
      </c>
      <c r="R15" s="17">
        <v>409</v>
      </c>
    </row>
    <row r="16" spans="1:18" ht="16.5" x14ac:dyDescent="0.25">
      <c r="A16" s="12">
        <v>422</v>
      </c>
      <c r="B16" s="13" t="s">
        <v>35</v>
      </c>
      <c r="C16" s="13" t="s">
        <v>36</v>
      </c>
      <c r="D16" s="14"/>
      <c r="E16" s="15">
        <v>6400</v>
      </c>
      <c r="F16" s="15">
        <v>400</v>
      </c>
      <c r="G16" s="15">
        <v>400</v>
      </c>
      <c r="H16" s="15">
        <f t="shared" si="3"/>
        <v>7200</v>
      </c>
      <c r="I16" s="15">
        <f t="shared" si="4"/>
        <v>0</v>
      </c>
      <c r="J16" s="16"/>
      <c r="K16" s="15"/>
      <c r="L16" s="15">
        <f t="shared" si="0"/>
        <v>0</v>
      </c>
      <c r="M16" s="16"/>
      <c r="N16" s="16"/>
      <c r="O16" s="15">
        <f t="shared" si="1"/>
        <v>0</v>
      </c>
      <c r="P16" s="15">
        <f t="shared" si="2"/>
        <v>0</v>
      </c>
      <c r="Q16" s="15">
        <f t="shared" si="5"/>
        <v>0</v>
      </c>
      <c r="R16" s="17">
        <v>422</v>
      </c>
    </row>
    <row r="17" spans="1:18" ht="16.5" x14ac:dyDescent="0.25">
      <c r="A17" s="12">
        <v>429</v>
      </c>
      <c r="B17" s="13" t="s">
        <v>37</v>
      </c>
      <c r="C17" s="13" t="s">
        <v>25</v>
      </c>
      <c r="D17" s="14"/>
      <c r="E17" s="15">
        <v>6400</v>
      </c>
      <c r="F17" s="15">
        <v>400</v>
      </c>
      <c r="G17" s="15">
        <v>400</v>
      </c>
      <c r="H17" s="15">
        <f t="shared" si="3"/>
        <v>7200</v>
      </c>
      <c r="I17" s="15">
        <f t="shared" si="4"/>
        <v>0</v>
      </c>
      <c r="J17" s="16"/>
      <c r="K17" s="15"/>
      <c r="L17" s="15">
        <f t="shared" si="0"/>
        <v>0</v>
      </c>
      <c r="M17" s="16"/>
      <c r="N17" s="16"/>
      <c r="O17" s="15">
        <f t="shared" si="1"/>
        <v>0</v>
      </c>
      <c r="P17" s="15">
        <f t="shared" si="2"/>
        <v>0</v>
      </c>
      <c r="Q17" s="15">
        <f t="shared" si="5"/>
        <v>0</v>
      </c>
      <c r="R17" s="17">
        <v>429</v>
      </c>
    </row>
    <row r="18" spans="1:18" ht="16.5" x14ac:dyDescent="0.25">
      <c r="A18" s="12">
        <v>435</v>
      </c>
      <c r="B18" s="13" t="s">
        <v>38</v>
      </c>
      <c r="C18" s="13" t="s">
        <v>25</v>
      </c>
      <c r="D18" s="14">
        <v>214</v>
      </c>
      <c r="E18" s="15">
        <v>6400</v>
      </c>
      <c r="F18" s="15">
        <v>500</v>
      </c>
      <c r="G18" s="15">
        <v>400</v>
      </c>
      <c r="H18" s="15">
        <f t="shared" si="3"/>
        <v>7300</v>
      </c>
      <c r="I18" s="15">
        <f t="shared" si="4"/>
        <v>1562200</v>
      </c>
      <c r="J18" s="16"/>
      <c r="K18" s="15">
        <v>400000</v>
      </c>
      <c r="L18" s="15">
        <f t="shared" si="0"/>
        <v>4280</v>
      </c>
      <c r="M18" s="16"/>
      <c r="N18" s="16"/>
      <c r="O18" s="15">
        <f t="shared" si="1"/>
        <v>53500</v>
      </c>
      <c r="P18" s="15">
        <f t="shared" si="2"/>
        <v>457780</v>
      </c>
      <c r="Q18" s="15">
        <f t="shared" si="5"/>
        <v>1104420</v>
      </c>
      <c r="R18" s="17">
        <v>435</v>
      </c>
    </row>
    <row r="19" spans="1:18" ht="16.5" x14ac:dyDescent="0.25">
      <c r="A19" s="12">
        <v>437</v>
      </c>
      <c r="B19" s="13"/>
      <c r="C19" s="13" t="s">
        <v>25</v>
      </c>
      <c r="D19" s="14"/>
      <c r="E19" s="15">
        <v>6400</v>
      </c>
      <c r="F19" s="15">
        <v>400</v>
      </c>
      <c r="G19" s="15">
        <v>400</v>
      </c>
      <c r="H19" s="15">
        <f t="shared" si="3"/>
        <v>7200</v>
      </c>
      <c r="I19" s="15">
        <f t="shared" si="4"/>
        <v>0</v>
      </c>
      <c r="J19" s="16"/>
      <c r="K19" s="15"/>
      <c r="L19" s="15">
        <f t="shared" si="0"/>
        <v>0</v>
      </c>
      <c r="M19" s="16"/>
      <c r="N19" s="16"/>
      <c r="O19" s="15">
        <f t="shared" si="1"/>
        <v>0</v>
      </c>
      <c r="P19" s="15">
        <f t="shared" si="2"/>
        <v>0</v>
      </c>
      <c r="Q19" s="15">
        <f t="shared" si="5"/>
        <v>0</v>
      </c>
      <c r="R19" s="17">
        <v>437</v>
      </c>
    </row>
    <row r="20" spans="1:18" ht="16.5" x14ac:dyDescent="0.25">
      <c r="A20" s="12">
        <v>445</v>
      </c>
      <c r="B20" s="13" t="s">
        <v>39</v>
      </c>
      <c r="C20" s="13" t="s">
        <v>16</v>
      </c>
      <c r="D20" s="14"/>
      <c r="E20" s="15">
        <v>6400</v>
      </c>
      <c r="F20" s="15">
        <v>400</v>
      </c>
      <c r="G20" s="15">
        <v>400</v>
      </c>
      <c r="H20" s="15">
        <f t="shared" si="3"/>
        <v>7200</v>
      </c>
      <c r="I20" s="15">
        <f t="shared" si="4"/>
        <v>0</v>
      </c>
      <c r="J20" s="16"/>
      <c r="K20" s="15"/>
      <c r="L20" s="15">
        <f t="shared" si="0"/>
        <v>0</v>
      </c>
      <c r="M20" s="16"/>
      <c r="N20" s="16"/>
      <c r="O20" s="15">
        <f t="shared" si="1"/>
        <v>0</v>
      </c>
      <c r="P20" s="15">
        <f t="shared" si="2"/>
        <v>0</v>
      </c>
      <c r="Q20" s="15">
        <f t="shared" si="5"/>
        <v>0</v>
      </c>
      <c r="R20" s="17">
        <v>445</v>
      </c>
    </row>
    <row r="21" spans="1:18" ht="16.5" x14ac:dyDescent="0.25">
      <c r="A21" s="12">
        <v>453</v>
      </c>
      <c r="B21" s="13" t="s">
        <v>40</v>
      </c>
      <c r="C21" s="13" t="s">
        <v>19</v>
      </c>
      <c r="D21" s="19"/>
      <c r="E21" s="15">
        <v>6400</v>
      </c>
      <c r="F21" s="15">
        <v>400</v>
      </c>
      <c r="G21" s="15">
        <v>400</v>
      </c>
      <c r="H21" s="15">
        <f t="shared" si="3"/>
        <v>7200</v>
      </c>
      <c r="I21" s="15">
        <f t="shared" si="4"/>
        <v>0</v>
      </c>
      <c r="J21" s="20"/>
      <c r="K21" s="15"/>
      <c r="L21" s="15">
        <f t="shared" si="0"/>
        <v>0</v>
      </c>
      <c r="M21" s="20"/>
      <c r="N21" s="20"/>
      <c r="O21" s="15">
        <f t="shared" si="1"/>
        <v>0</v>
      </c>
      <c r="P21" s="15">
        <f t="shared" si="2"/>
        <v>0</v>
      </c>
      <c r="Q21" s="15">
        <f t="shared" si="5"/>
        <v>0</v>
      </c>
      <c r="R21" s="17">
        <v>453</v>
      </c>
    </row>
    <row r="22" spans="1:18" ht="16.5" x14ac:dyDescent="0.25">
      <c r="A22" s="12">
        <v>454</v>
      </c>
      <c r="B22" s="13" t="s">
        <v>41</v>
      </c>
      <c r="C22" s="13" t="s">
        <v>30</v>
      </c>
      <c r="D22" s="14"/>
      <c r="E22" s="15">
        <v>6400</v>
      </c>
      <c r="F22" s="15">
        <v>400</v>
      </c>
      <c r="G22" s="15">
        <v>400</v>
      </c>
      <c r="H22" s="15">
        <f t="shared" si="3"/>
        <v>7200</v>
      </c>
      <c r="I22" s="15">
        <f t="shared" si="4"/>
        <v>0</v>
      </c>
      <c r="J22" s="16"/>
      <c r="K22" s="15"/>
      <c r="L22" s="15">
        <f t="shared" si="0"/>
        <v>0</v>
      </c>
      <c r="M22" s="16"/>
      <c r="N22" s="16"/>
      <c r="O22" s="15">
        <f t="shared" si="1"/>
        <v>0</v>
      </c>
      <c r="P22" s="15">
        <f t="shared" si="2"/>
        <v>0</v>
      </c>
      <c r="Q22" s="15">
        <f t="shared" si="5"/>
        <v>0</v>
      </c>
      <c r="R22" s="17">
        <v>454</v>
      </c>
    </row>
    <row r="23" spans="1:18" ht="16.5" x14ac:dyDescent="0.25">
      <c r="A23" s="12">
        <v>493</v>
      </c>
      <c r="B23" s="13" t="s">
        <v>42</v>
      </c>
      <c r="C23" s="13" t="s">
        <v>43</v>
      </c>
      <c r="D23" s="19"/>
      <c r="E23" s="15">
        <v>6400</v>
      </c>
      <c r="F23" s="15">
        <v>400</v>
      </c>
      <c r="G23" s="15">
        <v>400</v>
      </c>
      <c r="H23" s="15">
        <f t="shared" si="3"/>
        <v>7200</v>
      </c>
      <c r="I23" s="15">
        <f t="shared" si="4"/>
        <v>0</v>
      </c>
      <c r="J23" s="20"/>
      <c r="K23" s="15"/>
      <c r="L23" s="15">
        <f t="shared" si="0"/>
        <v>0</v>
      </c>
      <c r="M23" s="20"/>
      <c r="N23" s="20"/>
      <c r="O23" s="15">
        <f t="shared" si="1"/>
        <v>0</v>
      </c>
      <c r="P23" s="15">
        <f t="shared" si="2"/>
        <v>0</v>
      </c>
      <c r="Q23" s="15">
        <f t="shared" si="5"/>
        <v>0</v>
      </c>
      <c r="R23" s="17">
        <v>493</v>
      </c>
    </row>
    <row r="24" spans="1:18" ht="16.5" x14ac:dyDescent="0.25">
      <c r="A24" s="12">
        <v>501</v>
      </c>
      <c r="B24" s="13" t="s">
        <v>44</v>
      </c>
      <c r="C24" s="13" t="s">
        <v>25</v>
      </c>
      <c r="D24" s="19"/>
      <c r="E24" s="15">
        <v>6400</v>
      </c>
      <c r="F24" s="15">
        <v>400</v>
      </c>
      <c r="G24" s="15">
        <v>400</v>
      </c>
      <c r="H24" s="15">
        <f t="shared" si="3"/>
        <v>7200</v>
      </c>
      <c r="I24" s="15">
        <f t="shared" si="4"/>
        <v>0</v>
      </c>
      <c r="J24" s="20"/>
      <c r="K24" s="15"/>
      <c r="L24" s="15">
        <f t="shared" si="0"/>
        <v>0</v>
      </c>
      <c r="M24" s="20"/>
      <c r="N24" s="20"/>
      <c r="O24" s="15">
        <f t="shared" si="1"/>
        <v>0</v>
      </c>
      <c r="P24" s="15">
        <f t="shared" si="2"/>
        <v>0</v>
      </c>
      <c r="Q24" s="15">
        <f t="shared" si="5"/>
        <v>0</v>
      </c>
      <c r="R24" s="17">
        <v>501</v>
      </c>
    </row>
    <row r="25" spans="1:18" ht="16.5" x14ac:dyDescent="0.25">
      <c r="A25" s="12">
        <v>504</v>
      </c>
      <c r="B25" s="13" t="s">
        <v>45</v>
      </c>
      <c r="C25" s="13" t="s">
        <v>19</v>
      </c>
      <c r="D25" s="21"/>
      <c r="E25" s="15">
        <v>6400</v>
      </c>
      <c r="F25" s="15">
        <v>400</v>
      </c>
      <c r="G25" s="15">
        <v>400</v>
      </c>
      <c r="H25" s="15">
        <f t="shared" si="3"/>
        <v>7200</v>
      </c>
      <c r="I25" s="15">
        <f t="shared" si="4"/>
        <v>0</v>
      </c>
      <c r="J25" s="20"/>
      <c r="K25" s="15"/>
      <c r="L25" s="15">
        <f t="shared" si="0"/>
        <v>0</v>
      </c>
      <c r="M25" s="20"/>
      <c r="N25" s="20"/>
      <c r="O25" s="15">
        <f t="shared" si="1"/>
        <v>0</v>
      </c>
      <c r="P25" s="15">
        <f t="shared" si="2"/>
        <v>0</v>
      </c>
      <c r="Q25" s="15">
        <f t="shared" si="5"/>
        <v>0</v>
      </c>
      <c r="R25" s="17">
        <v>504</v>
      </c>
    </row>
    <row r="26" spans="1:18" ht="16.5" x14ac:dyDescent="0.25">
      <c r="A26" s="12">
        <v>506</v>
      </c>
      <c r="B26" s="13" t="s">
        <v>46</v>
      </c>
      <c r="C26" s="13" t="s">
        <v>47</v>
      </c>
      <c r="D26" s="14"/>
      <c r="E26" s="15">
        <v>6400</v>
      </c>
      <c r="F26" s="15">
        <v>400</v>
      </c>
      <c r="G26" s="15">
        <v>400</v>
      </c>
      <c r="H26" s="15">
        <f t="shared" si="3"/>
        <v>7200</v>
      </c>
      <c r="I26" s="15">
        <f t="shared" si="4"/>
        <v>0</v>
      </c>
      <c r="J26" s="16"/>
      <c r="K26" s="15"/>
      <c r="L26" s="15">
        <f t="shared" si="0"/>
        <v>0</v>
      </c>
      <c r="M26" s="16"/>
      <c r="N26" s="16"/>
      <c r="O26" s="15">
        <f t="shared" si="1"/>
        <v>0</v>
      </c>
      <c r="P26" s="15">
        <f t="shared" si="2"/>
        <v>0</v>
      </c>
      <c r="Q26" s="15">
        <f t="shared" si="5"/>
        <v>0</v>
      </c>
      <c r="R26" s="17">
        <v>506</v>
      </c>
    </row>
    <row r="27" spans="1:18" ht="16.5" x14ac:dyDescent="0.25">
      <c r="A27" s="12">
        <v>509</v>
      </c>
      <c r="B27" s="13" t="s">
        <v>48</v>
      </c>
      <c r="C27" s="13" t="s">
        <v>43</v>
      </c>
      <c r="D27" s="14">
        <v>104</v>
      </c>
      <c r="E27" s="15">
        <v>6400</v>
      </c>
      <c r="F27" s="15">
        <v>500</v>
      </c>
      <c r="G27" s="15">
        <v>400</v>
      </c>
      <c r="H27" s="15">
        <f t="shared" si="3"/>
        <v>7300</v>
      </c>
      <c r="I27" s="15">
        <f t="shared" si="4"/>
        <v>759200</v>
      </c>
      <c r="J27" s="16"/>
      <c r="K27" s="15">
        <v>400000</v>
      </c>
      <c r="L27" s="15">
        <f t="shared" si="0"/>
        <v>2080</v>
      </c>
      <c r="M27" s="16"/>
      <c r="N27" s="16"/>
      <c r="O27" s="15">
        <f t="shared" si="1"/>
        <v>26000</v>
      </c>
      <c r="P27" s="15">
        <f t="shared" si="2"/>
        <v>428080</v>
      </c>
      <c r="Q27" s="15">
        <f t="shared" si="5"/>
        <v>331120</v>
      </c>
      <c r="R27" s="17">
        <v>509</v>
      </c>
    </row>
    <row r="28" spans="1:18" ht="16.5" x14ac:dyDescent="0.25">
      <c r="A28" s="12">
        <v>524</v>
      </c>
      <c r="B28" s="13" t="s">
        <v>49</v>
      </c>
      <c r="C28" s="13" t="s">
        <v>47</v>
      </c>
      <c r="D28" s="19"/>
      <c r="E28" s="15">
        <v>6400</v>
      </c>
      <c r="F28" s="15">
        <v>400</v>
      </c>
      <c r="G28" s="15">
        <v>400</v>
      </c>
      <c r="H28" s="15">
        <f t="shared" si="3"/>
        <v>7200</v>
      </c>
      <c r="I28" s="15">
        <f t="shared" si="4"/>
        <v>0</v>
      </c>
      <c r="J28" s="20"/>
      <c r="K28" s="15"/>
      <c r="L28" s="15">
        <f t="shared" si="0"/>
        <v>0</v>
      </c>
      <c r="M28" s="20"/>
      <c r="N28" s="20"/>
      <c r="O28" s="15">
        <f t="shared" si="1"/>
        <v>0</v>
      </c>
      <c r="P28" s="15">
        <f t="shared" si="2"/>
        <v>0</v>
      </c>
      <c r="Q28" s="15">
        <f t="shared" si="5"/>
        <v>0</v>
      </c>
      <c r="R28" s="17">
        <v>524</v>
      </c>
    </row>
    <row r="29" spans="1:18" ht="16.5" x14ac:dyDescent="0.25">
      <c r="A29" s="12">
        <v>528</v>
      </c>
      <c r="B29" s="13" t="s">
        <v>50</v>
      </c>
      <c r="C29" s="13" t="s">
        <v>25</v>
      </c>
      <c r="D29" s="14">
        <v>56</v>
      </c>
      <c r="E29" s="15">
        <v>6400</v>
      </c>
      <c r="F29" s="15">
        <v>500</v>
      </c>
      <c r="G29" s="15">
        <v>400</v>
      </c>
      <c r="H29" s="15">
        <f t="shared" si="3"/>
        <v>7300</v>
      </c>
      <c r="I29" s="15">
        <f t="shared" si="4"/>
        <v>408800</v>
      </c>
      <c r="J29" s="16"/>
      <c r="K29" s="15">
        <v>140000</v>
      </c>
      <c r="L29" s="15">
        <f t="shared" si="0"/>
        <v>1120</v>
      </c>
      <c r="M29" s="16"/>
      <c r="N29" s="16"/>
      <c r="O29" s="15">
        <f t="shared" si="1"/>
        <v>14000</v>
      </c>
      <c r="P29" s="15">
        <f t="shared" si="2"/>
        <v>155120</v>
      </c>
      <c r="Q29" s="15">
        <f t="shared" si="5"/>
        <v>253680</v>
      </c>
      <c r="R29" s="17">
        <v>528</v>
      </c>
    </row>
    <row r="30" spans="1:18" ht="16.5" x14ac:dyDescent="0.25">
      <c r="A30" s="12">
        <v>533</v>
      </c>
      <c r="B30" s="13" t="s">
        <v>51</v>
      </c>
      <c r="C30" s="13" t="s">
        <v>52</v>
      </c>
      <c r="D30" s="20">
        <v>75</v>
      </c>
      <c r="E30" s="15">
        <v>6400</v>
      </c>
      <c r="F30" s="15">
        <v>400</v>
      </c>
      <c r="G30" s="15">
        <v>400</v>
      </c>
      <c r="H30" s="15">
        <f t="shared" si="3"/>
        <v>7200</v>
      </c>
      <c r="I30" s="15">
        <f t="shared" si="4"/>
        <v>540000</v>
      </c>
      <c r="J30" s="16"/>
      <c r="K30" s="15">
        <v>200000</v>
      </c>
      <c r="L30" s="15">
        <f t="shared" si="0"/>
        <v>1500</v>
      </c>
      <c r="M30" s="16"/>
      <c r="N30" s="16"/>
      <c r="O30" s="15">
        <f t="shared" si="1"/>
        <v>18750</v>
      </c>
      <c r="P30" s="15">
        <f t="shared" si="2"/>
        <v>220250</v>
      </c>
      <c r="Q30" s="15">
        <f t="shared" si="5"/>
        <v>319750</v>
      </c>
      <c r="R30" s="17">
        <v>533</v>
      </c>
    </row>
    <row r="31" spans="1:18" ht="16.5" x14ac:dyDescent="0.25">
      <c r="A31" s="12">
        <v>544</v>
      </c>
      <c r="B31" s="13" t="s">
        <v>53</v>
      </c>
      <c r="C31" s="13" t="s">
        <v>54</v>
      </c>
      <c r="D31" s="14"/>
      <c r="E31" s="15">
        <v>6400</v>
      </c>
      <c r="F31" s="15">
        <v>300</v>
      </c>
      <c r="G31" s="15">
        <v>400</v>
      </c>
      <c r="H31" s="15">
        <f t="shared" si="3"/>
        <v>7100</v>
      </c>
      <c r="I31" s="15">
        <f t="shared" si="4"/>
        <v>0</v>
      </c>
      <c r="J31" s="16"/>
      <c r="K31" s="22"/>
      <c r="L31" s="15">
        <f t="shared" si="0"/>
        <v>0</v>
      </c>
      <c r="M31" s="16"/>
      <c r="N31" s="16"/>
      <c r="O31" s="15">
        <f t="shared" si="1"/>
        <v>0</v>
      </c>
      <c r="P31" s="15">
        <f t="shared" si="2"/>
        <v>0</v>
      </c>
      <c r="Q31" s="15">
        <f t="shared" si="5"/>
        <v>0</v>
      </c>
      <c r="R31" s="17">
        <v>544</v>
      </c>
    </row>
    <row r="32" spans="1:18" ht="16.5" x14ac:dyDescent="0.25">
      <c r="A32" s="12">
        <v>546</v>
      </c>
      <c r="B32" s="13" t="s">
        <v>55</v>
      </c>
      <c r="C32" s="13" t="s">
        <v>36</v>
      </c>
      <c r="D32" s="14"/>
      <c r="E32" s="15">
        <v>6400</v>
      </c>
      <c r="F32" s="15">
        <v>400</v>
      </c>
      <c r="G32" s="15">
        <v>400</v>
      </c>
      <c r="H32" s="15">
        <f t="shared" si="3"/>
        <v>7200</v>
      </c>
      <c r="I32" s="15">
        <f t="shared" si="4"/>
        <v>0</v>
      </c>
      <c r="J32" s="16"/>
      <c r="K32" s="15"/>
      <c r="L32" s="15">
        <f t="shared" si="0"/>
        <v>0</v>
      </c>
      <c r="M32" s="20"/>
      <c r="N32" s="20"/>
      <c r="O32" s="15">
        <f t="shared" si="1"/>
        <v>0</v>
      </c>
      <c r="P32" s="15">
        <f t="shared" si="2"/>
        <v>0</v>
      </c>
      <c r="Q32" s="15">
        <f t="shared" si="5"/>
        <v>0</v>
      </c>
      <c r="R32" s="17">
        <v>546</v>
      </c>
    </row>
    <row r="33" spans="1:18" ht="16.5" x14ac:dyDescent="0.25">
      <c r="A33" s="12">
        <v>550</v>
      </c>
      <c r="B33" s="13" t="s">
        <v>56</v>
      </c>
      <c r="C33" s="13" t="s">
        <v>47</v>
      </c>
      <c r="D33" s="19"/>
      <c r="E33" s="15">
        <v>6400</v>
      </c>
      <c r="F33" s="15">
        <v>300</v>
      </c>
      <c r="G33" s="15">
        <v>400</v>
      </c>
      <c r="H33" s="15">
        <f t="shared" si="3"/>
        <v>7100</v>
      </c>
      <c r="I33" s="15">
        <f t="shared" si="4"/>
        <v>0</v>
      </c>
      <c r="J33" s="20"/>
      <c r="K33" s="15"/>
      <c r="L33" s="15">
        <f t="shared" si="0"/>
        <v>0</v>
      </c>
      <c r="M33" s="16"/>
      <c r="N33" s="16"/>
      <c r="O33" s="15">
        <f t="shared" si="1"/>
        <v>0</v>
      </c>
      <c r="P33" s="15">
        <f t="shared" si="2"/>
        <v>0</v>
      </c>
      <c r="Q33" s="15">
        <f t="shared" si="5"/>
        <v>0</v>
      </c>
      <c r="R33" s="17">
        <v>550</v>
      </c>
    </row>
    <row r="34" spans="1:18" ht="16.5" x14ac:dyDescent="0.25">
      <c r="A34" s="12">
        <v>562</v>
      </c>
      <c r="B34" s="13" t="s">
        <v>57</v>
      </c>
      <c r="C34" s="13" t="s">
        <v>52</v>
      </c>
      <c r="D34" s="16"/>
      <c r="E34" s="15">
        <v>6400</v>
      </c>
      <c r="F34" s="15">
        <v>300</v>
      </c>
      <c r="G34" s="15">
        <v>400</v>
      </c>
      <c r="H34" s="15">
        <f t="shared" si="3"/>
        <v>7100</v>
      </c>
      <c r="I34" s="15">
        <f t="shared" si="4"/>
        <v>0</v>
      </c>
      <c r="J34" s="16"/>
      <c r="K34" s="15"/>
      <c r="L34" s="15">
        <f t="shared" si="0"/>
        <v>0</v>
      </c>
      <c r="M34" s="16"/>
      <c r="N34" s="16"/>
      <c r="O34" s="15">
        <f t="shared" si="1"/>
        <v>0</v>
      </c>
      <c r="P34" s="15">
        <f t="shared" si="2"/>
        <v>0</v>
      </c>
      <c r="Q34" s="15">
        <f t="shared" si="5"/>
        <v>0</v>
      </c>
      <c r="R34" s="17">
        <v>562</v>
      </c>
    </row>
    <row r="35" spans="1:18" ht="16.5" x14ac:dyDescent="0.25">
      <c r="A35" s="12">
        <v>565</v>
      </c>
      <c r="B35" s="13" t="s">
        <v>58</v>
      </c>
      <c r="C35" s="13" t="s">
        <v>36</v>
      </c>
      <c r="D35" s="14">
        <v>249</v>
      </c>
      <c r="E35" s="15">
        <v>6400</v>
      </c>
      <c r="F35" s="15">
        <v>500</v>
      </c>
      <c r="G35" s="15">
        <v>400</v>
      </c>
      <c r="H35" s="15">
        <f t="shared" si="3"/>
        <v>7300</v>
      </c>
      <c r="I35" s="15">
        <f t="shared" si="4"/>
        <v>1817700</v>
      </c>
      <c r="J35" s="16"/>
      <c r="K35" s="15"/>
      <c r="L35" s="15">
        <f t="shared" si="0"/>
        <v>4980</v>
      </c>
      <c r="M35" s="16"/>
      <c r="N35" s="16"/>
      <c r="O35" s="15">
        <f t="shared" si="1"/>
        <v>62250</v>
      </c>
      <c r="P35" s="15">
        <f t="shared" si="2"/>
        <v>67230</v>
      </c>
      <c r="Q35" s="15">
        <f t="shared" si="5"/>
        <v>1750470</v>
      </c>
      <c r="R35" s="17">
        <v>565</v>
      </c>
    </row>
    <row r="36" spans="1:18" ht="16.5" x14ac:dyDescent="0.25">
      <c r="A36" s="12">
        <v>572</v>
      </c>
      <c r="B36" s="13" t="s">
        <v>59</v>
      </c>
      <c r="C36" s="13" t="s">
        <v>43</v>
      </c>
      <c r="D36" s="14"/>
      <c r="E36" s="15">
        <v>6400</v>
      </c>
      <c r="F36" s="15">
        <v>400</v>
      </c>
      <c r="G36" s="15">
        <v>400</v>
      </c>
      <c r="H36" s="15">
        <f t="shared" si="3"/>
        <v>7200</v>
      </c>
      <c r="I36" s="15">
        <f t="shared" si="4"/>
        <v>0</v>
      </c>
      <c r="J36" s="16"/>
      <c r="K36" s="15">
        <v>100000</v>
      </c>
      <c r="L36" s="15">
        <f t="shared" si="0"/>
        <v>0</v>
      </c>
      <c r="M36" s="16"/>
      <c r="N36" s="16"/>
      <c r="O36" s="15">
        <f t="shared" si="1"/>
        <v>0</v>
      </c>
      <c r="P36" s="15">
        <f t="shared" si="2"/>
        <v>100000</v>
      </c>
      <c r="Q36" s="15">
        <f t="shared" si="5"/>
        <v>-100000</v>
      </c>
      <c r="R36" s="17">
        <v>572</v>
      </c>
    </row>
    <row r="37" spans="1:18" ht="16.5" x14ac:dyDescent="0.25">
      <c r="A37" s="12">
        <v>575</v>
      </c>
      <c r="B37" s="13" t="s">
        <v>60</v>
      </c>
      <c r="C37" s="13" t="s">
        <v>25</v>
      </c>
      <c r="D37" s="16">
        <v>698</v>
      </c>
      <c r="E37" s="15">
        <v>6400</v>
      </c>
      <c r="F37" s="15">
        <v>500</v>
      </c>
      <c r="G37" s="15">
        <v>400</v>
      </c>
      <c r="H37" s="15">
        <f t="shared" si="3"/>
        <v>7300</v>
      </c>
      <c r="I37" s="15">
        <f t="shared" si="4"/>
        <v>5095400</v>
      </c>
      <c r="J37" s="16"/>
      <c r="K37" s="15">
        <v>800000</v>
      </c>
      <c r="L37" s="15">
        <f t="shared" si="0"/>
        <v>13960</v>
      </c>
      <c r="M37" s="20"/>
      <c r="N37" s="20"/>
      <c r="O37" s="15">
        <f t="shared" si="1"/>
        <v>174500</v>
      </c>
      <c r="P37" s="15">
        <f t="shared" si="2"/>
        <v>988460</v>
      </c>
      <c r="Q37" s="15">
        <f t="shared" si="5"/>
        <v>4106940</v>
      </c>
      <c r="R37" s="17">
        <v>575</v>
      </c>
    </row>
    <row r="38" spans="1:18" ht="16.5" x14ac:dyDescent="0.25">
      <c r="A38" s="12">
        <v>588</v>
      </c>
      <c r="B38" s="13"/>
      <c r="C38" s="13"/>
      <c r="D38" s="16"/>
      <c r="E38" s="15">
        <v>6400</v>
      </c>
      <c r="F38" s="15">
        <v>300</v>
      </c>
      <c r="G38" s="15">
        <v>400</v>
      </c>
      <c r="H38" s="15">
        <f t="shared" si="3"/>
        <v>7100</v>
      </c>
      <c r="I38" s="15">
        <f t="shared" si="4"/>
        <v>0</v>
      </c>
      <c r="J38" s="16"/>
      <c r="K38" s="15"/>
      <c r="L38" s="15">
        <f t="shared" si="0"/>
        <v>0</v>
      </c>
      <c r="M38" s="20"/>
      <c r="N38" s="20"/>
      <c r="O38" s="15">
        <f t="shared" si="1"/>
        <v>0</v>
      </c>
      <c r="P38" s="15">
        <f t="shared" si="2"/>
        <v>0</v>
      </c>
      <c r="Q38" s="15">
        <f t="shared" si="5"/>
        <v>0</v>
      </c>
      <c r="R38" s="17"/>
    </row>
    <row r="39" spans="1:18" ht="16.5" x14ac:dyDescent="0.25">
      <c r="A39" s="12">
        <v>589</v>
      </c>
      <c r="B39" s="13" t="s">
        <v>61</v>
      </c>
      <c r="C39" s="13" t="s">
        <v>30</v>
      </c>
      <c r="D39" s="19"/>
      <c r="E39" s="15">
        <v>6400</v>
      </c>
      <c r="F39" s="15">
        <v>300</v>
      </c>
      <c r="G39" s="15">
        <v>400</v>
      </c>
      <c r="H39" s="15">
        <f t="shared" si="3"/>
        <v>7100</v>
      </c>
      <c r="I39" s="15">
        <f t="shared" si="4"/>
        <v>0</v>
      </c>
      <c r="J39" s="20"/>
      <c r="K39" s="15">
        <v>200000</v>
      </c>
      <c r="L39" s="15">
        <f t="shared" si="0"/>
        <v>0</v>
      </c>
      <c r="M39" s="16"/>
      <c r="N39" s="16"/>
      <c r="O39" s="15">
        <f t="shared" si="1"/>
        <v>0</v>
      </c>
      <c r="P39" s="15">
        <f t="shared" si="2"/>
        <v>200000</v>
      </c>
      <c r="Q39" s="15">
        <f t="shared" si="5"/>
        <v>-200000</v>
      </c>
      <c r="R39" s="17">
        <v>589</v>
      </c>
    </row>
    <row r="40" spans="1:18" ht="16.5" x14ac:dyDescent="0.25">
      <c r="A40" s="12">
        <v>592</v>
      </c>
      <c r="B40" s="13" t="s">
        <v>450</v>
      </c>
      <c r="C40" s="13" t="s">
        <v>23</v>
      </c>
      <c r="D40" s="14">
        <v>114</v>
      </c>
      <c r="E40" s="15">
        <v>6400</v>
      </c>
      <c r="F40" s="15">
        <v>600</v>
      </c>
      <c r="G40" s="15">
        <v>400</v>
      </c>
      <c r="H40" s="15">
        <f t="shared" si="3"/>
        <v>7400</v>
      </c>
      <c r="I40" s="15">
        <f t="shared" si="4"/>
        <v>843600</v>
      </c>
      <c r="J40" s="16"/>
      <c r="K40" s="15"/>
      <c r="L40" s="15">
        <f t="shared" si="0"/>
        <v>2280</v>
      </c>
      <c r="M40" s="20"/>
      <c r="N40" s="20"/>
      <c r="O40" s="15">
        <f t="shared" si="1"/>
        <v>28500</v>
      </c>
      <c r="P40" s="15">
        <f t="shared" si="2"/>
        <v>30780</v>
      </c>
      <c r="Q40" s="15">
        <f t="shared" si="5"/>
        <v>812820</v>
      </c>
      <c r="R40" s="17">
        <v>592</v>
      </c>
    </row>
    <row r="41" spans="1:18" ht="16.5" x14ac:dyDescent="0.25">
      <c r="A41" s="12">
        <v>593</v>
      </c>
      <c r="B41" s="13" t="s">
        <v>116</v>
      </c>
      <c r="C41" s="13" t="s">
        <v>23</v>
      </c>
      <c r="D41" s="19">
        <v>160</v>
      </c>
      <c r="E41" s="15">
        <v>6400</v>
      </c>
      <c r="F41" s="15">
        <v>400</v>
      </c>
      <c r="G41" s="15">
        <v>400</v>
      </c>
      <c r="H41" s="15">
        <f t="shared" si="3"/>
        <v>7200</v>
      </c>
      <c r="I41" s="15">
        <f t="shared" si="4"/>
        <v>1152000</v>
      </c>
      <c r="J41" s="20"/>
      <c r="K41" s="15"/>
      <c r="L41" s="15">
        <f t="shared" si="0"/>
        <v>3200</v>
      </c>
      <c r="M41" s="20"/>
      <c r="N41" s="20"/>
      <c r="O41" s="15">
        <f t="shared" si="1"/>
        <v>40000</v>
      </c>
      <c r="P41" s="15">
        <f t="shared" si="2"/>
        <v>43200</v>
      </c>
      <c r="Q41" s="15">
        <f t="shared" si="5"/>
        <v>1108800</v>
      </c>
      <c r="R41" s="17">
        <v>599</v>
      </c>
    </row>
    <row r="42" spans="1:18" ht="16.5" x14ac:dyDescent="0.25">
      <c r="A42" s="12">
        <v>601</v>
      </c>
      <c r="B42" s="13" t="s">
        <v>63</v>
      </c>
      <c r="C42" s="13" t="s">
        <v>54</v>
      </c>
      <c r="D42" s="19"/>
      <c r="E42" s="15">
        <v>6400</v>
      </c>
      <c r="F42" s="15">
        <v>300</v>
      </c>
      <c r="G42" s="15">
        <v>400</v>
      </c>
      <c r="H42" s="15">
        <f t="shared" si="3"/>
        <v>7100</v>
      </c>
      <c r="I42" s="15">
        <f t="shared" si="4"/>
        <v>0</v>
      </c>
      <c r="J42" s="20"/>
      <c r="K42" s="15"/>
      <c r="L42" s="15">
        <f t="shared" si="0"/>
        <v>0</v>
      </c>
      <c r="M42" s="16"/>
      <c r="N42" s="16"/>
      <c r="O42" s="15">
        <f t="shared" si="1"/>
        <v>0</v>
      </c>
      <c r="P42" s="15">
        <f t="shared" si="2"/>
        <v>0</v>
      </c>
      <c r="Q42" s="15">
        <f t="shared" si="5"/>
        <v>0</v>
      </c>
      <c r="R42" s="17">
        <v>601</v>
      </c>
    </row>
    <row r="43" spans="1:18" ht="16.5" x14ac:dyDescent="0.25">
      <c r="A43" s="12">
        <v>615</v>
      </c>
      <c r="B43" s="13" t="s">
        <v>64</v>
      </c>
      <c r="C43" s="13" t="s">
        <v>25</v>
      </c>
      <c r="D43" s="14">
        <v>188</v>
      </c>
      <c r="E43" s="15">
        <v>6400</v>
      </c>
      <c r="F43" s="15">
        <v>500</v>
      </c>
      <c r="G43" s="15">
        <v>400</v>
      </c>
      <c r="H43" s="15">
        <f t="shared" si="3"/>
        <v>7300</v>
      </c>
      <c r="I43" s="15">
        <f t="shared" si="4"/>
        <v>1372400</v>
      </c>
      <c r="J43" s="16"/>
      <c r="K43" s="15">
        <v>400000</v>
      </c>
      <c r="L43" s="15">
        <f t="shared" si="0"/>
        <v>3760</v>
      </c>
      <c r="M43" s="16"/>
      <c r="N43" s="16"/>
      <c r="O43" s="15">
        <f t="shared" si="1"/>
        <v>47000</v>
      </c>
      <c r="P43" s="15">
        <f t="shared" si="2"/>
        <v>450760</v>
      </c>
      <c r="Q43" s="15">
        <f t="shared" si="5"/>
        <v>921640</v>
      </c>
      <c r="R43" s="17">
        <v>615</v>
      </c>
    </row>
    <row r="44" spans="1:18" ht="16.5" x14ac:dyDescent="0.25">
      <c r="A44" s="12">
        <v>620</v>
      </c>
      <c r="B44" s="13" t="s">
        <v>65</v>
      </c>
      <c r="C44" s="13" t="s">
        <v>30</v>
      </c>
      <c r="D44" s="14"/>
      <c r="E44" s="15">
        <v>6400</v>
      </c>
      <c r="F44" s="15">
        <v>300</v>
      </c>
      <c r="G44" s="15">
        <v>400</v>
      </c>
      <c r="H44" s="15">
        <f t="shared" si="3"/>
        <v>7100</v>
      </c>
      <c r="I44" s="15">
        <f t="shared" si="4"/>
        <v>0</v>
      </c>
      <c r="J44" s="16"/>
      <c r="K44" s="15"/>
      <c r="L44" s="15">
        <f t="shared" si="0"/>
        <v>0</v>
      </c>
      <c r="M44" s="16"/>
      <c r="N44" s="16"/>
      <c r="O44" s="15">
        <f t="shared" si="1"/>
        <v>0</v>
      </c>
      <c r="P44" s="15">
        <f t="shared" si="2"/>
        <v>0</v>
      </c>
      <c r="Q44" s="15">
        <f t="shared" si="5"/>
        <v>0</v>
      </c>
      <c r="R44" s="17">
        <v>620</v>
      </c>
    </row>
    <row r="45" spans="1:18" ht="16.5" x14ac:dyDescent="0.25">
      <c r="A45" s="12">
        <v>624</v>
      </c>
      <c r="B45" s="13" t="s">
        <v>66</v>
      </c>
      <c r="C45" s="13" t="s">
        <v>54</v>
      </c>
      <c r="D45" s="14"/>
      <c r="E45" s="15">
        <v>6400</v>
      </c>
      <c r="F45" s="15">
        <v>400</v>
      </c>
      <c r="G45" s="15">
        <v>400</v>
      </c>
      <c r="H45" s="15">
        <f t="shared" si="3"/>
        <v>7200</v>
      </c>
      <c r="I45" s="15">
        <f t="shared" si="4"/>
        <v>0</v>
      </c>
      <c r="J45" s="16"/>
      <c r="K45" s="15"/>
      <c r="L45" s="15">
        <f t="shared" si="0"/>
        <v>0</v>
      </c>
      <c r="M45" s="16"/>
      <c r="N45" s="16"/>
      <c r="O45" s="15">
        <f t="shared" si="1"/>
        <v>0</v>
      </c>
      <c r="P45" s="15">
        <f t="shared" si="2"/>
        <v>0</v>
      </c>
      <c r="Q45" s="15">
        <f t="shared" si="5"/>
        <v>0</v>
      </c>
      <c r="R45" s="17">
        <v>624</v>
      </c>
    </row>
    <row r="46" spans="1:18" ht="16.5" x14ac:dyDescent="0.25">
      <c r="A46" s="12">
        <v>626</v>
      </c>
      <c r="B46" s="13" t="s">
        <v>67</v>
      </c>
      <c r="C46" s="13" t="s">
        <v>21</v>
      </c>
      <c r="D46" s="14"/>
      <c r="E46" s="15">
        <v>6400</v>
      </c>
      <c r="F46" s="15">
        <v>300</v>
      </c>
      <c r="G46" s="15">
        <v>400</v>
      </c>
      <c r="H46" s="15">
        <f t="shared" si="3"/>
        <v>7100</v>
      </c>
      <c r="I46" s="15">
        <f t="shared" si="4"/>
        <v>0</v>
      </c>
      <c r="J46" s="16"/>
      <c r="K46" s="15"/>
      <c r="L46" s="15">
        <f t="shared" si="0"/>
        <v>0</v>
      </c>
      <c r="M46" s="16"/>
      <c r="N46" s="16"/>
      <c r="O46" s="15">
        <f t="shared" si="1"/>
        <v>0</v>
      </c>
      <c r="P46" s="15">
        <f t="shared" si="2"/>
        <v>0</v>
      </c>
      <c r="Q46" s="15">
        <f t="shared" si="5"/>
        <v>0</v>
      </c>
      <c r="R46" s="17">
        <v>626</v>
      </c>
    </row>
    <row r="47" spans="1:18" ht="16.5" x14ac:dyDescent="0.25">
      <c r="A47" s="12">
        <v>631</v>
      </c>
      <c r="B47" s="13" t="s">
        <v>65</v>
      </c>
      <c r="C47" s="13" t="s">
        <v>54</v>
      </c>
      <c r="D47" s="14"/>
      <c r="E47" s="15">
        <v>6400</v>
      </c>
      <c r="F47" s="15">
        <v>300</v>
      </c>
      <c r="G47" s="15">
        <v>400</v>
      </c>
      <c r="H47" s="15">
        <f t="shared" si="3"/>
        <v>7100</v>
      </c>
      <c r="I47" s="15">
        <f t="shared" si="4"/>
        <v>0</v>
      </c>
      <c r="J47" s="16"/>
      <c r="K47" s="15"/>
      <c r="L47" s="15">
        <f t="shared" si="0"/>
        <v>0</v>
      </c>
      <c r="M47" s="16"/>
      <c r="N47" s="16"/>
      <c r="O47" s="15">
        <f t="shared" si="1"/>
        <v>0</v>
      </c>
      <c r="P47" s="15">
        <f t="shared" si="2"/>
        <v>0</v>
      </c>
      <c r="Q47" s="15">
        <f t="shared" si="5"/>
        <v>0</v>
      </c>
      <c r="R47" s="17">
        <v>631</v>
      </c>
    </row>
    <row r="48" spans="1:18" ht="16.5" x14ac:dyDescent="0.25">
      <c r="A48" s="12">
        <v>633</v>
      </c>
      <c r="B48" s="13" t="s">
        <v>68</v>
      </c>
      <c r="C48" s="13" t="s">
        <v>30</v>
      </c>
      <c r="D48" s="14"/>
      <c r="E48" s="15">
        <v>6400</v>
      </c>
      <c r="F48" s="15">
        <v>400</v>
      </c>
      <c r="G48" s="15">
        <v>400</v>
      </c>
      <c r="H48" s="15">
        <f t="shared" si="3"/>
        <v>7200</v>
      </c>
      <c r="I48" s="15">
        <f t="shared" si="4"/>
        <v>0</v>
      </c>
      <c r="J48" s="16"/>
      <c r="K48" s="15"/>
      <c r="L48" s="15">
        <f t="shared" si="0"/>
        <v>0</v>
      </c>
      <c r="M48" s="16"/>
      <c r="N48" s="16"/>
      <c r="O48" s="15">
        <f t="shared" si="1"/>
        <v>0</v>
      </c>
      <c r="P48" s="15">
        <f t="shared" si="2"/>
        <v>0</v>
      </c>
      <c r="Q48" s="15">
        <f t="shared" si="5"/>
        <v>0</v>
      </c>
      <c r="R48" s="17">
        <v>633</v>
      </c>
    </row>
    <row r="49" spans="1:18" ht="16.5" x14ac:dyDescent="0.25">
      <c r="A49" s="12">
        <v>650</v>
      </c>
      <c r="B49" s="13" t="s">
        <v>69</v>
      </c>
      <c r="C49" s="13" t="s">
        <v>21</v>
      </c>
      <c r="D49" s="14"/>
      <c r="E49" s="15">
        <v>6400</v>
      </c>
      <c r="F49" s="15">
        <v>300</v>
      </c>
      <c r="G49" s="15">
        <v>400</v>
      </c>
      <c r="H49" s="15">
        <f t="shared" si="3"/>
        <v>7100</v>
      </c>
      <c r="I49" s="15">
        <f t="shared" si="4"/>
        <v>0</v>
      </c>
      <c r="J49" s="16"/>
      <c r="K49" s="15"/>
      <c r="L49" s="15">
        <f t="shared" si="0"/>
        <v>0</v>
      </c>
      <c r="M49" s="16"/>
      <c r="N49" s="16"/>
      <c r="O49" s="15">
        <f t="shared" si="1"/>
        <v>0</v>
      </c>
      <c r="P49" s="15">
        <f t="shared" si="2"/>
        <v>0</v>
      </c>
      <c r="Q49" s="15">
        <f t="shared" si="5"/>
        <v>0</v>
      </c>
      <c r="R49" s="17">
        <v>650</v>
      </c>
    </row>
    <row r="50" spans="1:18" ht="16.5" x14ac:dyDescent="0.25">
      <c r="A50" s="12">
        <v>687</v>
      </c>
      <c r="B50" s="13" t="s">
        <v>70</v>
      </c>
      <c r="C50" s="13" t="s">
        <v>25</v>
      </c>
      <c r="D50" s="14">
        <v>108</v>
      </c>
      <c r="E50" s="15">
        <v>6400</v>
      </c>
      <c r="F50" s="15">
        <v>500</v>
      </c>
      <c r="G50" s="15">
        <v>400</v>
      </c>
      <c r="H50" s="15">
        <f t="shared" si="3"/>
        <v>7300</v>
      </c>
      <c r="I50" s="15">
        <f t="shared" si="4"/>
        <v>788400</v>
      </c>
      <c r="J50" s="16"/>
      <c r="K50" s="15">
        <v>1575000</v>
      </c>
      <c r="L50" s="15">
        <f t="shared" si="0"/>
        <v>2160</v>
      </c>
      <c r="M50" s="16"/>
      <c r="N50" s="16"/>
      <c r="O50" s="15">
        <f t="shared" si="1"/>
        <v>27000</v>
      </c>
      <c r="P50" s="15">
        <f t="shared" si="2"/>
        <v>1604160</v>
      </c>
      <c r="Q50" s="15">
        <f t="shared" si="5"/>
        <v>-815760</v>
      </c>
      <c r="R50" s="17">
        <v>687</v>
      </c>
    </row>
    <row r="51" spans="1:18" ht="16.5" x14ac:dyDescent="0.25">
      <c r="A51" s="12">
        <v>700</v>
      </c>
      <c r="B51" s="13" t="s">
        <v>71</v>
      </c>
      <c r="C51" s="13" t="s">
        <v>43</v>
      </c>
      <c r="D51" s="14">
        <v>214</v>
      </c>
      <c r="E51" s="15">
        <v>6400</v>
      </c>
      <c r="F51" s="15">
        <v>400</v>
      </c>
      <c r="G51" s="15">
        <v>400</v>
      </c>
      <c r="H51" s="15">
        <f t="shared" si="3"/>
        <v>7200</v>
      </c>
      <c r="I51" s="15">
        <f t="shared" si="4"/>
        <v>1540800</v>
      </c>
      <c r="J51" s="16"/>
      <c r="K51" s="15">
        <v>600000</v>
      </c>
      <c r="L51" s="15">
        <f t="shared" si="0"/>
        <v>4280</v>
      </c>
      <c r="M51" s="16"/>
      <c r="N51" s="16"/>
      <c r="O51" s="15">
        <f t="shared" si="1"/>
        <v>53500</v>
      </c>
      <c r="P51" s="15">
        <f t="shared" si="2"/>
        <v>657780</v>
      </c>
      <c r="Q51" s="15">
        <f t="shared" si="5"/>
        <v>883020</v>
      </c>
      <c r="R51" s="17">
        <v>700</v>
      </c>
    </row>
    <row r="52" spans="1:18" ht="16.5" x14ac:dyDescent="0.25">
      <c r="A52" s="12">
        <v>719</v>
      </c>
      <c r="B52" s="13" t="s">
        <v>72</v>
      </c>
      <c r="C52" s="13" t="s">
        <v>47</v>
      </c>
      <c r="D52" s="14">
        <v>93</v>
      </c>
      <c r="E52" s="15">
        <v>6400</v>
      </c>
      <c r="F52" s="15">
        <v>400</v>
      </c>
      <c r="G52" s="15">
        <v>400</v>
      </c>
      <c r="H52" s="15">
        <f t="shared" si="3"/>
        <v>7200</v>
      </c>
      <c r="I52" s="15">
        <f t="shared" si="4"/>
        <v>669600</v>
      </c>
      <c r="J52" s="16"/>
      <c r="K52" s="15">
        <v>200000</v>
      </c>
      <c r="L52" s="15">
        <f t="shared" si="0"/>
        <v>1860</v>
      </c>
      <c r="M52" s="16"/>
      <c r="N52" s="16"/>
      <c r="O52" s="15">
        <f t="shared" si="1"/>
        <v>23250</v>
      </c>
      <c r="P52" s="15">
        <f t="shared" si="2"/>
        <v>225110</v>
      </c>
      <c r="Q52" s="15">
        <f t="shared" si="5"/>
        <v>444490</v>
      </c>
      <c r="R52" s="17">
        <v>719</v>
      </c>
    </row>
    <row r="53" spans="1:18" ht="16.5" x14ac:dyDescent="0.25">
      <c r="A53" s="12">
        <v>721</v>
      </c>
      <c r="B53" s="13" t="s">
        <v>69</v>
      </c>
      <c r="C53" s="13" t="s">
        <v>54</v>
      </c>
      <c r="D53" s="14">
        <v>150</v>
      </c>
      <c r="E53" s="15">
        <v>6400</v>
      </c>
      <c r="F53" s="15">
        <v>500</v>
      </c>
      <c r="G53" s="15">
        <v>400</v>
      </c>
      <c r="H53" s="15">
        <f t="shared" si="3"/>
        <v>7300</v>
      </c>
      <c r="I53" s="15">
        <f t="shared" si="4"/>
        <v>1095000</v>
      </c>
      <c r="J53" s="16"/>
      <c r="K53" s="15">
        <v>200000</v>
      </c>
      <c r="L53" s="15">
        <f t="shared" si="0"/>
        <v>3000</v>
      </c>
      <c r="M53" s="16"/>
      <c r="N53" s="16"/>
      <c r="O53" s="15">
        <f t="shared" si="1"/>
        <v>37500</v>
      </c>
      <c r="P53" s="15">
        <f t="shared" si="2"/>
        <v>240500</v>
      </c>
      <c r="Q53" s="15">
        <f t="shared" si="5"/>
        <v>854500</v>
      </c>
      <c r="R53" s="17">
        <v>721</v>
      </c>
    </row>
    <row r="54" spans="1:18" ht="16.5" x14ac:dyDescent="0.25">
      <c r="A54" s="12">
        <v>725</v>
      </c>
      <c r="B54" s="13" t="s">
        <v>73</v>
      </c>
      <c r="C54" s="13" t="s">
        <v>30</v>
      </c>
      <c r="D54" s="14"/>
      <c r="E54" s="15">
        <v>6400</v>
      </c>
      <c r="F54" s="15">
        <v>300</v>
      </c>
      <c r="G54" s="15">
        <v>400</v>
      </c>
      <c r="H54" s="15">
        <f t="shared" si="3"/>
        <v>7100</v>
      </c>
      <c r="I54" s="15">
        <f t="shared" si="4"/>
        <v>0</v>
      </c>
      <c r="J54" s="16"/>
      <c r="K54" s="15"/>
      <c r="L54" s="15">
        <f t="shared" si="0"/>
        <v>0</v>
      </c>
      <c r="M54" s="16"/>
      <c r="N54" s="16"/>
      <c r="O54" s="15">
        <f t="shared" si="1"/>
        <v>0</v>
      </c>
      <c r="P54" s="15">
        <f t="shared" si="2"/>
        <v>0</v>
      </c>
      <c r="Q54" s="15">
        <f t="shared" si="5"/>
        <v>0</v>
      </c>
      <c r="R54" s="17">
        <v>725</v>
      </c>
    </row>
    <row r="55" spans="1:18" ht="16.5" x14ac:dyDescent="0.25">
      <c r="A55" s="12">
        <v>735</v>
      </c>
      <c r="B55" s="13" t="s">
        <v>74</v>
      </c>
      <c r="C55" s="13" t="s">
        <v>43</v>
      </c>
      <c r="D55" s="14"/>
      <c r="E55" s="15">
        <v>6400</v>
      </c>
      <c r="F55" s="15">
        <v>300</v>
      </c>
      <c r="G55" s="15">
        <v>400</v>
      </c>
      <c r="H55" s="15">
        <f t="shared" si="3"/>
        <v>7100</v>
      </c>
      <c r="I55" s="15">
        <f t="shared" si="4"/>
        <v>0</v>
      </c>
      <c r="J55" s="16"/>
      <c r="K55" s="15">
        <v>200000</v>
      </c>
      <c r="L55" s="15">
        <f t="shared" si="0"/>
        <v>0</v>
      </c>
      <c r="M55" s="16"/>
      <c r="N55" s="16"/>
      <c r="O55" s="15">
        <f t="shared" si="1"/>
        <v>0</v>
      </c>
      <c r="P55" s="15">
        <f t="shared" si="2"/>
        <v>200000</v>
      </c>
      <c r="Q55" s="15">
        <f t="shared" si="5"/>
        <v>-200000</v>
      </c>
      <c r="R55" s="17">
        <v>735</v>
      </c>
    </row>
    <row r="56" spans="1:18" ht="16.5" x14ac:dyDescent="0.25">
      <c r="A56" s="12">
        <v>737</v>
      </c>
      <c r="B56" s="13" t="s">
        <v>75</v>
      </c>
      <c r="C56" s="13" t="s">
        <v>54</v>
      </c>
      <c r="D56" s="14">
        <v>109</v>
      </c>
      <c r="E56" s="15">
        <v>6400</v>
      </c>
      <c r="F56" s="15">
        <v>600</v>
      </c>
      <c r="G56" s="15">
        <v>400</v>
      </c>
      <c r="H56" s="15">
        <f t="shared" si="3"/>
        <v>7400</v>
      </c>
      <c r="I56" s="15">
        <f t="shared" si="4"/>
        <v>806600</v>
      </c>
      <c r="J56" s="16"/>
      <c r="K56" s="15">
        <v>200000</v>
      </c>
      <c r="L56" s="15">
        <f t="shared" si="0"/>
        <v>2180</v>
      </c>
      <c r="M56" s="20"/>
      <c r="N56" s="20"/>
      <c r="O56" s="15">
        <f t="shared" si="1"/>
        <v>27250</v>
      </c>
      <c r="P56" s="15">
        <f t="shared" si="2"/>
        <v>229430</v>
      </c>
      <c r="Q56" s="15">
        <f t="shared" si="5"/>
        <v>577170</v>
      </c>
      <c r="R56" s="17">
        <v>737</v>
      </c>
    </row>
    <row r="57" spans="1:18" ht="16.5" x14ac:dyDescent="0.25">
      <c r="A57" s="12">
        <v>745</v>
      </c>
      <c r="B57" s="13" t="s">
        <v>76</v>
      </c>
      <c r="C57" s="13" t="s">
        <v>47</v>
      </c>
      <c r="D57" s="19"/>
      <c r="E57" s="15">
        <v>6400</v>
      </c>
      <c r="F57" s="15">
        <v>500</v>
      </c>
      <c r="G57" s="15">
        <v>400</v>
      </c>
      <c r="H57" s="15">
        <f t="shared" si="3"/>
        <v>7300</v>
      </c>
      <c r="I57" s="15">
        <f t="shared" si="4"/>
        <v>0</v>
      </c>
      <c r="J57" s="20"/>
      <c r="K57" s="15"/>
      <c r="L57" s="15">
        <f t="shared" si="0"/>
        <v>0</v>
      </c>
      <c r="M57" s="20"/>
      <c r="N57" s="20"/>
      <c r="O57" s="15">
        <f t="shared" si="1"/>
        <v>0</v>
      </c>
      <c r="P57" s="15">
        <f t="shared" si="2"/>
        <v>0</v>
      </c>
      <c r="Q57" s="15">
        <f t="shared" si="5"/>
        <v>0</v>
      </c>
      <c r="R57" s="17">
        <v>745</v>
      </c>
    </row>
    <row r="58" spans="1:18" ht="16.5" x14ac:dyDescent="0.25">
      <c r="A58" s="12">
        <v>747</v>
      </c>
      <c r="B58" s="13" t="s">
        <v>77</v>
      </c>
      <c r="C58" s="13" t="s">
        <v>54</v>
      </c>
      <c r="D58" s="19"/>
      <c r="E58" s="15">
        <v>6400</v>
      </c>
      <c r="F58" s="15">
        <v>300</v>
      </c>
      <c r="G58" s="15">
        <v>400</v>
      </c>
      <c r="H58" s="15">
        <f t="shared" si="3"/>
        <v>7100</v>
      </c>
      <c r="I58" s="15">
        <f t="shared" si="4"/>
        <v>0</v>
      </c>
      <c r="J58" s="20"/>
      <c r="K58" s="15"/>
      <c r="L58" s="15">
        <f t="shared" si="0"/>
        <v>0</v>
      </c>
      <c r="M58" s="16"/>
      <c r="N58" s="16"/>
      <c r="O58" s="15">
        <f t="shared" si="1"/>
        <v>0</v>
      </c>
      <c r="P58" s="15">
        <f t="shared" si="2"/>
        <v>0</v>
      </c>
      <c r="Q58" s="15">
        <f t="shared" si="5"/>
        <v>0</v>
      </c>
      <c r="R58" s="17">
        <v>747</v>
      </c>
    </row>
    <row r="59" spans="1:18" ht="16.5" x14ac:dyDescent="0.25">
      <c r="A59" s="12">
        <v>749</v>
      </c>
      <c r="B59" s="13" t="s">
        <v>78</v>
      </c>
      <c r="C59" s="13" t="s">
        <v>25</v>
      </c>
      <c r="D59" s="14">
        <v>98</v>
      </c>
      <c r="E59" s="15">
        <v>6400</v>
      </c>
      <c r="F59" s="15">
        <v>500</v>
      </c>
      <c r="G59" s="15">
        <v>400</v>
      </c>
      <c r="H59" s="15">
        <f t="shared" si="3"/>
        <v>7300</v>
      </c>
      <c r="I59" s="15">
        <f t="shared" si="4"/>
        <v>715400</v>
      </c>
      <c r="J59" s="16"/>
      <c r="K59" s="15">
        <v>200000</v>
      </c>
      <c r="L59" s="15">
        <f t="shared" si="0"/>
        <v>1960</v>
      </c>
      <c r="M59" s="16"/>
      <c r="N59" s="16"/>
      <c r="O59" s="15">
        <f t="shared" si="1"/>
        <v>24500</v>
      </c>
      <c r="P59" s="15">
        <f t="shared" si="2"/>
        <v>226460</v>
      </c>
      <c r="Q59" s="15">
        <f t="shared" si="5"/>
        <v>488940</v>
      </c>
      <c r="R59" s="17">
        <v>749</v>
      </c>
    </row>
    <row r="60" spans="1:18" ht="16.5" x14ac:dyDescent="0.25">
      <c r="A60" s="12">
        <v>753</v>
      </c>
      <c r="B60" s="13" t="s">
        <v>79</v>
      </c>
      <c r="C60" s="13" t="s">
        <v>21</v>
      </c>
      <c r="D60" s="14"/>
      <c r="E60" s="15">
        <v>6400</v>
      </c>
      <c r="F60" s="15">
        <v>300</v>
      </c>
      <c r="G60" s="15">
        <v>400</v>
      </c>
      <c r="H60" s="15">
        <f t="shared" si="3"/>
        <v>7100</v>
      </c>
      <c r="I60" s="15">
        <f t="shared" si="4"/>
        <v>0</v>
      </c>
      <c r="J60" s="16"/>
      <c r="K60" s="15"/>
      <c r="L60" s="15">
        <f t="shared" si="0"/>
        <v>0</v>
      </c>
      <c r="M60" s="16"/>
      <c r="N60" s="16"/>
      <c r="O60" s="15">
        <f t="shared" si="1"/>
        <v>0</v>
      </c>
      <c r="P60" s="15">
        <f t="shared" si="2"/>
        <v>0</v>
      </c>
      <c r="Q60" s="15">
        <f t="shared" si="5"/>
        <v>0</v>
      </c>
      <c r="R60" s="17">
        <v>753</v>
      </c>
    </row>
    <row r="61" spans="1:18" ht="16.5" x14ac:dyDescent="0.25">
      <c r="A61" s="12">
        <v>757</v>
      </c>
      <c r="B61" s="13" t="s">
        <v>80</v>
      </c>
      <c r="C61" s="13" t="s">
        <v>21</v>
      </c>
      <c r="D61" s="14"/>
      <c r="E61" s="15">
        <v>6400</v>
      </c>
      <c r="F61" s="15">
        <v>300</v>
      </c>
      <c r="G61" s="15">
        <v>400</v>
      </c>
      <c r="H61" s="15">
        <f t="shared" si="3"/>
        <v>7100</v>
      </c>
      <c r="I61" s="15">
        <f t="shared" si="4"/>
        <v>0</v>
      </c>
      <c r="J61" s="16"/>
      <c r="K61" s="15"/>
      <c r="L61" s="15">
        <f t="shared" si="0"/>
        <v>0</v>
      </c>
      <c r="M61" s="16"/>
      <c r="N61" s="16"/>
      <c r="O61" s="15">
        <f t="shared" si="1"/>
        <v>0</v>
      </c>
      <c r="P61" s="15">
        <f t="shared" si="2"/>
        <v>0</v>
      </c>
      <c r="Q61" s="15">
        <f t="shared" si="5"/>
        <v>0</v>
      </c>
      <c r="R61" s="17">
        <v>757</v>
      </c>
    </row>
    <row r="62" spans="1:18" ht="16.5" x14ac:dyDescent="0.25">
      <c r="A62" s="12">
        <v>759</v>
      </c>
      <c r="B62" s="13" t="s">
        <v>81</v>
      </c>
      <c r="C62" s="13" t="s">
        <v>82</v>
      </c>
      <c r="D62" s="14">
        <v>871</v>
      </c>
      <c r="E62" s="15">
        <v>6400</v>
      </c>
      <c r="F62" s="15">
        <v>600</v>
      </c>
      <c r="G62" s="15">
        <v>400</v>
      </c>
      <c r="H62" s="15">
        <f t="shared" si="3"/>
        <v>7400</v>
      </c>
      <c r="I62" s="15">
        <f t="shared" si="4"/>
        <v>6445400</v>
      </c>
      <c r="J62" s="16"/>
      <c r="K62" s="15"/>
      <c r="L62" s="15">
        <f t="shared" si="0"/>
        <v>17420</v>
      </c>
      <c r="M62" s="20"/>
      <c r="N62" s="20"/>
      <c r="O62" s="15">
        <f t="shared" si="1"/>
        <v>217750</v>
      </c>
      <c r="P62" s="15">
        <f t="shared" si="2"/>
        <v>235170</v>
      </c>
      <c r="Q62" s="15">
        <f t="shared" si="5"/>
        <v>6210230</v>
      </c>
      <c r="R62" s="17">
        <v>759</v>
      </c>
    </row>
    <row r="63" spans="1:18" ht="16.5" x14ac:dyDescent="0.25">
      <c r="A63" s="12">
        <v>761</v>
      </c>
      <c r="B63" s="13" t="s">
        <v>83</v>
      </c>
      <c r="C63" s="13" t="s">
        <v>25</v>
      </c>
      <c r="D63" s="19"/>
      <c r="E63" s="15">
        <v>6400</v>
      </c>
      <c r="F63" s="15">
        <v>300</v>
      </c>
      <c r="G63" s="15">
        <v>400</v>
      </c>
      <c r="H63" s="15">
        <f t="shared" si="3"/>
        <v>7100</v>
      </c>
      <c r="I63" s="15">
        <f t="shared" si="4"/>
        <v>0</v>
      </c>
      <c r="J63" s="20"/>
      <c r="K63" s="15"/>
      <c r="L63" s="15">
        <f t="shared" si="0"/>
        <v>0</v>
      </c>
      <c r="M63" s="20"/>
      <c r="N63" s="20"/>
      <c r="O63" s="15">
        <f t="shared" si="1"/>
        <v>0</v>
      </c>
      <c r="P63" s="15">
        <f t="shared" si="2"/>
        <v>0</v>
      </c>
      <c r="Q63" s="15">
        <f t="shared" si="5"/>
        <v>0</v>
      </c>
      <c r="R63" s="17">
        <v>761</v>
      </c>
    </row>
    <row r="64" spans="1:18" ht="16.5" x14ac:dyDescent="0.25">
      <c r="A64" s="12">
        <v>769</v>
      </c>
      <c r="B64" s="13" t="s">
        <v>84</v>
      </c>
      <c r="C64" s="13" t="s">
        <v>25</v>
      </c>
      <c r="D64" s="19"/>
      <c r="E64" s="15">
        <v>6400</v>
      </c>
      <c r="F64" s="15">
        <v>400</v>
      </c>
      <c r="G64" s="15">
        <v>400</v>
      </c>
      <c r="H64" s="15">
        <f t="shared" si="3"/>
        <v>7200</v>
      </c>
      <c r="I64" s="15">
        <f t="shared" si="4"/>
        <v>0</v>
      </c>
      <c r="J64" s="20"/>
      <c r="K64" s="15"/>
      <c r="L64" s="15">
        <f t="shared" si="0"/>
        <v>0</v>
      </c>
      <c r="M64" s="20"/>
      <c r="N64" s="20"/>
      <c r="O64" s="15">
        <f t="shared" si="1"/>
        <v>0</v>
      </c>
      <c r="P64" s="15">
        <f t="shared" si="2"/>
        <v>0</v>
      </c>
      <c r="Q64" s="15">
        <f t="shared" si="5"/>
        <v>0</v>
      </c>
      <c r="R64" s="17">
        <v>769</v>
      </c>
    </row>
    <row r="65" spans="1:18" ht="16.5" x14ac:dyDescent="0.25">
      <c r="A65" s="12">
        <v>771</v>
      </c>
      <c r="B65" s="13" t="s">
        <v>70</v>
      </c>
      <c r="C65" s="13" t="s">
        <v>47</v>
      </c>
      <c r="D65" s="19"/>
      <c r="E65" s="15">
        <v>6400</v>
      </c>
      <c r="F65" s="15">
        <v>300</v>
      </c>
      <c r="G65" s="15">
        <v>400</v>
      </c>
      <c r="H65" s="15">
        <f t="shared" si="3"/>
        <v>7100</v>
      </c>
      <c r="I65" s="15">
        <f t="shared" si="4"/>
        <v>0</v>
      </c>
      <c r="J65" s="20"/>
      <c r="K65" s="15"/>
      <c r="L65" s="15">
        <f t="shared" si="0"/>
        <v>0</v>
      </c>
      <c r="M65" s="20"/>
      <c r="N65" s="20"/>
      <c r="O65" s="15">
        <f t="shared" si="1"/>
        <v>0</v>
      </c>
      <c r="P65" s="15">
        <f t="shared" si="2"/>
        <v>0</v>
      </c>
      <c r="Q65" s="15">
        <f t="shared" si="5"/>
        <v>0</v>
      </c>
      <c r="R65" s="17">
        <v>771</v>
      </c>
    </row>
    <row r="66" spans="1:18" ht="16.5" x14ac:dyDescent="0.25">
      <c r="A66" s="12">
        <v>772</v>
      </c>
      <c r="B66" s="13" t="s">
        <v>85</v>
      </c>
      <c r="C66" s="13" t="s">
        <v>43</v>
      </c>
      <c r="D66" s="19">
        <v>436</v>
      </c>
      <c r="E66" s="15">
        <v>6400</v>
      </c>
      <c r="F66" s="15">
        <v>500</v>
      </c>
      <c r="G66" s="15">
        <v>400</v>
      </c>
      <c r="H66" s="15">
        <f t="shared" si="3"/>
        <v>7300</v>
      </c>
      <c r="I66" s="15">
        <f t="shared" si="4"/>
        <v>3182800</v>
      </c>
      <c r="J66" s="20"/>
      <c r="K66" s="15">
        <v>600000</v>
      </c>
      <c r="L66" s="15">
        <f t="shared" si="0"/>
        <v>8720</v>
      </c>
      <c r="M66" s="20"/>
      <c r="N66" s="20"/>
      <c r="O66" s="15">
        <f t="shared" si="1"/>
        <v>109000</v>
      </c>
      <c r="P66" s="15">
        <f t="shared" si="2"/>
        <v>717720</v>
      </c>
      <c r="Q66" s="15">
        <f t="shared" si="5"/>
        <v>2465080</v>
      </c>
      <c r="R66" s="17">
        <v>772</v>
      </c>
    </row>
    <row r="67" spans="1:18" ht="16.5" x14ac:dyDescent="0.25">
      <c r="A67" s="12">
        <v>778</v>
      </c>
      <c r="B67" s="13" t="s">
        <v>51</v>
      </c>
      <c r="C67" s="13" t="s">
        <v>43</v>
      </c>
      <c r="D67" s="19"/>
      <c r="E67" s="15">
        <v>6400</v>
      </c>
      <c r="F67" s="15">
        <v>300</v>
      </c>
      <c r="G67" s="15">
        <v>400</v>
      </c>
      <c r="H67" s="15">
        <f t="shared" si="3"/>
        <v>7100</v>
      </c>
      <c r="I67" s="15">
        <f t="shared" si="4"/>
        <v>0</v>
      </c>
      <c r="J67" s="20"/>
      <c r="K67" s="15"/>
      <c r="L67" s="15">
        <f t="shared" si="0"/>
        <v>0</v>
      </c>
      <c r="M67" s="20"/>
      <c r="N67" s="20"/>
      <c r="O67" s="15">
        <f t="shared" si="1"/>
        <v>0</v>
      </c>
      <c r="P67" s="15">
        <f t="shared" si="2"/>
        <v>0</v>
      </c>
      <c r="Q67" s="15">
        <f t="shared" si="5"/>
        <v>0</v>
      </c>
      <c r="R67" s="17">
        <v>778</v>
      </c>
    </row>
    <row r="68" spans="1:18" ht="16.5" x14ac:dyDescent="0.25">
      <c r="A68" s="12">
        <v>779</v>
      </c>
      <c r="B68" s="13" t="s">
        <v>86</v>
      </c>
      <c r="C68" s="13" t="s">
        <v>43</v>
      </c>
      <c r="D68" s="19"/>
      <c r="E68" s="15">
        <v>6400</v>
      </c>
      <c r="F68" s="15">
        <v>300</v>
      </c>
      <c r="G68" s="15">
        <v>400</v>
      </c>
      <c r="H68" s="15">
        <f t="shared" si="3"/>
        <v>7100</v>
      </c>
      <c r="I68" s="15">
        <f t="shared" si="4"/>
        <v>0</v>
      </c>
      <c r="J68" s="20"/>
      <c r="K68" s="15"/>
      <c r="L68" s="15">
        <f t="shared" si="0"/>
        <v>0</v>
      </c>
      <c r="M68" s="16"/>
      <c r="N68" s="16"/>
      <c r="O68" s="15">
        <f t="shared" si="1"/>
        <v>0</v>
      </c>
      <c r="P68" s="15">
        <f t="shared" si="2"/>
        <v>0</v>
      </c>
      <c r="Q68" s="15">
        <f t="shared" si="5"/>
        <v>0</v>
      </c>
      <c r="R68" s="17">
        <v>779</v>
      </c>
    </row>
    <row r="69" spans="1:18" ht="16.5" x14ac:dyDescent="0.25">
      <c r="A69" s="12">
        <v>784</v>
      </c>
      <c r="B69" s="13" t="s">
        <v>87</v>
      </c>
      <c r="C69" s="13" t="s">
        <v>43</v>
      </c>
      <c r="D69" s="14">
        <v>182</v>
      </c>
      <c r="E69" s="15">
        <v>6400</v>
      </c>
      <c r="F69" s="15">
        <v>600</v>
      </c>
      <c r="G69" s="15">
        <v>400</v>
      </c>
      <c r="H69" s="15">
        <f t="shared" si="3"/>
        <v>7400</v>
      </c>
      <c r="I69" s="15">
        <f t="shared" si="4"/>
        <v>1346800</v>
      </c>
      <c r="J69" s="16"/>
      <c r="K69" s="15">
        <v>1000000</v>
      </c>
      <c r="L69" s="15">
        <f t="shared" ref="L69:L132" si="6">D69*20</f>
        <v>3640</v>
      </c>
      <c r="M69" s="20"/>
      <c r="N69" s="20"/>
      <c r="O69" s="15">
        <f t="shared" ref="O69:O132" si="7">250*D69</f>
        <v>45500</v>
      </c>
      <c r="P69" s="15">
        <f t="shared" ref="P69:P132" si="8">SUM(J69:O69)</f>
        <v>1049140</v>
      </c>
      <c r="Q69" s="15">
        <f t="shared" ref="Q69:Q132" si="9">I69-P69</f>
        <v>297660</v>
      </c>
      <c r="R69" s="17">
        <v>784</v>
      </c>
    </row>
    <row r="70" spans="1:18" ht="16.5" x14ac:dyDescent="0.25">
      <c r="A70" s="12">
        <v>787</v>
      </c>
      <c r="B70" s="13" t="s">
        <v>70</v>
      </c>
      <c r="C70" s="13" t="s">
        <v>30</v>
      </c>
      <c r="D70" s="19"/>
      <c r="E70" s="15">
        <v>6400</v>
      </c>
      <c r="F70" s="15">
        <v>300</v>
      </c>
      <c r="G70" s="15">
        <v>400</v>
      </c>
      <c r="H70" s="15">
        <f t="shared" ref="H70:H133" si="10">SUM(E70:G70)</f>
        <v>7100</v>
      </c>
      <c r="I70" s="15">
        <f t="shared" ref="I70:I133" si="11">H70*D70</f>
        <v>0</v>
      </c>
      <c r="J70" s="20"/>
      <c r="K70" s="15"/>
      <c r="L70" s="15">
        <f t="shared" si="6"/>
        <v>0</v>
      </c>
      <c r="M70" s="16"/>
      <c r="N70" s="16"/>
      <c r="O70" s="15">
        <f t="shared" si="7"/>
        <v>0</v>
      </c>
      <c r="P70" s="15">
        <f t="shared" si="8"/>
        <v>0</v>
      </c>
      <c r="Q70" s="15">
        <f t="shared" si="9"/>
        <v>0</v>
      </c>
      <c r="R70" s="17">
        <v>787</v>
      </c>
    </row>
    <row r="71" spans="1:18" ht="16.5" x14ac:dyDescent="0.25">
      <c r="A71" s="12">
        <v>793</v>
      </c>
      <c r="B71" s="13" t="s">
        <v>88</v>
      </c>
      <c r="C71" s="13" t="s">
        <v>47</v>
      </c>
      <c r="D71" s="14"/>
      <c r="E71" s="15">
        <v>6400</v>
      </c>
      <c r="F71" s="15">
        <v>400</v>
      </c>
      <c r="G71" s="15">
        <v>400</v>
      </c>
      <c r="H71" s="15">
        <f t="shared" si="10"/>
        <v>7200</v>
      </c>
      <c r="I71" s="15">
        <f t="shared" si="11"/>
        <v>0</v>
      </c>
      <c r="J71" s="16"/>
      <c r="K71" s="15"/>
      <c r="L71" s="15">
        <f t="shared" si="6"/>
        <v>0</v>
      </c>
      <c r="M71" s="16"/>
      <c r="N71" s="16"/>
      <c r="O71" s="15">
        <f t="shared" si="7"/>
        <v>0</v>
      </c>
      <c r="P71" s="15">
        <f t="shared" si="8"/>
        <v>0</v>
      </c>
      <c r="Q71" s="15">
        <f t="shared" si="9"/>
        <v>0</v>
      </c>
      <c r="R71" s="17">
        <v>793</v>
      </c>
    </row>
    <row r="72" spans="1:18" ht="16.5" x14ac:dyDescent="0.25">
      <c r="A72" s="12">
        <v>794</v>
      </c>
      <c r="B72" s="13" t="s">
        <v>89</v>
      </c>
      <c r="C72" s="13" t="s">
        <v>25</v>
      </c>
      <c r="D72" s="14">
        <v>42</v>
      </c>
      <c r="E72" s="15">
        <v>6400</v>
      </c>
      <c r="F72" s="15">
        <v>400</v>
      </c>
      <c r="G72" s="15">
        <v>400</v>
      </c>
      <c r="H72" s="15">
        <f t="shared" si="10"/>
        <v>7200</v>
      </c>
      <c r="I72" s="15">
        <f t="shared" si="11"/>
        <v>302400</v>
      </c>
      <c r="J72" s="16"/>
      <c r="K72" s="15">
        <v>400000</v>
      </c>
      <c r="L72" s="15">
        <f t="shared" si="6"/>
        <v>840</v>
      </c>
      <c r="M72" s="20"/>
      <c r="N72" s="20"/>
      <c r="O72" s="15">
        <f t="shared" si="7"/>
        <v>10500</v>
      </c>
      <c r="P72" s="15">
        <f t="shared" si="8"/>
        <v>411340</v>
      </c>
      <c r="Q72" s="15">
        <f t="shared" si="9"/>
        <v>-108940</v>
      </c>
      <c r="R72" s="17">
        <v>794</v>
      </c>
    </row>
    <row r="73" spans="1:18" ht="16.5" x14ac:dyDescent="0.25">
      <c r="A73" s="12">
        <v>797</v>
      </c>
      <c r="B73" s="13" t="s">
        <v>90</v>
      </c>
      <c r="C73" s="13" t="s">
        <v>30</v>
      </c>
      <c r="D73" s="19"/>
      <c r="E73" s="15">
        <v>6400</v>
      </c>
      <c r="F73" s="15">
        <v>500</v>
      </c>
      <c r="G73" s="15">
        <v>400</v>
      </c>
      <c r="H73" s="15">
        <f t="shared" si="10"/>
        <v>7300</v>
      </c>
      <c r="I73" s="15">
        <f t="shared" si="11"/>
        <v>0</v>
      </c>
      <c r="J73" s="20"/>
      <c r="K73" s="15"/>
      <c r="L73" s="15">
        <f t="shared" si="6"/>
        <v>0</v>
      </c>
      <c r="M73" s="20"/>
      <c r="N73" s="20"/>
      <c r="O73" s="15">
        <f t="shared" si="7"/>
        <v>0</v>
      </c>
      <c r="P73" s="15">
        <f t="shared" si="8"/>
        <v>0</v>
      </c>
      <c r="Q73" s="15">
        <f t="shared" si="9"/>
        <v>0</v>
      </c>
      <c r="R73" s="17">
        <v>797</v>
      </c>
    </row>
    <row r="74" spans="1:18" ht="16.5" x14ac:dyDescent="0.25">
      <c r="A74" s="12">
        <v>799</v>
      </c>
      <c r="B74" s="13" t="s">
        <v>91</v>
      </c>
      <c r="C74" s="13" t="s">
        <v>21</v>
      </c>
      <c r="D74" s="19"/>
      <c r="E74" s="15">
        <v>6400</v>
      </c>
      <c r="F74" s="15">
        <v>300</v>
      </c>
      <c r="G74" s="15">
        <v>400</v>
      </c>
      <c r="H74" s="15">
        <f t="shared" si="10"/>
        <v>7100</v>
      </c>
      <c r="I74" s="15">
        <f t="shared" si="11"/>
        <v>0</v>
      </c>
      <c r="J74" s="20"/>
      <c r="K74" s="15"/>
      <c r="L74" s="15">
        <f t="shared" si="6"/>
        <v>0</v>
      </c>
      <c r="M74" s="16"/>
      <c r="N74" s="16"/>
      <c r="O74" s="15">
        <f t="shared" si="7"/>
        <v>0</v>
      </c>
      <c r="P74" s="15">
        <f t="shared" si="8"/>
        <v>0</v>
      </c>
      <c r="Q74" s="15">
        <f t="shared" si="9"/>
        <v>0</v>
      </c>
      <c r="R74" s="17">
        <v>799</v>
      </c>
    </row>
    <row r="75" spans="1:18" ht="16.5" x14ac:dyDescent="0.25">
      <c r="A75" s="12">
        <v>802</v>
      </c>
      <c r="B75" s="13" t="s">
        <v>92</v>
      </c>
      <c r="C75" s="13" t="s">
        <v>30</v>
      </c>
      <c r="D75" s="14"/>
      <c r="E75" s="15">
        <v>6400</v>
      </c>
      <c r="F75" s="15">
        <v>500</v>
      </c>
      <c r="G75" s="15">
        <v>400</v>
      </c>
      <c r="H75" s="15">
        <f t="shared" si="10"/>
        <v>7300</v>
      </c>
      <c r="I75" s="15">
        <f t="shared" si="11"/>
        <v>0</v>
      </c>
      <c r="J75" s="16"/>
      <c r="K75" s="15"/>
      <c r="L75" s="15">
        <f t="shared" si="6"/>
        <v>0</v>
      </c>
      <c r="M75" s="20"/>
      <c r="N75" s="20"/>
      <c r="O75" s="15">
        <f t="shared" si="7"/>
        <v>0</v>
      </c>
      <c r="P75" s="15">
        <f t="shared" si="8"/>
        <v>0</v>
      </c>
      <c r="Q75" s="15">
        <f t="shared" si="9"/>
        <v>0</v>
      </c>
      <c r="R75" s="17">
        <v>802</v>
      </c>
    </row>
    <row r="76" spans="1:18" ht="16.5" x14ac:dyDescent="0.25">
      <c r="A76" s="12">
        <v>805</v>
      </c>
      <c r="B76" s="13" t="s">
        <v>42</v>
      </c>
      <c r="C76" s="13" t="s">
        <v>30</v>
      </c>
      <c r="D76" s="19">
        <v>210</v>
      </c>
      <c r="E76" s="15">
        <v>6400</v>
      </c>
      <c r="F76" s="15">
        <v>500</v>
      </c>
      <c r="G76" s="15">
        <v>400</v>
      </c>
      <c r="H76" s="15">
        <f t="shared" si="10"/>
        <v>7300</v>
      </c>
      <c r="I76" s="15">
        <f t="shared" si="11"/>
        <v>1533000</v>
      </c>
      <c r="J76" s="20"/>
      <c r="K76" s="15">
        <v>400000</v>
      </c>
      <c r="L76" s="15">
        <f t="shared" si="6"/>
        <v>4200</v>
      </c>
      <c r="M76" s="20"/>
      <c r="N76" s="20"/>
      <c r="O76" s="15">
        <f t="shared" si="7"/>
        <v>52500</v>
      </c>
      <c r="P76" s="15">
        <f t="shared" si="8"/>
        <v>456700</v>
      </c>
      <c r="Q76" s="15">
        <f t="shared" si="9"/>
        <v>1076300</v>
      </c>
      <c r="R76" s="17">
        <v>805</v>
      </c>
    </row>
    <row r="77" spans="1:18" ht="16.5" x14ac:dyDescent="0.25">
      <c r="A77" s="12">
        <v>808</v>
      </c>
      <c r="B77" s="13" t="s">
        <v>93</v>
      </c>
      <c r="C77" s="13" t="s">
        <v>21</v>
      </c>
      <c r="D77" s="19"/>
      <c r="E77" s="15">
        <v>6400</v>
      </c>
      <c r="F77" s="15">
        <v>300</v>
      </c>
      <c r="G77" s="15">
        <v>400</v>
      </c>
      <c r="H77" s="15">
        <f t="shared" si="10"/>
        <v>7100</v>
      </c>
      <c r="I77" s="15">
        <f t="shared" si="11"/>
        <v>0</v>
      </c>
      <c r="J77" s="20"/>
      <c r="K77" s="15"/>
      <c r="L77" s="15">
        <f t="shared" si="6"/>
        <v>0</v>
      </c>
      <c r="M77" s="16"/>
      <c r="N77" s="16"/>
      <c r="O77" s="15">
        <f t="shared" si="7"/>
        <v>0</v>
      </c>
      <c r="P77" s="15">
        <f t="shared" si="8"/>
        <v>0</v>
      </c>
      <c r="Q77" s="15">
        <f t="shared" si="9"/>
        <v>0</v>
      </c>
      <c r="R77" s="17">
        <v>808</v>
      </c>
    </row>
    <row r="78" spans="1:18" ht="16.5" x14ac:dyDescent="0.25">
      <c r="A78" s="12">
        <v>809</v>
      </c>
      <c r="B78" s="13" t="s">
        <v>94</v>
      </c>
      <c r="C78" s="13" t="s">
        <v>43</v>
      </c>
      <c r="D78" s="14">
        <v>492</v>
      </c>
      <c r="E78" s="15">
        <v>6400</v>
      </c>
      <c r="F78" s="15">
        <v>600</v>
      </c>
      <c r="G78" s="15">
        <v>400</v>
      </c>
      <c r="H78" s="15">
        <f t="shared" si="10"/>
        <v>7400</v>
      </c>
      <c r="I78" s="15">
        <f t="shared" si="11"/>
        <v>3640800</v>
      </c>
      <c r="J78" s="16"/>
      <c r="K78" s="15">
        <v>1200000</v>
      </c>
      <c r="L78" s="15">
        <f t="shared" si="6"/>
        <v>9840</v>
      </c>
      <c r="M78" s="20"/>
      <c r="N78" s="20"/>
      <c r="O78" s="15">
        <f t="shared" si="7"/>
        <v>123000</v>
      </c>
      <c r="P78" s="15">
        <f t="shared" si="8"/>
        <v>1332840</v>
      </c>
      <c r="Q78" s="15">
        <f t="shared" si="9"/>
        <v>2307960</v>
      </c>
      <c r="R78" s="17">
        <v>809</v>
      </c>
    </row>
    <row r="79" spans="1:18" ht="16.5" x14ac:dyDescent="0.25">
      <c r="A79" s="12">
        <v>811</v>
      </c>
      <c r="B79" s="13" t="s">
        <v>95</v>
      </c>
      <c r="C79" s="13" t="s">
        <v>25</v>
      </c>
      <c r="D79" s="19"/>
      <c r="E79" s="15">
        <v>6400</v>
      </c>
      <c r="F79" s="15">
        <v>300</v>
      </c>
      <c r="G79" s="15">
        <v>400</v>
      </c>
      <c r="H79" s="15">
        <f t="shared" si="10"/>
        <v>7100</v>
      </c>
      <c r="I79" s="15">
        <f t="shared" si="11"/>
        <v>0</v>
      </c>
      <c r="J79" s="20"/>
      <c r="K79" s="15"/>
      <c r="L79" s="15">
        <f t="shared" si="6"/>
        <v>0</v>
      </c>
      <c r="M79" s="16"/>
      <c r="N79" s="16"/>
      <c r="O79" s="15">
        <f t="shared" si="7"/>
        <v>0</v>
      </c>
      <c r="P79" s="15">
        <f t="shared" si="8"/>
        <v>0</v>
      </c>
      <c r="Q79" s="15">
        <f t="shared" si="9"/>
        <v>0</v>
      </c>
      <c r="R79" s="17">
        <v>811</v>
      </c>
    </row>
    <row r="80" spans="1:18" ht="16.5" x14ac:dyDescent="0.25">
      <c r="A80" s="12">
        <v>813</v>
      </c>
      <c r="B80" s="13" t="s">
        <v>96</v>
      </c>
      <c r="C80" s="13" t="s">
        <v>25</v>
      </c>
      <c r="D80" s="14"/>
      <c r="E80" s="15">
        <v>6400</v>
      </c>
      <c r="F80" s="15">
        <v>400</v>
      </c>
      <c r="G80" s="15">
        <v>400</v>
      </c>
      <c r="H80" s="15">
        <f t="shared" si="10"/>
        <v>7200</v>
      </c>
      <c r="I80" s="15">
        <f t="shared" si="11"/>
        <v>0</v>
      </c>
      <c r="J80" s="16"/>
      <c r="K80" s="15"/>
      <c r="L80" s="15">
        <f t="shared" si="6"/>
        <v>0</v>
      </c>
      <c r="M80" s="16"/>
      <c r="N80" s="16"/>
      <c r="O80" s="15">
        <f t="shared" si="7"/>
        <v>0</v>
      </c>
      <c r="P80" s="15">
        <f t="shared" si="8"/>
        <v>0</v>
      </c>
      <c r="Q80" s="15">
        <f t="shared" si="9"/>
        <v>0</v>
      </c>
      <c r="R80" s="17">
        <v>813</v>
      </c>
    </row>
    <row r="81" spans="1:18" ht="16.5" x14ac:dyDescent="0.25">
      <c r="A81" s="12">
        <v>818</v>
      </c>
      <c r="B81" s="13" t="s">
        <v>97</v>
      </c>
      <c r="C81" s="13" t="s">
        <v>43</v>
      </c>
      <c r="D81" s="14"/>
      <c r="E81" s="15">
        <v>6400</v>
      </c>
      <c r="F81" s="15">
        <v>300</v>
      </c>
      <c r="G81" s="15">
        <v>400</v>
      </c>
      <c r="H81" s="15">
        <f t="shared" si="10"/>
        <v>7100</v>
      </c>
      <c r="I81" s="15">
        <f t="shared" si="11"/>
        <v>0</v>
      </c>
      <c r="J81" s="16"/>
      <c r="K81" s="15">
        <v>100000</v>
      </c>
      <c r="L81" s="15">
        <f t="shared" si="6"/>
        <v>0</v>
      </c>
      <c r="M81" s="16"/>
      <c r="N81" s="16"/>
      <c r="O81" s="15">
        <f t="shared" si="7"/>
        <v>0</v>
      </c>
      <c r="P81" s="15">
        <f t="shared" si="8"/>
        <v>100000</v>
      </c>
      <c r="Q81" s="15">
        <f t="shared" si="9"/>
        <v>-100000</v>
      </c>
      <c r="R81" s="17">
        <v>818</v>
      </c>
    </row>
    <row r="82" spans="1:18" ht="16.5" x14ac:dyDescent="0.25">
      <c r="A82" s="12">
        <v>820</v>
      </c>
      <c r="B82" s="13" t="s">
        <v>56</v>
      </c>
      <c r="C82" s="13" t="s">
        <v>43</v>
      </c>
      <c r="D82" s="14"/>
      <c r="E82" s="15">
        <v>6400</v>
      </c>
      <c r="F82" s="15">
        <v>300</v>
      </c>
      <c r="G82" s="15">
        <v>400</v>
      </c>
      <c r="H82" s="15">
        <f t="shared" si="10"/>
        <v>7100</v>
      </c>
      <c r="I82" s="15">
        <f t="shared" si="11"/>
        <v>0</v>
      </c>
      <c r="J82" s="16"/>
      <c r="K82" s="15"/>
      <c r="L82" s="15">
        <f t="shared" si="6"/>
        <v>0</v>
      </c>
      <c r="M82" s="16"/>
      <c r="N82" s="16"/>
      <c r="O82" s="15">
        <f t="shared" si="7"/>
        <v>0</v>
      </c>
      <c r="P82" s="15">
        <f t="shared" si="8"/>
        <v>0</v>
      </c>
      <c r="Q82" s="15">
        <f t="shared" si="9"/>
        <v>0</v>
      </c>
      <c r="R82" s="17">
        <v>820</v>
      </c>
    </row>
    <row r="83" spans="1:18" ht="16.5" x14ac:dyDescent="0.25">
      <c r="A83" s="12">
        <v>823</v>
      </c>
      <c r="B83" s="13" t="s">
        <v>98</v>
      </c>
      <c r="C83" s="13" t="s">
        <v>54</v>
      </c>
      <c r="D83" s="14">
        <v>164</v>
      </c>
      <c r="E83" s="15">
        <v>6400</v>
      </c>
      <c r="F83" s="15">
        <v>600</v>
      </c>
      <c r="G83" s="15">
        <v>400</v>
      </c>
      <c r="H83" s="15">
        <f t="shared" si="10"/>
        <v>7400</v>
      </c>
      <c r="I83" s="15">
        <f t="shared" si="11"/>
        <v>1213600</v>
      </c>
      <c r="J83" s="16"/>
      <c r="K83" s="15">
        <v>600000</v>
      </c>
      <c r="L83" s="15">
        <f t="shared" si="6"/>
        <v>3280</v>
      </c>
      <c r="M83" s="20"/>
      <c r="N83" s="20"/>
      <c r="O83" s="15">
        <f t="shared" si="7"/>
        <v>41000</v>
      </c>
      <c r="P83" s="15">
        <f t="shared" si="8"/>
        <v>644280</v>
      </c>
      <c r="Q83" s="15">
        <f t="shared" si="9"/>
        <v>569320</v>
      </c>
      <c r="R83" s="17">
        <v>823</v>
      </c>
    </row>
    <row r="84" spans="1:18" ht="16.5" x14ac:dyDescent="0.25">
      <c r="A84" s="12">
        <v>825</v>
      </c>
      <c r="B84" s="13" t="s">
        <v>99</v>
      </c>
      <c r="C84" s="13" t="s">
        <v>21</v>
      </c>
      <c r="D84" s="19"/>
      <c r="E84" s="15">
        <v>6400</v>
      </c>
      <c r="F84" s="15">
        <v>300</v>
      </c>
      <c r="G84" s="15">
        <v>400</v>
      </c>
      <c r="H84" s="15">
        <f t="shared" si="10"/>
        <v>7100</v>
      </c>
      <c r="I84" s="15">
        <f t="shared" si="11"/>
        <v>0</v>
      </c>
      <c r="J84" s="20"/>
      <c r="K84" s="15"/>
      <c r="L84" s="15">
        <f t="shared" si="6"/>
        <v>0</v>
      </c>
      <c r="M84" s="16"/>
      <c r="N84" s="16"/>
      <c r="O84" s="15">
        <f t="shared" si="7"/>
        <v>0</v>
      </c>
      <c r="P84" s="15">
        <f t="shared" si="8"/>
        <v>0</v>
      </c>
      <c r="Q84" s="15">
        <f t="shared" si="9"/>
        <v>0</v>
      </c>
      <c r="R84" s="17">
        <v>825</v>
      </c>
    </row>
    <row r="85" spans="1:18" ht="16.5" x14ac:dyDescent="0.25">
      <c r="A85" s="12">
        <v>827</v>
      </c>
      <c r="B85" s="13" t="s">
        <v>100</v>
      </c>
      <c r="C85" s="13" t="s">
        <v>21</v>
      </c>
      <c r="D85" s="14">
        <v>241</v>
      </c>
      <c r="E85" s="15">
        <v>6400</v>
      </c>
      <c r="F85" s="15">
        <v>600</v>
      </c>
      <c r="G85" s="15">
        <v>400</v>
      </c>
      <c r="H85" s="15">
        <f t="shared" si="10"/>
        <v>7400</v>
      </c>
      <c r="I85" s="15">
        <f t="shared" si="11"/>
        <v>1783400</v>
      </c>
      <c r="J85" s="16"/>
      <c r="K85" s="15">
        <v>400000</v>
      </c>
      <c r="L85" s="15">
        <f t="shared" si="6"/>
        <v>4820</v>
      </c>
      <c r="M85" s="20"/>
      <c r="N85" s="20"/>
      <c r="O85" s="15">
        <f t="shared" si="7"/>
        <v>60250</v>
      </c>
      <c r="P85" s="15">
        <f t="shared" si="8"/>
        <v>465070</v>
      </c>
      <c r="Q85" s="15">
        <f t="shared" si="9"/>
        <v>1318330</v>
      </c>
      <c r="R85" s="17">
        <v>827</v>
      </c>
    </row>
    <row r="86" spans="1:18" ht="16.5" x14ac:dyDescent="0.25">
      <c r="A86" s="12">
        <v>832</v>
      </c>
      <c r="B86" s="13" t="s">
        <v>101</v>
      </c>
      <c r="C86" s="13" t="s">
        <v>47</v>
      </c>
      <c r="D86" s="19"/>
      <c r="E86" s="15">
        <v>6400</v>
      </c>
      <c r="F86" s="15">
        <v>300</v>
      </c>
      <c r="G86" s="15">
        <v>400</v>
      </c>
      <c r="H86" s="15">
        <f t="shared" si="10"/>
        <v>7100</v>
      </c>
      <c r="I86" s="15">
        <f t="shared" si="11"/>
        <v>0</v>
      </c>
      <c r="J86" s="20"/>
      <c r="K86" s="15"/>
      <c r="L86" s="15">
        <f t="shared" si="6"/>
        <v>0</v>
      </c>
      <c r="M86" s="20"/>
      <c r="N86" s="20"/>
      <c r="O86" s="15">
        <f t="shared" si="7"/>
        <v>0</v>
      </c>
      <c r="P86" s="15">
        <f t="shared" si="8"/>
        <v>0</v>
      </c>
      <c r="Q86" s="15">
        <f t="shared" si="9"/>
        <v>0</v>
      </c>
      <c r="R86" s="17">
        <v>832</v>
      </c>
    </row>
    <row r="87" spans="1:18" ht="16.5" x14ac:dyDescent="0.25">
      <c r="A87" s="12">
        <v>833</v>
      </c>
      <c r="B87" s="13" t="s">
        <v>102</v>
      </c>
      <c r="C87" s="13" t="s">
        <v>25</v>
      </c>
      <c r="D87" s="19"/>
      <c r="E87" s="15">
        <v>6400</v>
      </c>
      <c r="F87" s="15">
        <v>300</v>
      </c>
      <c r="G87" s="15">
        <v>400</v>
      </c>
      <c r="H87" s="15">
        <f t="shared" si="10"/>
        <v>7100</v>
      </c>
      <c r="I87" s="15">
        <f t="shared" si="11"/>
        <v>0</v>
      </c>
      <c r="J87" s="20"/>
      <c r="K87" s="15"/>
      <c r="L87" s="15">
        <f t="shared" si="6"/>
        <v>0</v>
      </c>
      <c r="M87" s="20"/>
      <c r="N87" s="20"/>
      <c r="O87" s="15">
        <f t="shared" si="7"/>
        <v>0</v>
      </c>
      <c r="P87" s="15">
        <f t="shared" si="8"/>
        <v>0</v>
      </c>
      <c r="Q87" s="15">
        <f t="shared" si="9"/>
        <v>0</v>
      </c>
      <c r="R87" s="17">
        <v>833</v>
      </c>
    </row>
    <row r="88" spans="1:18" ht="16.5" x14ac:dyDescent="0.25">
      <c r="A88" s="12">
        <v>836</v>
      </c>
      <c r="B88" s="13" t="s">
        <v>103</v>
      </c>
      <c r="C88" s="13" t="s">
        <v>47</v>
      </c>
      <c r="D88" s="19"/>
      <c r="E88" s="15">
        <v>6400</v>
      </c>
      <c r="F88" s="15">
        <v>400</v>
      </c>
      <c r="G88" s="15">
        <v>400</v>
      </c>
      <c r="H88" s="15">
        <f t="shared" si="10"/>
        <v>7200</v>
      </c>
      <c r="I88" s="15">
        <f t="shared" si="11"/>
        <v>0</v>
      </c>
      <c r="J88" s="20"/>
      <c r="K88" s="15"/>
      <c r="L88" s="15">
        <f t="shared" si="6"/>
        <v>0</v>
      </c>
      <c r="M88" s="20"/>
      <c r="N88" s="20"/>
      <c r="O88" s="15">
        <f t="shared" si="7"/>
        <v>0</v>
      </c>
      <c r="P88" s="15">
        <f t="shared" si="8"/>
        <v>0</v>
      </c>
      <c r="Q88" s="15">
        <f t="shared" si="9"/>
        <v>0</v>
      </c>
      <c r="R88" s="17">
        <v>836</v>
      </c>
    </row>
    <row r="89" spans="1:18" ht="16.5" x14ac:dyDescent="0.25">
      <c r="A89" s="12">
        <v>839</v>
      </c>
      <c r="B89" s="13" t="s">
        <v>104</v>
      </c>
      <c r="C89" s="13" t="s">
        <v>19</v>
      </c>
      <c r="D89" s="19"/>
      <c r="E89" s="15">
        <v>6400</v>
      </c>
      <c r="F89" s="15">
        <v>300</v>
      </c>
      <c r="G89" s="15">
        <v>400</v>
      </c>
      <c r="H89" s="15">
        <f t="shared" si="10"/>
        <v>7100</v>
      </c>
      <c r="I89" s="15">
        <f t="shared" si="11"/>
        <v>0</v>
      </c>
      <c r="J89" s="20"/>
      <c r="K89" s="15"/>
      <c r="L89" s="15">
        <f t="shared" si="6"/>
        <v>0</v>
      </c>
      <c r="M89" s="16"/>
      <c r="N89" s="16"/>
      <c r="O89" s="15">
        <f t="shared" si="7"/>
        <v>0</v>
      </c>
      <c r="P89" s="15">
        <f t="shared" si="8"/>
        <v>0</v>
      </c>
      <c r="Q89" s="15">
        <f t="shared" si="9"/>
        <v>0</v>
      </c>
      <c r="R89" s="17">
        <v>839</v>
      </c>
    </row>
    <row r="90" spans="1:18" ht="16.5" x14ac:dyDescent="0.25">
      <c r="A90" s="12">
        <v>841</v>
      </c>
      <c r="B90" s="13" t="s">
        <v>105</v>
      </c>
      <c r="C90" s="13" t="s">
        <v>43</v>
      </c>
      <c r="D90" s="14"/>
      <c r="E90" s="15">
        <v>6400</v>
      </c>
      <c r="F90" s="15">
        <v>300</v>
      </c>
      <c r="G90" s="15">
        <v>400</v>
      </c>
      <c r="H90" s="15">
        <f t="shared" si="10"/>
        <v>7100</v>
      </c>
      <c r="I90" s="15">
        <f t="shared" si="11"/>
        <v>0</v>
      </c>
      <c r="J90" s="16"/>
      <c r="K90" s="15"/>
      <c r="L90" s="15">
        <f t="shared" si="6"/>
        <v>0</v>
      </c>
      <c r="M90" s="20"/>
      <c r="N90" s="20"/>
      <c r="O90" s="15">
        <f t="shared" si="7"/>
        <v>0</v>
      </c>
      <c r="P90" s="15">
        <f t="shared" si="8"/>
        <v>0</v>
      </c>
      <c r="Q90" s="15">
        <f t="shared" si="9"/>
        <v>0</v>
      </c>
      <c r="R90" s="17">
        <v>841</v>
      </c>
    </row>
    <row r="91" spans="1:18" ht="16.5" x14ac:dyDescent="0.25">
      <c r="A91" s="12">
        <v>853</v>
      </c>
      <c r="B91" s="13" t="s">
        <v>418</v>
      </c>
      <c r="C91" s="13" t="s">
        <v>19</v>
      </c>
      <c r="D91" s="19"/>
      <c r="E91" s="15">
        <v>6400</v>
      </c>
      <c r="F91" s="15">
        <v>200</v>
      </c>
      <c r="G91" s="15">
        <v>400</v>
      </c>
      <c r="H91" s="15">
        <f t="shared" si="10"/>
        <v>7000</v>
      </c>
      <c r="I91" s="15">
        <f t="shared" si="11"/>
        <v>0</v>
      </c>
      <c r="J91" s="20"/>
      <c r="K91" s="15"/>
      <c r="L91" s="15">
        <f t="shared" si="6"/>
        <v>0</v>
      </c>
      <c r="M91" s="16"/>
      <c r="N91" s="16"/>
      <c r="O91" s="15">
        <f t="shared" si="7"/>
        <v>0</v>
      </c>
      <c r="P91" s="15">
        <f t="shared" si="8"/>
        <v>0</v>
      </c>
      <c r="Q91" s="15">
        <f t="shared" si="9"/>
        <v>0</v>
      </c>
      <c r="R91" s="17">
        <v>844</v>
      </c>
    </row>
    <row r="92" spans="1:18" ht="16.5" x14ac:dyDescent="0.25">
      <c r="A92" s="12">
        <v>855</v>
      </c>
      <c r="B92" s="13" t="s">
        <v>106</v>
      </c>
      <c r="C92" s="13" t="s">
        <v>30</v>
      </c>
      <c r="D92" s="14"/>
      <c r="E92" s="15">
        <v>6400</v>
      </c>
      <c r="F92" s="15">
        <v>500</v>
      </c>
      <c r="G92" s="15">
        <v>400</v>
      </c>
      <c r="H92" s="15">
        <f t="shared" si="10"/>
        <v>7300</v>
      </c>
      <c r="I92" s="15">
        <f t="shared" si="11"/>
        <v>0</v>
      </c>
      <c r="J92" s="16"/>
      <c r="K92" s="15"/>
      <c r="L92" s="15">
        <f t="shared" si="6"/>
        <v>0</v>
      </c>
      <c r="M92" s="16"/>
      <c r="N92" s="16"/>
      <c r="O92" s="15">
        <f t="shared" si="7"/>
        <v>0</v>
      </c>
      <c r="P92" s="15">
        <f t="shared" si="8"/>
        <v>0</v>
      </c>
      <c r="Q92" s="15">
        <f t="shared" si="9"/>
        <v>0</v>
      </c>
      <c r="R92" s="17">
        <v>855</v>
      </c>
    </row>
    <row r="93" spans="1:18" ht="16.5" x14ac:dyDescent="0.25">
      <c r="A93" s="12">
        <v>856</v>
      </c>
      <c r="B93" s="13" t="s">
        <v>107</v>
      </c>
      <c r="C93" s="13" t="s">
        <v>30</v>
      </c>
      <c r="D93" s="14"/>
      <c r="E93" s="15">
        <v>6400</v>
      </c>
      <c r="F93" s="15">
        <v>400</v>
      </c>
      <c r="G93" s="15">
        <v>400</v>
      </c>
      <c r="H93" s="15">
        <f t="shared" si="10"/>
        <v>7200</v>
      </c>
      <c r="I93" s="15">
        <f t="shared" si="11"/>
        <v>0</v>
      </c>
      <c r="J93" s="16"/>
      <c r="K93" s="15">
        <v>200000</v>
      </c>
      <c r="L93" s="15">
        <f t="shared" si="6"/>
        <v>0</v>
      </c>
      <c r="M93" s="20"/>
      <c r="N93" s="20"/>
      <c r="O93" s="15">
        <f t="shared" si="7"/>
        <v>0</v>
      </c>
      <c r="P93" s="15">
        <f t="shared" si="8"/>
        <v>200000</v>
      </c>
      <c r="Q93" s="15">
        <f t="shared" si="9"/>
        <v>-200000</v>
      </c>
      <c r="R93" s="17">
        <v>856</v>
      </c>
    </row>
    <row r="94" spans="1:18" ht="16.5" x14ac:dyDescent="0.25">
      <c r="A94" s="12">
        <v>862</v>
      </c>
      <c r="B94" s="13" t="s">
        <v>108</v>
      </c>
      <c r="C94" s="13" t="s">
        <v>30</v>
      </c>
      <c r="D94" s="19"/>
      <c r="E94" s="15">
        <v>6400</v>
      </c>
      <c r="F94" s="15">
        <v>400</v>
      </c>
      <c r="G94" s="15">
        <v>400</v>
      </c>
      <c r="H94" s="15">
        <f t="shared" si="10"/>
        <v>7200</v>
      </c>
      <c r="I94" s="15">
        <f t="shared" si="11"/>
        <v>0</v>
      </c>
      <c r="J94" s="20"/>
      <c r="K94" s="15">
        <v>200000</v>
      </c>
      <c r="L94" s="15">
        <f t="shared" si="6"/>
        <v>0</v>
      </c>
      <c r="M94" s="16"/>
      <c r="N94" s="16"/>
      <c r="O94" s="15">
        <f t="shared" si="7"/>
        <v>0</v>
      </c>
      <c r="P94" s="15">
        <f t="shared" si="8"/>
        <v>200000</v>
      </c>
      <c r="Q94" s="15">
        <f t="shared" si="9"/>
        <v>-200000</v>
      </c>
      <c r="R94" s="17">
        <v>862</v>
      </c>
    </row>
    <row r="95" spans="1:18" ht="16.5" x14ac:dyDescent="0.25">
      <c r="A95" s="12">
        <v>867</v>
      </c>
      <c r="B95" s="13" t="s">
        <v>109</v>
      </c>
      <c r="C95" s="13" t="s">
        <v>43</v>
      </c>
      <c r="D95" s="14">
        <v>190</v>
      </c>
      <c r="E95" s="15">
        <v>6400</v>
      </c>
      <c r="F95" s="15">
        <v>400</v>
      </c>
      <c r="G95" s="15">
        <v>400</v>
      </c>
      <c r="H95" s="15">
        <f t="shared" si="10"/>
        <v>7200</v>
      </c>
      <c r="I95" s="15">
        <f t="shared" si="11"/>
        <v>1368000</v>
      </c>
      <c r="J95" s="16"/>
      <c r="K95" s="15"/>
      <c r="L95" s="15">
        <f t="shared" si="6"/>
        <v>3800</v>
      </c>
      <c r="M95" s="20"/>
      <c r="N95" s="20"/>
      <c r="O95" s="15">
        <f t="shared" si="7"/>
        <v>47500</v>
      </c>
      <c r="P95" s="15">
        <f t="shared" si="8"/>
        <v>51300</v>
      </c>
      <c r="Q95" s="15">
        <f t="shared" si="9"/>
        <v>1316700</v>
      </c>
      <c r="R95" s="17">
        <v>867</v>
      </c>
    </row>
    <row r="96" spans="1:18" ht="16.5" x14ac:dyDescent="0.25">
      <c r="A96" s="12">
        <v>874</v>
      </c>
      <c r="B96" s="13" t="s">
        <v>110</v>
      </c>
      <c r="C96" s="13" t="s">
        <v>21</v>
      </c>
      <c r="D96" s="19"/>
      <c r="E96" s="15">
        <v>6400</v>
      </c>
      <c r="F96" s="15">
        <v>300</v>
      </c>
      <c r="G96" s="15">
        <v>400</v>
      </c>
      <c r="H96" s="15">
        <f t="shared" si="10"/>
        <v>7100</v>
      </c>
      <c r="I96" s="15">
        <f t="shared" si="11"/>
        <v>0</v>
      </c>
      <c r="J96" s="20"/>
      <c r="K96" s="15"/>
      <c r="L96" s="15">
        <f t="shared" si="6"/>
        <v>0</v>
      </c>
      <c r="M96" s="16"/>
      <c r="N96" s="16"/>
      <c r="O96" s="15">
        <f t="shared" si="7"/>
        <v>0</v>
      </c>
      <c r="P96" s="15">
        <f t="shared" si="8"/>
        <v>0</v>
      </c>
      <c r="Q96" s="15">
        <f t="shared" si="9"/>
        <v>0</v>
      </c>
      <c r="R96" s="17">
        <v>874</v>
      </c>
    </row>
    <row r="97" spans="1:18" ht="16.5" x14ac:dyDescent="0.25">
      <c r="A97" s="12">
        <v>876</v>
      </c>
      <c r="B97" s="13" t="s">
        <v>111</v>
      </c>
      <c r="C97" s="13" t="s">
        <v>21</v>
      </c>
      <c r="D97" s="14"/>
      <c r="E97" s="15">
        <v>6400</v>
      </c>
      <c r="F97" s="15">
        <v>200</v>
      </c>
      <c r="G97" s="15">
        <v>400</v>
      </c>
      <c r="H97" s="15">
        <f t="shared" si="10"/>
        <v>7000</v>
      </c>
      <c r="I97" s="15">
        <f t="shared" si="11"/>
        <v>0</v>
      </c>
      <c r="J97" s="16"/>
      <c r="K97" s="15"/>
      <c r="L97" s="15">
        <f t="shared" si="6"/>
        <v>0</v>
      </c>
      <c r="M97" s="20"/>
      <c r="N97" s="20"/>
      <c r="O97" s="15">
        <f t="shared" si="7"/>
        <v>0</v>
      </c>
      <c r="P97" s="15">
        <f t="shared" si="8"/>
        <v>0</v>
      </c>
      <c r="Q97" s="15">
        <f t="shared" si="9"/>
        <v>0</v>
      </c>
      <c r="R97" s="17">
        <v>876</v>
      </c>
    </row>
    <row r="98" spans="1:18" ht="16.5" x14ac:dyDescent="0.25">
      <c r="A98" s="12">
        <v>877</v>
      </c>
      <c r="B98" s="13" t="s">
        <v>112</v>
      </c>
      <c r="C98" s="13" t="s">
        <v>19</v>
      </c>
      <c r="D98" s="19"/>
      <c r="E98" s="15">
        <v>6400</v>
      </c>
      <c r="F98" s="15">
        <v>300</v>
      </c>
      <c r="G98" s="15">
        <v>400</v>
      </c>
      <c r="H98" s="15">
        <f t="shared" si="10"/>
        <v>7100</v>
      </c>
      <c r="I98" s="15">
        <f t="shared" si="11"/>
        <v>0</v>
      </c>
      <c r="J98" s="20"/>
      <c r="K98" s="15"/>
      <c r="L98" s="15">
        <f t="shared" si="6"/>
        <v>0</v>
      </c>
      <c r="M98" s="20"/>
      <c r="N98" s="20"/>
      <c r="O98" s="15">
        <f t="shared" si="7"/>
        <v>0</v>
      </c>
      <c r="P98" s="15">
        <f t="shared" si="8"/>
        <v>0</v>
      </c>
      <c r="Q98" s="15">
        <f t="shared" si="9"/>
        <v>0</v>
      </c>
      <c r="R98" s="17">
        <v>877</v>
      </c>
    </row>
    <row r="99" spans="1:18" ht="16.5" x14ac:dyDescent="0.25">
      <c r="A99" s="12">
        <v>878</v>
      </c>
      <c r="B99" s="13" t="s">
        <v>88</v>
      </c>
      <c r="C99" s="13" t="s">
        <v>47</v>
      </c>
      <c r="D99" s="19"/>
      <c r="E99" s="15">
        <v>6400</v>
      </c>
      <c r="F99" s="15">
        <v>300</v>
      </c>
      <c r="G99" s="15">
        <v>400</v>
      </c>
      <c r="H99" s="15">
        <f t="shared" si="10"/>
        <v>7100</v>
      </c>
      <c r="I99" s="15">
        <f t="shared" si="11"/>
        <v>0</v>
      </c>
      <c r="J99" s="20"/>
      <c r="K99" s="15"/>
      <c r="L99" s="15">
        <f t="shared" si="6"/>
        <v>0</v>
      </c>
      <c r="M99" s="16"/>
      <c r="N99" s="16"/>
      <c r="O99" s="15">
        <f t="shared" si="7"/>
        <v>0</v>
      </c>
      <c r="P99" s="15">
        <f t="shared" si="8"/>
        <v>0</v>
      </c>
      <c r="Q99" s="15">
        <f t="shared" si="9"/>
        <v>0</v>
      </c>
      <c r="R99" s="17">
        <v>878</v>
      </c>
    </row>
    <row r="100" spans="1:18" ht="16.5" x14ac:dyDescent="0.25">
      <c r="A100" s="12">
        <v>879</v>
      </c>
      <c r="B100" s="13" t="s">
        <v>113</v>
      </c>
      <c r="C100" s="13" t="s">
        <v>25</v>
      </c>
      <c r="D100" s="16"/>
      <c r="E100" s="15">
        <v>6400</v>
      </c>
      <c r="F100" s="15">
        <v>300</v>
      </c>
      <c r="G100" s="15">
        <v>400</v>
      </c>
      <c r="H100" s="15">
        <f t="shared" si="10"/>
        <v>7100</v>
      </c>
      <c r="I100" s="15">
        <f t="shared" si="11"/>
        <v>0</v>
      </c>
      <c r="J100" s="16"/>
      <c r="K100" s="15"/>
      <c r="L100" s="15">
        <f t="shared" si="6"/>
        <v>0</v>
      </c>
      <c r="M100" s="20"/>
      <c r="N100" s="20"/>
      <c r="O100" s="15">
        <f t="shared" si="7"/>
        <v>0</v>
      </c>
      <c r="P100" s="15">
        <f t="shared" si="8"/>
        <v>0</v>
      </c>
      <c r="Q100" s="15">
        <f t="shared" si="9"/>
        <v>0</v>
      </c>
      <c r="R100" s="17">
        <v>879</v>
      </c>
    </row>
    <row r="101" spans="1:18" ht="16.5" x14ac:dyDescent="0.25">
      <c r="A101" s="12">
        <v>880</v>
      </c>
      <c r="B101" s="13" t="s">
        <v>114</v>
      </c>
      <c r="C101" s="13" t="s">
        <v>25</v>
      </c>
      <c r="D101" s="19"/>
      <c r="E101" s="15">
        <v>6400</v>
      </c>
      <c r="F101" s="15">
        <v>300</v>
      </c>
      <c r="G101" s="15">
        <v>400</v>
      </c>
      <c r="H101" s="15">
        <f t="shared" si="10"/>
        <v>7100</v>
      </c>
      <c r="I101" s="15">
        <f t="shared" si="11"/>
        <v>0</v>
      </c>
      <c r="J101" s="20"/>
      <c r="K101" s="15"/>
      <c r="L101" s="15">
        <f t="shared" si="6"/>
        <v>0</v>
      </c>
      <c r="M101" s="16"/>
      <c r="N101" s="16"/>
      <c r="O101" s="15">
        <f t="shared" si="7"/>
        <v>0</v>
      </c>
      <c r="P101" s="15">
        <f t="shared" si="8"/>
        <v>0</v>
      </c>
      <c r="Q101" s="15">
        <f t="shared" si="9"/>
        <v>0</v>
      </c>
      <c r="R101" s="17">
        <v>880</v>
      </c>
    </row>
    <row r="102" spans="1:18" ht="16.5" x14ac:dyDescent="0.25">
      <c r="A102" s="12">
        <v>881</v>
      </c>
      <c r="B102" s="13" t="s">
        <v>115</v>
      </c>
      <c r="C102" s="13" t="s">
        <v>25</v>
      </c>
      <c r="D102" s="14">
        <v>249</v>
      </c>
      <c r="E102" s="15">
        <v>6400</v>
      </c>
      <c r="F102" s="15">
        <v>400</v>
      </c>
      <c r="G102" s="15">
        <v>400</v>
      </c>
      <c r="H102" s="15">
        <f t="shared" si="10"/>
        <v>7200</v>
      </c>
      <c r="I102" s="15">
        <f t="shared" si="11"/>
        <v>1792800</v>
      </c>
      <c r="J102" s="16"/>
      <c r="K102" s="15">
        <v>200000</v>
      </c>
      <c r="L102" s="15">
        <f t="shared" si="6"/>
        <v>4980</v>
      </c>
      <c r="M102" s="20"/>
      <c r="N102" s="20"/>
      <c r="O102" s="15">
        <f t="shared" si="7"/>
        <v>62250</v>
      </c>
      <c r="P102" s="15">
        <f t="shared" si="8"/>
        <v>267230</v>
      </c>
      <c r="Q102" s="15">
        <f t="shared" si="9"/>
        <v>1525570</v>
      </c>
      <c r="R102" s="17">
        <v>881</v>
      </c>
    </row>
    <row r="103" spans="1:18" ht="16.5" x14ac:dyDescent="0.25">
      <c r="A103" s="12">
        <v>882</v>
      </c>
      <c r="B103" s="13" t="s">
        <v>116</v>
      </c>
      <c r="C103" s="13" t="s">
        <v>21</v>
      </c>
      <c r="D103" s="19"/>
      <c r="E103" s="15">
        <v>6400</v>
      </c>
      <c r="F103" s="15">
        <v>300</v>
      </c>
      <c r="G103" s="15">
        <v>400</v>
      </c>
      <c r="H103" s="15">
        <f t="shared" si="10"/>
        <v>7100</v>
      </c>
      <c r="I103" s="15">
        <f t="shared" si="11"/>
        <v>0</v>
      </c>
      <c r="J103" s="20"/>
      <c r="K103" s="15"/>
      <c r="L103" s="15">
        <f t="shared" si="6"/>
        <v>0</v>
      </c>
      <c r="M103" s="16"/>
      <c r="N103" s="16"/>
      <c r="O103" s="15">
        <f t="shared" si="7"/>
        <v>0</v>
      </c>
      <c r="P103" s="15">
        <f t="shared" si="8"/>
        <v>0</v>
      </c>
      <c r="Q103" s="15">
        <f t="shared" si="9"/>
        <v>0</v>
      </c>
      <c r="R103" s="17">
        <v>882</v>
      </c>
    </row>
    <row r="104" spans="1:18" ht="16.5" x14ac:dyDescent="0.25">
      <c r="A104" s="12">
        <v>884</v>
      </c>
      <c r="B104" s="13" t="s">
        <v>117</v>
      </c>
      <c r="C104" s="13" t="s">
        <v>25</v>
      </c>
      <c r="D104" s="14"/>
      <c r="E104" s="15">
        <v>6400</v>
      </c>
      <c r="F104" s="15">
        <v>300</v>
      </c>
      <c r="G104" s="15">
        <v>400</v>
      </c>
      <c r="H104" s="15">
        <f t="shared" si="10"/>
        <v>7100</v>
      </c>
      <c r="I104" s="15">
        <f t="shared" si="11"/>
        <v>0</v>
      </c>
      <c r="J104" s="16"/>
      <c r="K104" s="15"/>
      <c r="L104" s="15">
        <f t="shared" si="6"/>
        <v>0</v>
      </c>
      <c r="M104" s="16"/>
      <c r="N104" s="16"/>
      <c r="O104" s="15">
        <f t="shared" si="7"/>
        <v>0</v>
      </c>
      <c r="P104" s="15">
        <f t="shared" si="8"/>
        <v>0</v>
      </c>
      <c r="Q104" s="15">
        <f t="shared" si="9"/>
        <v>0</v>
      </c>
      <c r="R104" s="17">
        <v>884</v>
      </c>
    </row>
    <row r="105" spans="1:18" ht="16.5" x14ac:dyDescent="0.25">
      <c r="A105" s="12">
        <v>886</v>
      </c>
      <c r="B105" s="13" t="s">
        <v>118</v>
      </c>
      <c r="C105" s="13" t="s">
        <v>82</v>
      </c>
      <c r="D105" s="16"/>
      <c r="E105" s="15">
        <v>6400</v>
      </c>
      <c r="F105" s="15">
        <v>300</v>
      </c>
      <c r="G105" s="15">
        <v>400</v>
      </c>
      <c r="H105" s="15">
        <f t="shared" si="10"/>
        <v>7100</v>
      </c>
      <c r="I105" s="15">
        <f t="shared" si="11"/>
        <v>0</v>
      </c>
      <c r="J105" s="16"/>
      <c r="K105" s="15"/>
      <c r="L105" s="15">
        <f t="shared" si="6"/>
        <v>0</v>
      </c>
      <c r="M105" s="20"/>
      <c r="N105" s="20"/>
      <c r="O105" s="15">
        <f t="shared" si="7"/>
        <v>0</v>
      </c>
      <c r="P105" s="15">
        <f t="shared" si="8"/>
        <v>0</v>
      </c>
      <c r="Q105" s="15">
        <f t="shared" si="9"/>
        <v>0</v>
      </c>
      <c r="R105" s="17">
        <v>886</v>
      </c>
    </row>
    <row r="106" spans="1:18" ht="16.5" x14ac:dyDescent="0.25">
      <c r="A106" s="12">
        <v>888</v>
      </c>
      <c r="B106" s="13" t="s">
        <v>119</v>
      </c>
      <c r="C106" s="13" t="s">
        <v>43</v>
      </c>
      <c r="D106" s="19"/>
      <c r="E106" s="15">
        <v>6400</v>
      </c>
      <c r="F106" s="15">
        <v>300</v>
      </c>
      <c r="G106" s="15">
        <v>400</v>
      </c>
      <c r="H106" s="15">
        <f t="shared" si="10"/>
        <v>7100</v>
      </c>
      <c r="I106" s="15">
        <f t="shared" si="11"/>
        <v>0</v>
      </c>
      <c r="J106" s="20"/>
      <c r="K106" s="15"/>
      <c r="L106" s="15">
        <f t="shared" si="6"/>
        <v>0</v>
      </c>
      <c r="M106" s="16"/>
      <c r="N106" s="16"/>
      <c r="O106" s="15">
        <f t="shared" si="7"/>
        <v>0</v>
      </c>
      <c r="P106" s="15">
        <f t="shared" si="8"/>
        <v>0</v>
      </c>
      <c r="Q106" s="15">
        <f t="shared" si="9"/>
        <v>0</v>
      </c>
      <c r="R106" s="17">
        <v>888</v>
      </c>
    </row>
    <row r="107" spans="1:18" ht="16.5" x14ac:dyDescent="0.25">
      <c r="A107" s="12">
        <v>892</v>
      </c>
      <c r="B107" s="13" t="s">
        <v>120</v>
      </c>
      <c r="C107" s="13" t="s">
        <v>23</v>
      </c>
      <c r="D107" s="14"/>
      <c r="E107" s="15">
        <v>6400</v>
      </c>
      <c r="F107" s="15">
        <v>400</v>
      </c>
      <c r="G107" s="15">
        <v>400</v>
      </c>
      <c r="H107" s="15">
        <f t="shared" si="10"/>
        <v>7200</v>
      </c>
      <c r="I107" s="15">
        <f t="shared" si="11"/>
        <v>0</v>
      </c>
      <c r="J107" s="16"/>
      <c r="K107" s="15">
        <v>400000</v>
      </c>
      <c r="L107" s="15">
        <f t="shared" si="6"/>
        <v>0</v>
      </c>
      <c r="M107" s="16"/>
      <c r="N107" s="16"/>
      <c r="O107" s="15">
        <f t="shared" si="7"/>
        <v>0</v>
      </c>
      <c r="P107" s="15">
        <f t="shared" si="8"/>
        <v>400000</v>
      </c>
      <c r="Q107" s="15">
        <f t="shared" si="9"/>
        <v>-400000</v>
      </c>
      <c r="R107" s="17">
        <v>892</v>
      </c>
    </row>
    <row r="108" spans="1:18" ht="16.5" x14ac:dyDescent="0.25">
      <c r="A108" s="12">
        <v>897</v>
      </c>
      <c r="B108" s="13" t="s">
        <v>121</v>
      </c>
      <c r="C108" s="13" t="s">
        <v>25</v>
      </c>
      <c r="D108" s="14"/>
      <c r="E108" s="15">
        <v>6400</v>
      </c>
      <c r="F108" s="15">
        <v>300</v>
      </c>
      <c r="G108" s="15">
        <v>400</v>
      </c>
      <c r="H108" s="15">
        <f t="shared" si="10"/>
        <v>7100</v>
      </c>
      <c r="I108" s="15">
        <f t="shared" si="11"/>
        <v>0</v>
      </c>
      <c r="J108" s="16"/>
      <c r="K108" s="15"/>
      <c r="L108" s="15">
        <f t="shared" si="6"/>
        <v>0</v>
      </c>
      <c r="M108" s="16"/>
      <c r="N108" s="16"/>
      <c r="O108" s="15">
        <f t="shared" si="7"/>
        <v>0</v>
      </c>
      <c r="P108" s="15">
        <f t="shared" si="8"/>
        <v>0</v>
      </c>
      <c r="Q108" s="15">
        <f t="shared" si="9"/>
        <v>0</v>
      </c>
      <c r="R108" s="17">
        <v>897</v>
      </c>
    </row>
    <row r="109" spans="1:18" ht="16.5" x14ac:dyDescent="0.25">
      <c r="A109" s="12">
        <v>899</v>
      </c>
      <c r="B109" s="13" t="s">
        <v>122</v>
      </c>
      <c r="C109" s="13" t="s">
        <v>47</v>
      </c>
      <c r="D109" s="14"/>
      <c r="E109" s="15">
        <v>6400</v>
      </c>
      <c r="F109" s="15">
        <v>500</v>
      </c>
      <c r="G109" s="15">
        <v>400</v>
      </c>
      <c r="H109" s="15">
        <f t="shared" si="10"/>
        <v>7300</v>
      </c>
      <c r="I109" s="15">
        <f t="shared" si="11"/>
        <v>0</v>
      </c>
      <c r="J109" s="16"/>
      <c r="K109" s="15"/>
      <c r="L109" s="15">
        <f t="shared" si="6"/>
        <v>0</v>
      </c>
      <c r="M109" s="16"/>
      <c r="N109" s="16"/>
      <c r="O109" s="15">
        <f t="shared" si="7"/>
        <v>0</v>
      </c>
      <c r="P109" s="15">
        <f t="shared" si="8"/>
        <v>0</v>
      </c>
      <c r="Q109" s="15">
        <f t="shared" si="9"/>
        <v>0</v>
      </c>
      <c r="R109" s="17">
        <v>899</v>
      </c>
    </row>
    <row r="110" spans="1:18" ht="16.5" x14ac:dyDescent="0.25">
      <c r="A110" s="12">
        <v>900</v>
      </c>
      <c r="B110" s="13" t="s">
        <v>123</v>
      </c>
      <c r="C110" s="13" t="s">
        <v>25</v>
      </c>
      <c r="D110" s="14"/>
      <c r="E110" s="15">
        <v>6400</v>
      </c>
      <c r="F110" s="15">
        <v>300</v>
      </c>
      <c r="G110" s="15">
        <v>400</v>
      </c>
      <c r="H110" s="15">
        <f t="shared" si="10"/>
        <v>7100</v>
      </c>
      <c r="I110" s="15">
        <f t="shared" si="11"/>
        <v>0</v>
      </c>
      <c r="J110" s="16"/>
      <c r="K110" s="15"/>
      <c r="L110" s="15">
        <f t="shared" si="6"/>
        <v>0</v>
      </c>
      <c r="M110" s="16"/>
      <c r="N110" s="16"/>
      <c r="O110" s="15">
        <f t="shared" si="7"/>
        <v>0</v>
      </c>
      <c r="P110" s="15">
        <f t="shared" si="8"/>
        <v>0</v>
      </c>
      <c r="Q110" s="15">
        <f t="shared" si="9"/>
        <v>0</v>
      </c>
      <c r="R110" s="17">
        <v>900</v>
      </c>
    </row>
    <row r="111" spans="1:18" ht="16.5" x14ac:dyDescent="0.25">
      <c r="A111" s="12">
        <v>901</v>
      </c>
      <c r="B111" s="13" t="s">
        <v>112</v>
      </c>
      <c r="C111" s="13" t="s">
        <v>25</v>
      </c>
      <c r="D111" s="14"/>
      <c r="E111" s="15">
        <v>6400</v>
      </c>
      <c r="F111" s="15">
        <v>300</v>
      </c>
      <c r="G111" s="15">
        <v>400</v>
      </c>
      <c r="H111" s="15">
        <f t="shared" si="10"/>
        <v>7100</v>
      </c>
      <c r="I111" s="15">
        <f t="shared" si="11"/>
        <v>0</v>
      </c>
      <c r="J111" s="16"/>
      <c r="K111" s="15"/>
      <c r="L111" s="15">
        <f t="shared" si="6"/>
        <v>0</v>
      </c>
      <c r="M111" s="16"/>
      <c r="N111" s="16"/>
      <c r="O111" s="15">
        <f t="shared" si="7"/>
        <v>0</v>
      </c>
      <c r="P111" s="15">
        <f t="shared" si="8"/>
        <v>0</v>
      </c>
      <c r="Q111" s="15">
        <f t="shared" si="9"/>
        <v>0</v>
      </c>
      <c r="R111" s="17">
        <v>901</v>
      </c>
    </row>
    <row r="112" spans="1:18" ht="16.5" x14ac:dyDescent="0.25">
      <c r="A112" s="12">
        <v>907</v>
      </c>
      <c r="B112" s="13" t="s">
        <v>124</v>
      </c>
      <c r="C112" s="13" t="s">
        <v>23</v>
      </c>
      <c r="D112" s="16"/>
      <c r="E112" s="15">
        <v>6400</v>
      </c>
      <c r="F112" s="15">
        <v>300</v>
      </c>
      <c r="G112" s="15">
        <v>400</v>
      </c>
      <c r="H112" s="15">
        <f t="shared" si="10"/>
        <v>7100</v>
      </c>
      <c r="I112" s="15">
        <f t="shared" si="11"/>
        <v>0</v>
      </c>
      <c r="J112" s="16"/>
      <c r="K112" s="15"/>
      <c r="L112" s="15">
        <f t="shared" si="6"/>
        <v>0</v>
      </c>
      <c r="M112" s="20"/>
      <c r="N112" s="20"/>
      <c r="O112" s="15">
        <f t="shared" si="7"/>
        <v>0</v>
      </c>
      <c r="P112" s="15">
        <f t="shared" si="8"/>
        <v>0</v>
      </c>
      <c r="Q112" s="15">
        <f t="shared" si="9"/>
        <v>0</v>
      </c>
      <c r="R112" s="17">
        <v>907</v>
      </c>
    </row>
    <row r="113" spans="1:18" ht="16.5" x14ac:dyDescent="0.25">
      <c r="A113" s="12">
        <v>913</v>
      </c>
      <c r="B113" s="13" t="s">
        <v>125</v>
      </c>
      <c r="C113" s="13" t="s">
        <v>47</v>
      </c>
      <c r="D113" s="19"/>
      <c r="E113" s="15">
        <v>6400</v>
      </c>
      <c r="F113" s="15">
        <v>400</v>
      </c>
      <c r="G113" s="15">
        <v>400</v>
      </c>
      <c r="H113" s="15">
        <f t="shared" si="10"/>
        <v>7200</v>
      </c>
      <c r="I113" s="15">
        <f t="shared" si="11"/>
        <v>0</v>
      </c>
      <c r="J113" s="20"/>
      <c r="K113" s="15"/>
      <c r="L113" s="15">
        <f t="shared" si="6"/>
        <v>0</v>
      </c>
      <c r="M113" s="16"/>
      <c r="N113" s="16"/>
      <c r="O113" s="15">
        <f t="shared" si="7"/>
        <v>0</v>
      </c>
      <c r="P113" s="15">
        <f t="shared" si="8"/>
        <v>0</v>
      </c>
      <c r="Q113" s="15">
        <f t="shared" si="9"/>
        <v>0</v>
      </c>
      <c r="R113" s="17">
        <v>913</v>
      </c>
    </row>
    <row r="114" spans="1:18" ht="16.5" x14ac:dyDescent="0.25">
      <c r="A114" s="12">
        <v>914</v>
      </c>
      <c r="B114" s="13" t="s">
        <v>126</v>
      </c>
      <c r="C114" s="13" t="s">
        <v>36</v>
      </c>
      <c r="D114" s="14">
        <v>1306</v>
      </c>
      <c r="E114" s="15">
        <v>6400</v>
      </c>
      <c r="F114" s="15">
        <v>600</v>
      </c>
      <c r="G114" s="15">
        <v>400</v>
      </c>
      <c r="H114" s="15">
        <f t="shared" si="10"/>
        <v>7400</v>
      </c>
      <c r="I114" s="15">
        <f t="shared" si="11"/>
        <v>9664400</v>
      </c>
      <c r="J114" s="16"/>
      <c r="K114" s="15"/>
      <c r="L114" s="15">
        <f t="shared" si="6"/>
        <v>26120</v>
      </c>
      <c r="M114" s="16"/>
      <c r="N114" s="16"/>
      <c r="O114" s="15">
        <f t="shared" si="7"/>
        <v>326500</v>
      </c>
      <c r="P114" s="15">
        <f t="shared" si="8"/>
        <v>352620</v>
      </c>
      <c r="Q114" s="15">
        <f t="shared" si="9"/>
        <v>9311780</v>
      </c>
      <c r="R114" s="17">
        <v>914</v>
      </c>
    </row>
    <row r="115" spans="1:18" ht="16.5" x14ac:dyDescent="0.25">
      <c r="A115" s="12">
        <v>915</v>
      </c>
      <c r="B115" s="13" t="s">
        <v>127</v>
      </c>
      <c r="C115" s="13" t="s">
        <v>25</v>
      </c>
      <c r="D115" s="14"/>
      <c r="E115" s="15">
        <v>6400</v>
      </c>
      <c r="F115" s="15">
        <v>400</v>
      </c>
      <c r="G115" s="15">
        <v>400</v>
      </c>
      <c r="H115" s="15">
        <f t="shared" si="10"/>
        <v>7200</v>
      </c>
      <c r="I115" s="15">
        <f t="shared" si="11"/>
        <v>0</v>
      </c>
      <c r="J115" s="16"/>
      <c r="K115" s="15"/>
      <c r="L115" s="15">
        <f t="shared" si="6"/>
        <v>0</v>
      </c>
      <c r="M115" s="20"/>
      <c r="N115" s="20"/>
      <c r="O115" s="15">
        <f t="shared" si="7"/>
        <v>0</v>
      </c>
      <c r="P115" s="15">
        <f t="shared" si="8"/>
        <v>0</v>
      </c>
      <c r="Q115" s="15">
        <f t="shared" si="9"/>
        <v>0</v>
      </c>
      <c r="R115" s="17">
        <v>915</v>
      </c>
    </row>
    <row r="116" spans="1:18" ht="16.5" x14ac:dyDescent="0.25">
      <c r="A116" s="12">
        <v>916</v>
      </c>
      <c r="B116" s="13" t="s">
        <v>128</v>
      </c>
      <c r="C116" s="13" t="s">
        <v>25</v>
      </c>
      <c r="D116" s="19"/>
      <c r="E116" s="15">
        <v>6400</v>
      </c>
      <c r="F116" s="15">
        <v>400</v>
      </c>
      <c r="G116" s="15">
        <v>400</v>
      </c>
      <c r="H116" s="15">
        <f t="shared" si="10"/>
        <v>7200</v>
      </c>
      <c r="I116" s="15">
        <f t="shared" si="11"/>
        <v>0</v>
      </c>
      <c r="J116" s="20"/>
      <c r="K116" s="15"/>
      <c r="L116" s="15">
        <f t="shared" si="6"/>
        <v>0</v>
      </c>
      <c r="M116" s="20"/>
      <c r="N116" s="20"/>
      <c r="O116" s="15">
        <f t="shared" si="7"/>
        <v>0</v>
      </c>
      <c r="P116" s="15">
        <f t="shared" si="8"/>
        <v>0</v>
      </c>
      <c r="Q116" s="15">
        <f t="shared" si="9"/>
        <v>0</v>
      </c>
      <c r="R116" s="17">
        <v>916</v>
      </c>
    </row>
    <row r="117" spans="1:18" ht="16.5" x14ac:dyDescent="0.25">
      <c r="A117" s="12">
        <v>917</v>
      </c>
      <c r="B117" s="13" t="s">
        <v>129</v>
      </c>
      <c r="C117" s="13" t="s">
        <v>25</v>
      </c>
      <c r="D117" s="19"/>
      <c r="E117" s="15">
        <v>6400</v>
      </c>
      <c r="F117" s="15">
        <v>300</v>
      </c>
      <c r="G117" s="15">
        <v>400</v>
      </c>
      <c r="H117" s="15">
        <f t="shared" si="10"/>
        <v>7100</v>
      </c>
      <c r="I117" s="15">
        <f t="shared" si="11"/>
        <v>0</v>
      </c>
      <c r="J117" s="20"/>
      <c r="K117" s="15"/>
      <c r="L117" s="15">
        <f t="shared" si="6"/>
        <v>0</v>
      </c>
      <c r="M117" s="20"/>
      <c r="N117" s="20"/>
      <c r="O117" s="15">
        <f t="shared" si="7"/>
        <v>0</v>
      </c>
      <c r="P117" s="15">
        <f t="shared" si="8"/>
        <v>0</v>
      </c>
      <c r="Q117" s="15">
        <f t="shared" si="9"/>
        <v>0</v>
      </c>
      <c r="R117" s="17">
        <v>917</v>
      </c>
    </row>
    <row r="118" spans="1:18" ht="16.5" x14ac:dyDescent="0.25">
      <c r="A118" s="12">
        <v>918</v>
      </c>
      <c r="B118" s="13" t="s">
        <v>130</v>
      </c>
      <c r="C118" s="13" t="s">
        <v>23</v>
      </c>
      <c r="D118" s="19">
        <v>92</v>
      </c>
      <c r="E118" s="15">
        <v>6400</v>
      </c>
      <c r="F118" s="15">
        <v>600</v>
      </c>
      <c r="G118" s="15">
        <v>400</v>
      </c>
      <c r="H118" s="15">
        <f t="shared" si="10"/>
        <v>7400</v>
      </c>
      <c r="I118" s="15">
        <f t="shared" si="11"/>
        <v>680800</v>
      </c>
      <c r="J118" s="20"/>
      <c r="K118" s="15">
        <v>800000</v>
      </c>
      <c r="L118" s="15">
        <f t="shared" si="6"/>
        <v>1840</v>
      </c>
      <c r="M118" s="16"/>
      <c r="N118" s="16"/>
      <c r="O118" s="15">
        <f t="shared" si="7"/>
        <v>23000</v>
      </c>
      <c r="P118" s="15">
        <f t="shared" si="8"/>
        <v>824840</v>
      </c>
      <c r="Q118" s="15">
        <f t="shared" si="9"/>
        <v>-144040</v>
      </c>
      <c r="R118" s="17">
        <v>918</v>
      </c>
    </row>
    <row r="119" spans="1:18" ht="16.5" x14ac:dyDescent="0.25">
      <c r="A119" s="12">
        <v>920</v>
      </c>
      <c r="B119" s="13" t="s">
        <v>131</v>
      </c>
      <c r="C119" s="13" t="s">
        <v>36</v>
      </c>
      <c r="D119" s="14">
        <v>227</v>
      </c>
      <c r="E119" s="15">
        <v>6400</v>
      </c>
      <c r="F119" s="15">
        <v>500</v>
      </c>
      <c r="G119" s="15">
        <v>400</v>
      </c>
      <c r="H119" s="15">
        <f t="shared" si="10"/>
        <v>7300</v>
      </c>
      <c r="I119" s="15">
        <f t="shared" si="11"/>
        <v>1657100</v>
      </c>
      <c r="J119" s="16"/>
      <c r="K119" s="15"/>
      <c r="L119" s="15">
        <f t="shared" si="6"/>
        <v>4540</v>
      </c>
      <c r="M119" s="16"/>
      <c r="N119" s="16"/>
      <c r="O119" s="15">
        <f t="shared" si="7"/>
        <v>56750</v>
      </c>
      <c r="P119" s="15">
        <f t="shared" si="8"/>
        <v>61290</v>
      </c>
      <c r="Q119" s="15">
        <f t="shared" si="9"/>
        <v>1595810</v>
      </c>
      <c r="R119" s="17">
        <v>920</v>
      </c>
    </row>
    <row r="120" spans="1:18" ht="16.5" x14ac:dyDescent="0.25">
      <c r="A120" s="12">
        <v>923</v>
      </c>
      <c r="B120" s="13" t="s">
        <v>132</v>
      </c>
      <c r="C120" s="13" t="s">
        <v>25</v>
      </c>
      <c r="D120" s="14">
        <v>68</v>
      </c>
      <c r="E120" s="15">
        <v>6400</v>
      </c>
      <c r="F120" s="15">
        <v>500</v>
      </c>
      <c r="G120" s="15">
        <v>400</v>
      </c>
      <c r="H120" s="15">
        <f t="shared" si="10"/>
        <v>7300</v>
      </c>
      <c r="I120" s="15">
        <f t="shared" si="11"/>
        <v>496400</v>
      </c>
      <c r="J120" s="16"/>
      <c r="K120" s="15">
        <v>200000</v>
      </c>
      <c r="L120" s="15">
        <f t="shared" si="6"/>
        <v>1360</v>
      </c>
      <c r="M120" s="16"/>
      <c r="N120" s="16"/>
      <c r="O120" s="15">
        <f t="shared" si="7"/>
        <v>17000</v>
      </c>
      <c r="P120" s="15">
        <f t="shared" si="8"/>
        <v>218360</v>
      </c>
      <c r="Q120" s="15">
        <f t="shared" si="9"/>
        <v>278040</v>
      </c>
      <c r="R120" s="17">
        <v>923</v>
      </c>
    </row>
    <row r="121" spans="1:18" ht="16.5" x14ac:dyDescent="0.25">
      <c r="A121" s="12">
        <v>924</v>
      </c>
      <c r="B121" s="13" t="s">
        <v>133</v>
      </c>
      <c r="C121" s="13" t="s">
        <v>30</v>
      </c>
      <c r="D121" s="14">
        <v>73</v>
      </c>
      <c r="E121" s="15">
        <v>6400</v>
      </c>
      <c r="F121" s="15">
        <v>500</v>
      </c>
      <c r="G121" s="15">
        <v>400</v>
      </c>
      <c r="H121" s="15">
        <f t="shared" si="10"/>
        <v>7300</v>
      </c>
      <c r="I121" s="15">
        <f t="shared" si="11"/>
        <v>532900</v>
      </c>
      <c r="J121" s="16"/>
      <c r="K121" s="15">
        <v>600000</v>
      </c>
      <c r="L121" s="15">
        <f t="shared" si="6"/>
        <v>1460</v>
      </c>
      <c r="M121" s="16"/>
      <c r="N121" s="16"/>
      <c r="O121" s="15">
        <f t="shared" si="7"/>
        <v>18250</v>
      </c>
      <c r="P121" s="15">
        <f t="shared" si="8"/>
        <v>619710</v>
      </c>
      <c r="Q121" s="15">
        <f t="shared" si="9"/>
        <v>-86810</v>
      </c>
      <c r="R121" s="17">
        <v>924</v>
      </c>
    </row>
    <row r="122" spans="1:18" ht="16.5" x14ac:dyDescent="0.25">
      <c r="A122" s="12">
        <v>925</v>
      </c>
      <c r="B122" s="13" t="s">
        <v>134</v>
      </c>
      <c r="C122" s="13" t="s">
        <v>25</v>
      </c>
      <c r="D122" s="14"/>
      <c r="E122" s="15">
        <v>6400</v>
      </c>
      <c r="F122" s="15">
        <v>400</v>
      </c>
      <c r="G122" s="15">
        <v>400</v>
      </c>
      <c r="H122" s="15">
        <f t="shared" si="10"/>
        <v>7200</v>
      </c>
      <c r="I122" s="15">
        <f t="shared" si="11"/>
        <v>0</v>
      </c>
      <c r="J122" s="16"/>
      <c r="K122" s="15"/>
      <c r="L122" s="15">
        <f t="shared" si="6"/>
        <v>0</v>
      </c>
      <c r="M122" s="20"/>
      <c r="N122" s="20"/>
      <c r="O122" s="15">
        <f t="shared" si="7"/>
        <v>0</v>
      </c>
      <c r="P122" s="15">
        <f t="shared" si="8"/>
        <v>0</v>
      </c>
      <c r="Q122" s="15">
        <f t="shared" si="9"/>
        <v>0</v>
      </c>
      <c r="R122" s="17">
        <v>925</v>
      </c>
    </row>
    <row r="123" spans="1:18" ht="16.5" x14ac:dyDescent="0.25">
      <c r="A123" s="12">
        <v>927</v>
      </c>
      <c r="B123" s="13" t="s">
        <v>135</v>
      </c>
      <c r="C123" s="13" t="s">
        <v>25</v>
      </c>
      <c r="D123" s="19">
        <v>91</v>
      </c>
      <c r="E123" s="15">
        <v>6400</v>
      </c>
      <c r="F123" s="15">
        <v>400</v>
      </c>
      <c r="G123" s="15">
        <v>400</v>
      </c>
      <c r="H123" s="15">
        <f t="shared" si="10"/>
        <v>7200</v>
      </c>
      <c r="I123" s="15">
        <f t="shared" si="11"/>
        <v>655200</v>
      </c>
      <c r="J123" s="20"/>
      <c r="K123" s="15">
        <v>200000</v>
      </c>
      <c r="L123" s="15">
        <f t="shared" si="6"/>
        <v>1820</v>
      </c>
      <c r="M123" s="20"/>
      <c r="N123" s="20"/>
      <c r="O123" s="15">
        <f t="shared" si="7"/>
        <v>22750</v>
      </c>
      <c r="P123" s="15">
        <f t="shared" si="8"/>
        <v>224570</v>
      </c>
      <c r="Q123" s="15">
        <f t="shared" si="9"/>
        <v>430630</v>
      </c>
      <c r="R123" s="17">
        <v>927</v>
      </c>
    </row>
    <row r="124" spans="1:18" ht="16.5" x14ac:dyDescent="0.25">
      <c r="A124" s="12">
        <v>930</v>
      </c>
      <c r="B124" s="13" t="s">
        <v>136</v>
      </c>
      <c r="C124" s="13" t="s">
        <v>21</v>
      </c>
      <c r="D124" s="19"/>
      <c r="E124" s="15">
        <v>6400</v>
      </c>
      <c r="F124" s="15">
        <v>300</v>
      </c>
      <c r="G124" s="15">
        <v>400</v>
      </c>
      <c r="H124" s="15">
        <f t="shared" si="10"/>
        <v>7100</v>
      </c>
      <c r="I124" s="15">
        <f t="shared" si="11"/>
        <v>0</v>
      </c>
      <c r="J124" s="20"/>
      <c r="K124" s="15"/>
      <c r="L124" s="15">
        <f t="shared" si="6"/>
        <v>0</v>
      </c>
      <c r="M124" s="16"/>
      <c r="N124" s="16"/>
      <c r="O124" s="15">
        <f t="shared" si="7"/>
        <v>0</v>
      </c>
      <c r="P124" s="15">
        <f t="shared" si="8"/>
        <v>0</v>
      </c>
      <c r="Q124" s="15">
        <f t="shared" si="9"/>
        <v>0</v>
      </c>
      <c r="R124" s="17">
        <v>930</v>
      </c>
    </row>
    <row r="125" spans="1:18" ht="16.5" x14ac:dyDescent="0.25">
      <c r="A125" s="12">
        <v>931</v>
      </c>
      <c r="B125" s="13" t="s">
        <v>137</v>
      </c>
      <c r="C125" s="13" t="s">
        <v>138</v>
      </c>
      <c r="D125" s="14"/>
      <c r="E125" s="15">
        <v>6400</v>
      </c>
      <c r="F125" s="15">
        <v>400</v>
      </c>
      <c r="G125" s="15">
        <v>400</v>
      </c>
      <c r="H125" s="15">
        <f t="shared" si="10"/>
        <v>7200</v>
      </c>
      <c r="I125" s="15">
        <f t="shared" si="11"/>
        <v>0</v>
      </c>
      <c r="J125" s="16"/>
      <c r="K125" s="15"/>
      <c r="L125" s="15">
        <f t="shared" si="6"/>
        <v>0</v>
      </c>
      <c r="M125" s="16"/>
      <c r="N125" s="16"/>
      <c r="O125" s="15">
        <f t="shared" si="7"/>
        <v>0</v>
      </c>
      <c r="P125" s="15">
        <f t="shared" si="8"/>
        <v>0</v>
      </c>
      <c r="Q125" s="15">
        <f t="shared" si="9"/>
        <v>0</v>
      </c>
      <c r="R125" s="17">
        <v>931</v>
      </c>
    </row>
    <row r="126" spans="1:18" ht="16.5" x14ac:dyDescent="0.25">
      <c r="A126" s="12">
        <v>933</v>
      </c>
      <c r="B126" s="13" t="s">
        <v>264</v>
      </c>
      <c r="C126" s="13" t="s">
        <v>420</v>
      </c>
      <c r="D126" s="14">
        <v>121</v>
      </c>
      <c r="E126" s="15">
        <v>6400</v>
      </c>
      <c r="F126" s="15">
        <v>500</v>
      </c>
      <c r="G126" s="15">
        <v>400</v>
      </c>
      <c r="H126" s="15">
        <f t="shared" si="10"/>
        <v>7300</v>
      </c>
      <c r="I126" s="15">
        <f t="shared" si="11"/>
        <v>883300</v>
      </c>
      <c r="J126" s="16"/>
      <c r="K126" s="15">
        <v>200000</v>
      </c>
      <c r="L126" s="15">
        <f t="shared" si="6"/>
        <v>2420</v>
      </c>
      <c r="M126" s="20"/>
      <c r="N126" s="20"/>
      <c r="O126" s="15">
        <f t="shared" si="7"/>
        <v>30250</v>
      </c>
      <c r="P126" s="15">
        <f t="shared" si="8"/>
        <v>232670</v>
      </c>
      <c r="Q126" s="15">
        <f t="shared" si="9"/>
        <v>650630</v>
      </c>
      <c r="R126" s="17">
        <v>933</v>
      </c>
    </row>
    <row r="127" spans="1:18" ht="16.5" x14ac:dyDescent="0.25">
      <c r="A127" s="12">
        <v>936</v>
      </c>
      <c r="B127" s="13" t="s">
        <v>69</v>
      </c>
      <c r="C127" s="13" t="s">
        <v>36</v>
      </c>
      <c r="D127" s="19">
        <v>259</v>
      </c>
      <c r="E127" s="15">
        <v>6400</v>
      </c>
      <c r="F127" s="15">
        <v>500</v>
      </c>
      <c r="G127" s="15">
        <v>400</v>
      </c>
      <c r="H127" s="15">
        <f t="shared" si="10"/>
        <v>7300</v>
      </c>
      <c r="I127" s="15">
        <f t="shared" si="11"/>
        <v>1890700</v>
      </c>
      <c r="J127" s="20"/>
      <c r="K127" s="15"/>
      <c r="L127" s="15">
        <f t="shared" si="6"/>
        <v>5180</v>
      </c>
      <c r="M127" s="16"/>
      <c r="N127" s="16"/>
      <c r="O127" s="15">
        <f t="shared" si="7"/>
        <v>64750</v>
      </c>
      <c r="P127" s="15">
        <f t="shared" si="8"/>
        <v>69930</v>
      </c>
      <c r="Q127" s="15">
        <f t="shared" si="9"/>
        <v>1820770</v>
      </c>
      <c r="R127" s="17">
        <v>936</v>
      </c>
    </row>
    <row r="128" spans="1:18" ht="16.5" x14ac:dyDescent="0.25">
      <c r="A128" s="12">
        <v>938</v>
      </c>
      <c r="B128" s="13" t="s">
        <v>139</v>
      </c>
      <c r="C128" s="13" t="s">
        <v>36</v>
      </c>
      <c r="D128" s="14">
        <v>183</v>
      </c>
      <c r="E128" s="15">
        <v>6400</v>
      </c>
      <c r="F128" s="15">
        <v>600</v>
      </c>
      <c r="G128" s="15">
        <v>400</v>
      </c>
      <c r="H128" s="15">
        <f t="shared" si="10"/>
        <v>7400</v>
      </c>
      <c r="I128" s="15">
        <f t="shared" si="11"/>
        <v>1354200</v>
      </c>
      <c r="J128" s="16"/>
      <c r="K128" s="15"/>
      <c r="L128" s="15">
        <f t="shared" si="6"/>
        <v>3660</v>
      </c>
      <c r="M128" s="16"/>
      <c r="N128" s="16"/>
      <c r="O128" s="15">
        <f t="shared" si="7"/>
        <v>45750</v>
      </c>
      <c r="P128" s="15">
        <f t="shared" si="8"/>
        <v>49410</v>
      </c>
      <c r="Q128" s="15">
        <f t="shared" si="9"/>
        <v>1304790</v>
      </c>
      <c r="R128" s="17">
        <v>938</v>
      </c>
    </row>
    <row r="129" spans="1:18" ht="16.5" x14ac:dyDescent="0.25">
      <c r="A129" s="12">
        <v>939</v>
      </c>
      <c r="B129" s="13" t="s">
        <v>140</v>
      </c>
      <c r="C129" s="13" t="s">
        <v>25</v>
      </c>
      <c r="D129" s="14">
        <v>125</v>
      </c>
      <c r="E129" s="15">
        <v>6400</v>
      </c>
      <c r="F129" s="15">
        <v>400</v>
      </c>
      <c r="G129" s="15">
        <v>400</v>
      </c>
      <c r="H129" s="15">
        <f t="shared" si="10"/>
        <v>7200</v>
      </c>
      <c r="I129" s="15">
        <f t="shared" si="11"/>
        <v>900000</v>
      </c>
      <c r="J129" s="16"/>
      <c r="K129" s="23">
        <v>500000</v>
      </c>
      <c r="L129" s="15">
        <f t="shared" si="6"/>
        <v>2500</v>
      </c>
      <c r="M129" s="16"/>
      <c r="N129" s="16"/>
      <c r="O129" s="15">
        <f t="shared" si="7"/>
        <v>31250</v>
      </c>
      <c r="P129" s="15">
        <f t="shared" si="8"/>
        <v>533750</v>
      </c>
      <c r="Q129" s="15">
        <f t="shared" si="9"/>
        <v>366250</v>
      </c>
      <c r="R129" s="17">
        <v>939</v>
      </c>
    </row>
    <row r="130" spans="1:18" ht="16.5" x14ac:dyDescent="0.25">
      <c r="A130" s="12">
        <v>946</v>
      </c>
      <c r="B130" s="13" t="s">
        <v>141</v>
      </c>
      <c r="C130" s="13" t="s">
        <v>23</v>
      </c>
      <c r="D130" s="14">
        <v>553</v>
      </c>
      <c r="E130" s="15">
        <v>6400</v>
      </c>
      <c r="F130" s="15">
        <v>500</v>
      </c>
      <c r="G130" s="15">
        <v>400</v>
      </c>
      <c r="H130" s="15">
        <f t="shared" si="10"/>
        <v>7300</v>
      </c>
      <c r="I130" s="15">
        <f t="shared" si="11"/>
        <v>4036900</v>
      </c>
      <c r="J130" s="16"/>
      <c r="K130" s="15">
        <v>600000</v>
      </c>
      <c r="L130" s="15">
        <f t="shared" si="6"/>
        <v>11060</v>
      </c>
      <c r="M130" s="20"/>
      <c r="N130" s="20"/>
      <c r="O130" s="15">
        <f t="shared" si="7"/>
        <v>138250</v>
      </c>
      <c r="P130" s="15">
        <f t="shared" si="8"/>
        <v>749310</v>
      </c>
      <c r="Q130" s="15">
        <f t="shared" si="9"/>
        <v>3287590</v>
      </c>
      <c r="R130" s="17">
        <v>946</v>
      </c>
    </row>
    <row r="131" spans="1:18" ht="16.5" x14ac:dyDescent="0.25">
      <c r="A131" s="12">
        <v>948</v>
      </c>
      <c r="B131" s="13" t="s">
        <v>142</v>
      </c>
      <c r="C131" s="13" t="s">
        <v>25</v>
      </c>
      <c r="D131" s="19"/>
      <c r="E131" s="15">
        <v>6400</v>
      </c>
      <c r="F131" s="15">
        <v>300</v>
      </c>
      <c r="G131" s="15">
        <v>400</v>
      </c>
      <c r="H131" s="15">
        <f t="shared" si="10"/>
        <v>7100</v>
      </c>
      <c r="I131" s="15">
        <f t="shared" si="11"/>
        <v>0</v>
      </c>
      <c r="J131" s="20"/>
      <c r="K131" s="15"/>
      <c r="L131" s="15">
        <f t="shared" si="6"/>
        <v>0</v>
      </c>
      <c r="M131" s="16"/>
      <c r="N131" s="16"/>
      <c r="O131" s="15">
        <f t="shared" si="7"/>
        <v>0</v>
      </c>
      <c r="P131" s="15">
        <f t="shared" si="8"/>
        <v>0</v>
      </c>
      <c r="Q131" s="15">
        <f t="shared" si="9"/>
        <v>0</v>
      </c>
      <c r="R131" s="17">
        <v>948</v>
      </c>
    </row>
    <row r="132" spans="1:18" ht="16.5" x14ac:dyDescent="0.25">
      <c r="A132" s="12">
        <v>951</v>
      </c>
      <c r="B132" s="13" t="s">
        <v>143</v>
      </c>
      <c r="C132" s="13" t="s">
        <v>25</v>
      </c>
      <c r="D132" s="14"/>
      <c r="E132" s="15">
        <v>6400</v>
      </c>
      <c r="F132" s="15">
        <v>300</v>
      </c>
      <c r="G132" s="15">
        <v>400</v>
      </c>
      <c r="H132" s="15">
        <f t="shared" si="10"/>
        <v>7100</v>
      </c>
      <c r="I132" s="15">
        <f t="shared" si="11"/>
        <v>0</v>
      </c>
      <c r="J132" s="16"/>
      <c r="K132" s="15"/>
      <c r="L132" s="15">
        <f t="shared" si="6"/>
        <v>0</v>
      </c>
      <c r="M132" s="16"/>
      <c r="N132" s="16"/>
      <c r="O132" s="15">
        <f t="shared" si="7"/>
        <v>0</v>
      </c>
      <c r="P132" s="15">
        <f t="shared" si="8"/>
        <v>0</v>
      </c>
      <c r="Q132" s="15">
        <f t="shared" si="9"/>
        <v>0</v>
      </c>
      <c r="R132" s="17">
        <v>951</v>
      </c>
    </row>
    <row r="133" spans="1:18" ht="16.5" x14ac:dyDescent="0.25">
      <c r="A133" s="12">
        <v>952</v>
      </c>
      <c r="B133" s="13" t="s">
        <v>144</v>
      </c>
      <c r="C133" s="13" t="s">
        <v>43</v>
      </c>
      <c r="D133" s="14"/>
      <c r="E133" s="15">
        <v>6400</v>
      </c>
      <c r="F133" s="15">
        <v>400</v>
      </c>
      <c r="G133" s="15">
        <v>400</v>
      </c>
      <c r="H133" s="15">
        <f t="shared" si="10"/>
        <v>7200</v>
      </c>
      <c r="I133" s="15">
        <f t="shared" si="11"/>
        <v>0</v>
      </c>
      <c r="J133" s="16"/>
      <c r="K133" s="15">
        <v>200000</v>
      </c>
      <c r="L133" s="15">
        <f t="shared" ref="L133:L196" si="12">D133*20</f>
        <v>0</v>
      </c>
      <c r="M133" s="20"/>
      <c r="N133" s="20"/>
      <c r="O133" s="15">
        <f t="shared" ref="O133:O196" si="13">250*D133</f>
        <v>0</v>
      </c>
      <c r="P133" s="15">
        <f t="shared" ref="P133:P196" si="14">SUM(J133:O133)</f>
        <v>200000</v>
      </c>
      <c r="Q133" s="15">
        <f t="shared" ref="Q133:Q196" si="15">I133-P133</f>
        <v>-200000</v>
      </c>
      <c r="R133" s="17">
        <v>952</v>
      </c>
    </row>
    <row r="134" spans="1:18" ht="16.5" x14ac:dyDescent="0.25">
      <c r="A134" s="12">
        <v>953</v>
      </c>
      <c r="B134" s="13" t="s">
        <v>145</v>
      </c>
      <c r="C134" s="13" t="s">
        <v>25</v>
      </c>
      <c r="D134" s="19">
        <v>58</v>
      </c>
      <c r="E134" s="15">
        <v>6400</v>
      </c>
      <c r="F134" s="15">
        <v>400</v>
      </c>
      <c r="G134" s="15">
        <v>400</v>
      </c>
      <c r="H134" s="15">
        <f t="shared" ref="H134:H197" si="16">SUM(E134:G134)</f>
        <v>7200</v>
      </c>
      <c r="I134" s="15">
        <f t="shared" ref="I134:I197" si="17">H134*D134</f>
        <v>417600</v>
      </c>
      <c r="J134" s="20"/>
      <c r="K134" s="15">
        <v>100000</v>
      </c>
      <c r="L134" s="15">
        <f t="shared" si="12"/>
        <v>1160</v>
      </c>
      <c r="M134" s="20"/>
      <c r="N134" s="20"/>
      <c r="O134" s="15">
        <f t="shared" si="13"/>
        <v>14500</v>
      </c>
      <c r="P134" s="15">
        <f t="shared" si="14"/>
        <v>115660</v>
      </c>
      <c r="Q134" s="15">
        <f t="shared" si="15"/>
        <v>301940</v>
      </c>
      <c r="R134" s="17">
        <v>953</v>
      </c>
    </row>
    <row r="135" spans="1:18" ht="16.5" x14ac:dyDescent="0.25">
      <c r="A135" s="12">
        <v>957</v>
      </c>
      <c r="B135" s="13" t="s">
        <v>146</v>
      </c>
      <c r="C135" s="13" t="s">
        <v>43</v>
      </c>
      <c r="D135" s="19"/>
      <c r="E135" s="15">
        <v>6400</v>
      </c>
      <c r="F135" s="15">
        <v>400</v>
      </c>
      <c r="G135" s="15">
        <v>400</v>
      </c>
      <c r="H135" s="15">
        <f t="shared" si="16"/>
        <v>7200</v>
      </c>
      <c r="I135" s="15">
        <f t="shared" si="17"/>
        <v>0</v>
      </c>
      <c r="J135" s="20"/>
      <c r="K135" s="15"/>
      <c r="L135" s="15">
        <f t="shared" si="12"/>
        <v>0</v>
      </c>
      <c r="M135" s="20"/>
      <c r="N135" s="20"/>
      <c r="O135" s="15">
        <f t="shared" si="13"/>
        <v>0</v>
      </c>
      <c r="P135" s="15">
        <f t="shared" si="14"/>
        <v>0</v>
      </c>
      <c r="Q135" s="15">
        <f t="shared" si="15"/>
        <v>0</v>
      </c>
      <c r="R135" s="17">
        <v>957</v>
      </c>
    </row>
    <row r="136" spans="1:18" ht="16.5" x14ac:dyDescent="0.25">
      <c r="A136" s="12">
        <v>959</v>
      </c>
      <c r="B136" s="13" t="s">
        <v>147</v>
      </c>
      <c r="C136" s="13" t="s">
        <v>43</v>
      </c>
      <c r="D136" s="19"/>
      <c r="E136" s="15">
        <v>6400</v>
      </c>
      <c r="F136" s="15">
        <v>300</v>
      </c>
      <c r="G136" s="15">
        <v>400</v>
      </c>
      <c r="H136" s="15">
        <f t="shared" si="16"/>
        <v>7100</v>
      </c>
      <c r="I136" s="15">
        <f t="shared" si="17"/>
        <v>0</v>
      </c>
      <c r="J136" s="20"/>
      <c r="K136" s="15"/>
      <c r="L136" s="15">
        <f t="shared" si="12"/>
        <v>0</v>
      </c>
      <c r="M136" s="20"/>
      <c r="N136" s="20"/>
      <c r="O136" s="15">
        <f t="shared" si="13"/>
        <v>0</v>
      </c>
      <c r="P136" s="15">
        <f t="shared" si="14"/>
        <v>0</v>
      </c>
      <c r="Q136" s="15">
        <f t="shared" si="15"/>
        <v>0</v>
      </c>
      <c r="R136" s="17">
        <v>959</v>
      </c>
    </row>
    <row r="137" spans="1:18" ht="16.5" x14ac:dyDescent="0.25">
      <c r="A137" s="12">
        <v>962</v>
      </c>
      <c r="B137" s="13" t="s">
        <v>148</v>
      </c>
      <c r="C137" s="13" t="s">
        <v>21</v>
      </c>
      <c r="D137" s="19"/>
      <c r="E137" s="15">
        <v>6400</v>
      </c>
      <c r="F137" s="15">
        <v>300</v>
      </c>
      <c r="G137" s="15">
        <v>400</v>
      </c>
      <c r="H137" s="15">
        <f t="shared" si="16"/>
        <v>7100</v>
      </c>
      <c r="I137" s="15">
        <f t="shared" si="17"/>
        <v>0</v>
      </c>
      <c r="J137" s="20"/>
      <c r="K137" s="15"/>
      <c r="L137" s="15">
        <f t="shared" si="12"/>
        <v>0</v>
      </c>
      <c r="M137" s="16"/>
      <c r="N137" s="16"/>
      <c r="O137" s="15">
        <f t="shared" si="13"/>
        <v>0</v>
      </c>
      <c r="P137" s="15">
        <f t="shared" si="14"/>
        <v>0</v>
      </c>
      <c r="Q137" s="15">
        <f t="shared" si="15"/>
        <v>0</v>
      </c>
      <c r="R137" s="17">
        <v>962</v>
      </c>
    </row>
    <row r="138" spans="1:18" ht="16.5" x14ac:dyDescent="0.25">
      <c r="A138" s="12">
        <v>963</v>
      </c>
      <c r="B138" s="13" t="s">
        <v>149</v>
      </c>
      <c r="C138" s="13" t="s">
        <v>25</v>
      </c>
      <c r="D138" s="14"/>
      <c r="E138" s="15">
        <v>6400</v>
      </c>
      <c r="F138" s="15">
        <v>300</v>
      </c>
      <c r="G138" s="15">
        <v>400</v>
      </c>
      <c r="H138" s="15">
        <f t="shared" si="16"/>
        <v>7100</v>
      </c>
      <c r="I138" s="15">
        <f t="shared" si="17"/>
        <v>0</v>
      </c>
      <c r="J138" s="16"/>
      <c r="K138" s="15"/>
      <c r="L138" s="15">
        <f t="shared" si="12"/>
        <v>0</v>
      </c>
      <c r="M138" s="16"/>
      <c r="N138" s="16"/>
      <c r="O138" s="15">
        <f t="shared" si="13"/>
        <v>0</v>
      </c>
      <c r="P138" s="15">
        <f t="shared" si="14"/>
        <v>0</v>
      </c>
      <c r="Q138" s="15">
        <f t="shared" si="15"/>
        <v>0</v>
      </c>
      <c r="R138" s="17">
        <v>963</v>
      </c>
    </row>
    <row r="139" spans="1:18" ht="16.5" x14ac:dyDescent="0.25">
      <c r="A139" s="12">
        <v>964</v>
      </c>
      <c r="B139" s="13" t="s">
        <v>150</v>
      </c>
      <c r="C139" s="13" t="s">
        <v>47</v>
      </c>
      <c r="D139" s="14">
        <v>81</v>
      </c>
      <c r="E139" s="15">
        <v>6400</v>
      </c>
      <c r="F139" s="15">
        <v>400</v>
      </c>
      <c r="G139" s="15">
        <v>400</v>
      </c>
      <c r="H139" s="15">
        <f t="shared" si="16"/>
        <v>7200</v>
      </c>
      <c r="I139" s="15">
        <f t="shared" si="17"/>
        <v>583200</v>
      </c>
      <c r="J139" s="16"/>
      <c r="K139" s="15">
        <v>800000</v>
      </c>
      <c r="L139" s="15">
        <f t="shared" si="12"/>
        <v>1620</v>
      </c>
      <c r="M139" s="16"/>
      <c r="N139" s="16"/>
      <c r="O139" s="15">
        <f t="shared" si="13"/>
        <v>20250</v>
      </c>
      <c r="P139" s="15">
        <f t="shared" si="14"/>
        <v>821870</v>
      </c>
      <c r="Q139" s="15">
        <f t="shared" si="15"/>
        <v>-238670</v>
      </c>
      <c r="R139" s="17">
        <v>964</v>
      </c>
    </row>
    <row r="140" spans="1:18" ht="16.5" x14ac:dyDescent="0.25">
      <c r="A140" s="12">
        <v>965</v>
      </c>
      <c r="B140" s="13" t="s">
        <v>151</v>
      </c>
      <c r="C140" s="13" t="s">
        <v>19</v>
      </c>
      <c r="D140" s="14"/>
      <c r="E140" s="15">
        <v>6400</v>
      </c>
      <c r="F140" s="15">
        <v>400</v>
      </c>
      <c r="G140" s="15">
        <v>400</v>
      </c>
      <c r="H140" s="15">
        <f t="shared" si="16"/>
        <v>7200</v>
      </c>
      <c r="I140" s="15">
        <f t="shared" si="17"/>
        <v>0</v>
      </c>
      <c r="J140" s="16"/>
      <c r="K140" s="15">
        <v>1000000</v>
      </c>
      <c r="L140" s="15">
        <f t="shared" si="12"/>
        <v>0</v>
      </c>
      <c r="M140" s="20"/>
      <c r="N140" s="20"/>
      <c r="O140" s="15">
        <f t="shared" si="13"/>
        <v>0</v>
      </c>
      <c r="P140" s="15">
        <f t="shared" si="14"/>
        <v>1000000</v>
      </c>
      <c r="Q140" s="15">
        <f t="shared" si="15"/>
        <v>-1000000</v>
      </c>
      <c r="R140" s="17">
        <v>965</v>
      </c>
    </row>
    <row r="141" spans="1:18" ht="16.5" x14ac:dyDescent="0.25">
      <c r="A141" s="12">
        <v>967</v>
      </c>
      <c r="B141" s="13" t="s">
        <v>152</v>
      </c>
      <c r="C141" s="13" t="s">
        <v>30</v>
      </c>
      <c r="D141" s="19"/>
      <c r="E141" s="15">
        <v>6400</v>
      </c>
      <c r="F141" s="15">
        <v>300</v>
      </c>
      <c r="G141" s="15">
        <v>400</v>
      </c>
      <c r="H141" s="15">
        <f t="shared" si="16"/>
        <v>7100</v>
      </c>
      <c r="I141" s="15">
        <f t="shared" si="17"/>
        <v>0</v>
      </c>
      <c r="J141" s="20"/>
      <c r="K141" s="15"/>
      <c r="L141" s="15">
        <f t="shared" si="12"/>
        <v>0</v>
      </c>
      <c r="M141" s="16"/>
      <c r="N141" s="16"/>
      <c r="O141" s="15">
        <f t="shared" si="13"/>
        <v>0</v>
      </c>
      <c r="P141" s="15">
        <f t="shared" si="14"/>
        <v>0</v>
      </c>
      <c r="Q141" s="15">
        <f t="shared" si="15"/>
        <v>0</v>
      </c>
      <c r="R141" s="17">
        <v>967</v>
      </c>
    </row>
    <row r="142" spans="1:18" ht="16.5" x14ac:dyDescent="0.25">
      <c r="A142" s="12">
        <v>969</v>
      </c>
      <c r="B142" s="13" t="s">
        <v>153</v>
      </c>
      <c r="C142" s="13" t="s">
        <v>25</v>
      </c>
      <c r="D142" s="14"/>
      <c r="E142" s="15">
        <v>6400</v>
      </c>
      <c r="F142" s="15">
        <v>300</v>
      </c>
      <c r="G142" s="15">
        <v>400</v>
      </c>
      <c r="H142" s="15">
        <f t="shared" si="16"/>
        <v>7100</v>
      </c>
      <c r="I142" s="15">
        <f t="shared" si="17"/>
        <v>0</v>
      </c>
      <c r="J142" s="16"/>
      <c r="K142" s="15"/>
      <c r="L142" s="15">
        <f t="shared" si="12"/>
        <v>0</v>
      </c>
      <c r="M142" s="20"/>
      <c r="N142" s="20"/>
      <c r="O142" s="15">
        <f t="shared" si="13"/>
        <v>0</v>
      </c>
      <c r="P142" s="15">
        <f t="shared" si="14"/>
        <v>0</v>
      </c>
      <c r="Q142" s="15">
        <f t="shared" si="15"/>
        <v>0</v>
      </c>
      <c r="R142" s="17">
        <v>969</v>
      </c>
    </row>
    <row r="143" spans="1:18" ht="16.5" x14ac:dyDescent="0.25">
      <c r="A143" s="12">
        <v>976</v>
      </c>
      <c r="B143" s="13" t="s">
        <v>154</v>
      </c>
      <c r="C143" s="13" t="s">
        <v>54</v>
      </c>
      <c r="D143" s="19"/>
      <c r="E143" s="15">
        <v>6400</v>
      </c>
      <c r="F143" s="15">
        <v>300</v>
      </c>
      <c r="G143" s="15">
        <v>400</v>
      </c>
      <c r="H143" s="15">
        <f t="shared" si="16"/>
        <v>7100</v>
      </c>
      <c r="I143" s="15">
        <f t="shared" si="17"/>
        <v>0</v>
      </c>
      <c r="J143" s="20"/>
      <c r="K143" s="15"/>
      <c r="L143" s="15">
        <f t="shared" si="12"/>
        <v>0</v>
      </c>
      <c r="M143" s="16"/>
      <c r="N143" s="16"/>
      <c r="O143" s="15">
        <f t="shared" si="13"/>
        <v>0</v>
      </c>
      <c r="P143" s="15">
        <f t="shared" si="14"/>
        <v>0</v>
      </c>
      <c r="Q143" s="15">
        <f t="shared" si="15"/>
        <v>0</v>
      </c>
      <c r="R143" s="17">
        <v>976</v>
      </c>
    </row>
    <row r="144" spans="1:18" ht="16.5" x14ac:dyDescent="0.25">
      <c r="A144" s="12">
        <v>980</v>
      </c>
      <c r="B144" s="13" t="s">
        <v>155</v>
      </c>
      <c r="C144" s="13" t="s">
        <v>25</v>
      </c>
      <c r="D144" s="16"/>
      <c r="E144" s="15">
        <v>6400</v>
      </c>
      <c r="F144" s="15">
        <v>500</v>
      </c>
      <c r="G144" s="15">
        <v>400</v>
      </c>
      <c r="H144" s="15">
        <f t="shared" si="16"/>
        <v>7300</v>
      </c>
      <c r="I144" s="15">
        <f t="shared" si="17"/>
        <v>0</v>
      </c>
      <c r="J144" s="16"/>
      <c r="K144" s="15"/>
      <c r="L144" s="15">
        <f t="shared" si="12"/>
        <v>0</v>
      </c>
      <c r="M144" s="16"/>
      <c r="N144" s="16"/>
      <c r="O144" s="15">
        <f t="shared" si="13"/>
        <v>0</v>
      </c>
      <c r="P144" s="15">
        <f t="shared" si="14"/>
        <v>0</v>
      </c>
      <c r="Q144" s="15">
        <f t="shared" si="15"/>
        <v>0</v>
      </c>
      <c r="R144" s="17">
        <v>980</v>
      </c>
    </row>
    <row r="145" spans="1:18" ht="16.5" x14ac:dyDescent="0.25">
      <c r="A145" s="12">
        <v>983</v>
      </c>
      <c r="B145" s="13" t="s">
        <v>156</v>
      </c>
      <c r="C145" s="13" t="s">
        <v>138</v>
      </c>
      <c r="D145" s="14">
        <v>124</v>
      </c>
      <c r="E145" s="15">
        <v>6400</v>
      </c>
      <c r="F145" s="15">
        <v>500</v>
      </c>
      <c r="G145" s="15">
        <v>400</v>
      </c>
      <c r="H145" s="15">
        <f t="shared" si="16"/>
        <v>7300</v>
      </c>
      <c r="I145" s="15">
        <f t="shared" si="17"/>
        <v>905200</v>
      </c>
      <c r="J145" s="16"/>
      <c r="K145" s="15"/>
      <c r="L145" s="15">
        <f t="shared" si="12"/>
        <v>2480</v>
      </c>
      <c r="M145" s="16"/>
      <c r="N145" s="16"/>
      <c r="O145" s="15">
        <f t="shared" si="13"/>
        <v>31000</v>
      </c>
      <c r="P145" s="15">
        <f t="shared" si="14"/>
        <v>33480</v>
      </c>
      <c r="Q145" s="15">
        <f t="shared" si="15"/>
        <v>871720</v>
      </c>
      <c r="R145" s="17">
        <v>983</v>
      </c>
    </row>
    <row r="146" spans="1:18" ht="16.5" x14ac:dyDescent="0.25">
      <c r="A146" s="12">
        <v>984</v>
      </c>
      <c r="B146" s="13" t="s">
        <v>157</v>
      </c>
      <c r="C146" s="13" t="s">
        <v>30</v>
      </c>
      <c r="D146" s="14">
        <v>78</v>
      </c>
      <c r="E146" s="15">
        <v>6400</v>
      </c>
      <c r="F146" s="15">
        <v>400</v>
      </c>
      <c r="G146" s="15">
        <v>400</v>
      </c>
      <c r="H146" s="15">
        <f t="shared" si="16"/>
        <v>7200</v>
      </c>
      <c r="I146" s="15">
        <f t="shared" si="17"/>
        <v>561600</v>
      </c>
      <c r="J146" s="16"/>
      <c r="K146" s="15"/>
      <c r="L146" s="15">
        <f t="shared" si="12"/>
        <v>1560</v>
      </c>
      <c r="M146" s="16"/>
      <c r="N146" s="16"/>
      <c r="O146" s="15">
        <f t="shared" si="13"/>
        <v>19500</v>
      </c>
      <c r="P146" s="15">
        <f t="shared" si="14"/>
        <v>21060</v>
      </c>
      <c r="Q146" s="15">
        <f t="shared" si="15"/>
        <v>540540</v>
      </c>
      <c r="R146" s="17">
        <v>984</v>
      </c>
    </row>
    <row r="147" spans="1:18" ht="16.5" x14ac:dyDescent="0.25">
      <c r="A147" s="12">
        <v>986</v>
      </c>
      <c r="B147" s="13" t="s">
        <v>158</v>
      </c>
      <c r="C147" s="13" t="s">
        <v>25</v>
      </c>
      <c r="D147" s="14"/>
      <c r="E147" s="15">
        <v>6400</v>
      </c>
      <c r="F147" s="15">
        <v>300</v>
      </c>
      <c r="G147" s="15">
        <v>400</v>
      </c>
      <c r="H147" s="15">
        <f t="shared" si="16"/>
        <v>7100</v>
      </c>
      <c r="I147" s="15">
        <f t="shared" si="17"/>
        <v>0</v>
      </c>
      <c r="J147" s="16"/>
      <c r="K147" s="15"/>
      <c r="L147" s="15">
        <f t="shared" si="12"/>
        <v>0</v>
      </c>
      <c r="M147" s="20"/>
      <c r="N147" s="20"/>
      <c r="O147" s="15">
        <f t="shared" si="13"/>
        <v>0</v>
      </c>
      <c r="P147" s="15">
        <f t="shared" si="14"/>
        <v>0</v>
      </c>
      <c r="Q147" s="15">
        <f t="shared" si="15"/>
        <v>0</v>
      </c>
      <c r="R147" s="17">
        <v>986</v>
      </c>
    </row>
    <row r="148" spans="1:18" ht="16.5" x14ac:dyDescent="0.25">
      <c r="A148" s="12">
        <v>993</v>
      </c>
      <c r="B148" s="13" t="s">
        <v>99</v>
      </c>
      <c r="C148" s="13" t="s">
        <v>47</v>
      </c>
      <c r="D148" s="19"/>
      <c r="E148" s="15">
        <v>6400</v>
      </c>
      <c r="F148" s="15">
        <v>300</v>
      </c>
      <c r="G148" s="15">
        <v>400</v>
      </c>
      <c r="H148" s="15">
        <f t="shared" si="16"/>
        <v>7100</v>
      </c>
      <c r="I148" s="15">
        <f t="shared" si="17"/>
        <v>0</v>
      </c>
      <c r="J148" s="20"/>
      <c r="K148" s="15"/>
      <c r="L148" s="15">
        <f t="shared" si="12"/>
        <v>0</v>
      </c>
      <c r="M148" s="16"/>
      <c r="N148" s="16"/>
      <c r="O148" s="15">
        <f t="shared" si="13"/>
        <v>0</v>
      </c>
      <c r="P148" s="15">
        <f t="shared" si="14"/>
        <v>0</v>
      </c>
      <c r="Q148" s="15">
        <f t="shared" si="15"/>
        <v>0</v>
      </c>
      <c r="R148" s="17">
        <v>993</v>
      </c>
    </row>
    <row r="149" spans="1:18" ht="16.5" x14ac:dyDescent="0.25">
      <c r="A149" s="12">
        <v>1003</v>
      </c>
      <c r="B149" s="13" t="s">
        <v>127</v>
      </c>
      <c r="C149" s="13" t="s">
        <v>30</v>
      </c>
      <c r="D149" s="14">
        <v>286</v>
      </c>
      <c r="E149" s="15">
        <v>6400</v>
      </c>
      <c r="F149" s="15">
        <v>600</v>
      </c>
      <c r="G149" s="15">
        <v>400</v>
      </c>
      <c r="H149" s="15">
        <f t="shared" si="16"/>
        <v>7400</v>
      </c>
      <c r="I149" s="15">
        <f t="shared" si="17"/>
        <v>2116400</v>
      </c>
      <c r="J149" s="16"/>
      <c r="K149" s="15"/>
      <c r="L149" s="15">
        <f t="shared" si="12"/>
        <v>5720</v>
      </c>
      <c r="M149" s="16"/>
      <c r="N149" s="16"/>
      <c r="O149" s="15">
        <f t="shared" si="13"/>
        <v>71500</v>
      </c>
      <c r="P149" s="15">
        <f t="shared" si="14"/>
        <v>77220</v>
      </c>
      <c r="Q149" s="15">
        <f t="shared" si="15"/>
        <v>2039180</v>
      </c>
      <c r="R149" s="17">
        <v>1003</v>
      </c>
    </row>
    <row r="150" spans="1:18" ht="16.5" x14ac:dyDescent="0.25">
      <c r="A150" s="12">
        <v>1005</v>
      </c>
      <c r="B150" s="13" t="s">
        <v>159</v>
      </c>
      <c r="C150" s="13" t="s">
        <v>43</v>
      </c>
      <c r="D150" s="14"/>
      <c r="E150" s="15">
        <v>6400</v>
      </c>
      <c r="F150" s="15">
        <v>300</v>
      </c>
      <c r="G150" s="15">
        <v>400</v>
      </c>
      <c r="H150" s="15">
        <f t="shared" si="16"/>
        <v>7100</v>
      </c>
      <c r="I150" s="15">
        <f t="shared" si="17"/>
        <v>0</v>
      </c>
      <c r="J150" s="16"/>
      <c r="K150" s="15"/>
      <c r="L150" s="15">
        <f t="shared" si="12"/>
        <v>0</v>
      </c>
      <c r="M150" s="16"/>
      <c r="N150" s="16"/>
      <c r="O150" s="15">
        <f t="shared" si="13"/>
        <v>0</v>
      </c>
      <c r="P150" s="15">
        <f t="shared" si="14"/>
        <v>0</v>
      </c>
      <c r="Q150" s="15">
        <f t="shared" si="15"/>
        <v>0</v>
      </c>
      <c r="R150" s="17">
        <v>1005</v>
      </c>
    </row>
    <row r="151" spans="1:18" ht="16.5" x14ac:dyDescent="0.25">
      <c r="A151" s="12">
        <v>1007</v>
      </c>
      <c r="B151" s="13" t="s">
        <v>160</v>
      </c>
      <c r="C151" s="13" t="s">
        <v>30</v>
      </c>
      <c r="D151" s="14"/>
      <c r="E151" s="15">
        <v>6400</v>
      </c>
      <c r="F151" s="15">
        <v>300</v>
      </c>
      <c r="G151" s="15">
        <v>400</v>
      </c>
      <c r="H151" s="15">
        <f t="shared" si="16"/>
        <v>7100</v>
      </c>
      <c r="I151" s="15">
        <f t="shared" si="17"/>
        <v>0</v>
      </c>
      <c r="J151" s="16"/>
      <c r="K151" s="15"/>
      <c r="L151" s="15">
        <f t="shared" si="12"/>
        <v>0</v>
      </c>
      <c r="M151" s="16"/>
      <c r="N151" s="16"/>
      <c r="O151" s="15">
        <f t="shared" si="13"/>
        <v>0</v>
      </c>
      <c r="P151" s="15">
        <f t="shared" si="14"/>
        <v>0</v>
      </c>
      <c r="Q151" s="15">
        <f t="shared" si="15"/>
        <v>0</v>
      </c>
      <c r="R151" s="17">
        <v>1007</v>
      </c>
    </row>
    <row r="152" spans="1:18" ht="16.5" x14ac:dyDescent="0.25">
      <c r="A152" s="12">
        <v>1008</v>
      </c>
      <c r="B152" s="13" t="s">
        <v>161</v>
      </c>
      <c r="C152" s="13" t="s">
        <v>82</v>
      </c>
      <c r="D152" s="14"/>
      <c r="E152" s="15">
        <v>6400</v>
      </c>
      <c r="F152" s="15">
        <v>300</v>
      </c>
      <c r="G152" s="15">
        <v>400</v>
      </c>
      <c r="H152" s="15">
        <f t="shared" si="16"/>
        <v>7100</v>
      </c>
      <c r="I152" s="15">
        <f t="shared" si="17"/>
        <v>0</v>
      </c>
      <c r="J152" s="16"/>
      <c r="K152" s="15"/>
      <c r="L152" s="15">
        <f t="shared" si="12"/>
        <v>0</v>
      </c>
      <c r="M152" s="16"/>
      <c r="N152" s="16"/>
      <c r="O152" s="15">
        <f t="shared" si="13"/>
        <v>0</v>
      </c>
      <c r="P152" s="15">
        <f t="shared" si="14"/>
        <v>0</v>
      </c>
      <c r="Q152" s="15">
        <f t="shared" si="15"/>
        <v>0</v>
      </c>
      <c r="R152" s="17">
        <v>1008</v>
      </c>
    </row>
    <row r="153" spans="1:18" ht="16.5" x14ac:dyDescent="0.25">
      <c r="A153" s="12">
        <v>1015</v>
      </c>
      <c r="B153" s="13" t="s">
        <v>421</v>
      </c>
      <c r="C153" s="13" t="s">
        <v>23</v>
      </c>
      <c r="D153" s="14"/>
      <c r="E153" s="15">
        <v>6400</v>
      </c>
      <c r="F153" s="15">
        <v>300</v>
      </c>
      <c r="G153" s="15">
        <v>400</v>
      </c>
      <c r="H153" s="15">
        <f t="shared" si="16"/>
        <v>7100</v>
      </c>
      <c r="I153" s="15">
        <f t="shared" si="17"/>
        <v>0</v>
      </c>
      <c r="J153" s="16"/>
      <c r="K153" s="15"/>
      <c r="L153" s="15">
        <f t="shared" si="12"/>
        <v>0</v>
      </c>
      <c r="M153" s="16"/>
      <c r="N153" s="16"/>
      <c r="O153" s="15">
        <f t="shared" si="13"/>
        <v>0</v>
      </c>
      <c r="P153" s="15">
        <f t="shared" si="14"/>
        <v>0</v>
      </c>
      <c r="Q153" s="15">
        <f t="shared" si="15"/>
        <v>0</v>
      </c>
      <c r="R153" s="17">
        <v>1015</v>
      </c>
    </row>
    <row r="154" spans="1:18" ht="16.5" x14ac:dyDescent="0.25">
      <c r="A154" s="12">
        <v>1019</v>
      </c>
      <c r="B154" s="13" t="s">
        <v>162</v>
      </c>
      <c r="C154" s="13" t="s">
        <v>25</v>
      </c>
      <c r="D154" s="14"/>
      <c r="E154" s="15">
        <v>6400</v>
      </c>
      <c r="F154" s="15">
        <v>300</v>
      </c>
      <c r="G154" s="15">
        <v>400</v>
      </c>
      <c r="H154" s="15">
        <f t="shared" si="16"/>
        <v>7100</v>
      </c>
      <c r="I154" s="15">
        <f t="shared" si="17"/>
        <v>0</v>
      </c>
      <c r="J154" s="16"/>
      <c r="K154" s="15"/>
      <c r="L154" s="15">
        <f t="shared" si="12"/>
        <v>0</v>
      </c>
      <c r="M154" s="20"/>
      <c r="N154" s="20"/>
      <c r="O154" s="15">
        <f t="shared" si="13"/>
        <v>0</v>
      </c>
      <c r="P154" s="15">
        <f t="shared" si="14"/>
        <v>0</v>
      </c>
      <c r="Q154" s="15">
        <f t="shared" si="15"/>
        <v>0</v>
      </c>
      <c r="R154" s="17">
        <v>1019</v>
      </c>
    </row>
    <row r="155" spans="1:18" ht="16.5" x14ac:dyDescent="0.25">
      <c r="A155" s="12">
        <v>1044</v>
      </c>
      <c r="B155" s="13" t="s">
        <v>163</v>
      </c>
      <c r="C155" s="13" t="s">
        <v>21</v>
      </c>
      <c r="D155" s="19"/>
      <c r="E155" s="15">
        <v>6400</v>
      </c>
      <c r="F155" s="15">
        <v>300</v>
      </c>
      <c r="G155" s="15">
        <v>400</v>
      </c>
      <c r="H155" s="15">
        <f t="shared" si="16"/>
        <v>7100</v>
      </c>
      <c r="I155" s="15">
        <f t="shared" si="17"/>
        <v>0</v>
      </c>
      <c r="J155" s="20"/>
      <c r="K155" s="15"/>
      <c r="L155" s="15">
        <f t="shared" si="12"/>
        <v>0</v>
      </c>
      <c r="M155" s="16"/>
      <c r="N155" s="16"/>
      <c r="O155" s="15">
        <f t="shared" si="13"/>
        <v>0</v>
      </c>
      <c r="P155" s="15">
        <f t="shared" si="14"/>
        <v>0</v>
      </c>
      <c r="Q155" s="15">
        <f t="shared" si="15"/>
        <v>0</v>
      </c>
      <c r="R155" s="17">
        <v>1044</v>
      </c>
    </row>
    <row r="156" spans="1:18" ht="16.5" x14ac:dyDescent="0.25">
      <c r="A156" s="12">
        <v>1046</v>
      </c>
      <c r="B156" s="13" t="s">
        <v>164</v>
      </c>
      <c r="C156" s="13" t="s">
        <v>21</v>
      </c>
      <c r="D156" s="14">
        <v>127</v>
      </c>
      <c r="E156" s="15">
        <v>6400</v>
      </c>
      <c r="F156" s="15">
        <v>400</v>
      </c>
      <c r="G156" s="15">
        <v>400</v>
      </c>
      <c r="H156" s="15">
        <f t="shared" si="16"/>
        <v>7200</v>
      </c>
      <c r="I156" s="15">
        <f t="shared" si="17"/>
        <v>914400</v>
      </c>
      <c r="J156" s="16"/>
      <c r="K156" s="15">
        <v>200000</v>
      </c>
      <c r="L156" s="15">
        <f t="shared" si="12"/>
        <v>2540</v>
      </c>
      <c r="M156" s="20"/>
      <c r="N156" s="20"/>
      <c r="O156" s="15">
        <f t="shared" si="13"/>
        <v>31750</v>
      </c>
      <c r="P156" s="15">
        <f t="shared" si="14"/>
        <v>234290</v>
      </c>
      <c r="Q156" s="15">
        <f t="shared" si="15"/>
        <v>680110</v>
      </c>
      <c r="R156" s="17">
        <v>1046</v>
      </c>
    </row>
    <row r="157" spans="1:18" ht="16.5" x14ac:dyDescent="0.25">
      <c r="A157" s="12">
        <v>1049</v>
      </c>
      <c r="B157" s="13" t="s">
        <v>165</v>
      </c>
      <c r="C157" s="13" t="s">
        <v>43</v>
      </c>
      <c r="D157" s="19">
        <v>94</v>
      </c>
      <c r="E157" s="15">
        <v>6400</v>
      </c>
      <c r="F157" s="15">
        <v>600</v>
      </c>
      <c r="G157" s="15">
        <v>400</v>
      </c>
      <c r="H157" s="15">
        <f t="shared" si="16"/>
        <v>7400</v>
      </c>
      <c r="I157" s="15">
        <f t="shared" si="17"/>
        <v>695600</v>
      </c>
      <c r="J157" s="20"/>
      <c r="K157" s="15"/>
      <c r="L157" s="15">
        <f t="shared" si="12"/>
        <v>1880</v>
      </c>
      <c r="M157" s="16"/>
      <c r="N157" s="16"/>
      <c r="O157" s="15">
        <f t="shared" si="13"/>
        <v>23500</v>
      </c>
      <c r="P157" s="15">
        <f t="shared" si="14"/>
        <v>25380</v>
      </c>
      <c r="Q157" s="15">
        <f t="shared" si="15"/>
        <v>670220</v>
      </c>
      <c r="R157" s="17">
        <v>1049</v>
      </c>
    </row>
    <row r="158" spans="1:18" ht="16.5" x14ac:dyDescent="0.25">
      <c r="A158" s="12">
        <v>1051</v>
      </c>
      <c r="B158" s="13" t="s">
        <v>166</v>
      </c>
      <c r="C158" s="13" t="s">
        <v>43</v>
      </c>
      <c r="D158" s="16"/>
      <c r="E158" s="15">
        <v>6400</v>
      </c>
      <c r="F158" s="15">
        <v>300</v>
      </c>
      <c r="G158" s="15">
        <v>400</v>
      </c>
      <c r="H158" s="15">
        <f t="shared" si="16"/>
        <v>7100</v>
      </c>
      <c r="I158" s="15">
        <f t="shared" si="17"/>
        <v>0</v>
      </c>
      <c r="J158" s="16"/>
      <c r="K158" s="15"/>
      <c r="L158" s="15">
        <f t="shared" si="12"/>
        <v>0</v>
      </c>
      <c r="M158" s="16"/>
      <c r="N158" s="16"/>
      <c r="O158" s="15">
        <f t="shared" si="13"/>
        <v>0</v>
      </c>
      <c r="P158" s="15">
        <f t="shared" si="14"/>
        <v>0</v>
      </c>
      <c r="Q158" s="15">
        <f t="shared" si="15"/>
        <v>0</v>
      </c>
      <c r="R158" s="17">
        <v>1051</v>
      </c>
    </row>
    <row r="159" spans="1:18" ht="16.5" x14ac:dyDescent="0.25">
      <c r="A159" s="12">
        <v>1052</v>
      </c>
      <c r="B159" s="13" t="s">
        <v>167</v>
      </c>
      <c r="C159" s="13" t="s">
        <v>43</v>
      </c>
      <c r="D159" s="16"/>
      <c r="E159" s="15">
        <v>6400</v>
      </c>
      <c r="F159" s="15">
        <v>300</v>
      </c>
      <c r="G159" s="15">
        <v>400</v>
      </c>
      <c r="H159" s="15">
        <f t="shared" si="16"/>
        <v>7100</v>
      </c>
      <c r="I159" s="15">
        <f t="shared" si="17"/>
        <v>0</v>
      </c>
      <c r="J159" s="16"/>
      <c r="K159" s="15"/>
      <c r="L159" s="15">
        <f t="shared" si="12"/>
        <v>0</v>
      </c>
      <c r="M159" s="20"/>
      <c r="N159" s="20"/>
      <c r="O159" s="15">
        <f t="shared" si="13"/>
        <v>0</v>
      </c>
      <c r="P159" s="15">
        <f t="shared" si="14"/>
        <v>0</v>
      </c>
      <c r="Q159" s="15">
        <f t="shared" si="15"/>
        <v>0</v>
      </c>
      <c r="R159" s="17">
        <v>1052</v>
      </c>
    </row>
    <row r="160" spans="1:18" ht="16.5" x14ac:dyDescent="0.25">
      <c r="A160" s="12">
        <v>1057</v>
      </c>
      <c r="B160" s="13" t="s">
        <v>59</v>
      </c>
      <c r="C160" s="13" t="s">
        <v>43</v>
      </c>
      <c r="D160" s="19"/>
      <c r="E160" s="15">
        <v>6400</v>
      </c>
      <c r="F160" s="15">
        <v>400</v>
      </c>
      <c r="G160" s="15">
        <v>400</v>
      </c>
      <c r="H160" s="15">
        <f t="shared" si="16"/>
        <v>7200</v>
      </c>
      <c r="I160" s="15">
        <f t="shared" si="17"/>
        <v>0</v>
      </c>
      <c r="J160" s="20"/>
      <c r="K160" s="15"/>
      <c r="L160" s="15">
        <f t="shared" si="12"/>
        <v>0</v>
      </c>
      <c r="M160" s="20"/>
      <c r="N160" s="20"/>
      <c r="O160" s="15">
        <f t="shared" si="13"/>
        <v>0</v>
      </c>
      <c r="P160" s="15">
        <f t="shared" si="14"/>
        <v>0</v>
      </c>
      <c r="Q160" s="15">
        <f t="shared" si="15"/>
        <v>0</v>
      </c>
      <c r="R160" s="17">
        <v>1057</v>
      </c>
    </row>
    <row r="161" spans="1:18" ht="16.5" x14ac:dyDescent="0.25">
      <c r="A161" s="12">
        <v>1059</v>
      </c>
      <c r="B161" s="13" t="s">
        <v>157</v>
      </c>
      <c r="C161" s="13" t="s">
        <v>25</v>
      </c>
      <c r="D161" s="19"/>
      <c r="E161" s="15">
        <v>6400</v>
      </c>
      <c r="F161" s="15">
        <v>300</v>
      </c>
      <c r="G161" s="15">
        <v>400</v>
      </c>
      <c r="H161" s="15">
        <f t="shared" si="16"/>
        <v>7100</v>
      </c>
      <c r="I161" s="15">
        <f t="shared" si="17"/>
        <v>0</v>
      </c>
      <c r="J161" s="20"/>
      <c r="K161" s="15"/>
      <c r="L161" s="15">
        <f t="shared" si="12"/>
        <v>0</v>
      </c>
      <c r="M161" s="20"/>
      <c r="N161" s="20"/>
      <c r="O161" s="15">
        <f t="shared" si="13"/>
        <v>0</v>
      </c>
      <c r="P161" s="15">
        <f t="shared" si="14"/>
        <v>0</v>
      </c>
      <c r="Q161" s="15">
        <f t="shared" si="15"/>
        <v>0</v>
      </c>
      <c r="R161" s="17">
        <v>1059</v>
      </c>
    </row>
    <row r="162" spans="1:18" ht="16.5" x14ac:dyDescent="0.25">
      <c r="A162" s="12">
        <v>1060</v>
      </c>
      <c r="B162" s="13" t="s">
        <v>168</v>
      </c>
      <c r="C162" s="13" t="s">
        <v>54</v>
      </c>
      <c r="D162" s="19"/>
      <c r="E162" s="15">
        <v>6400</v>
      </c>
      <c r="F162" s="15">
        <v>300</v>
      </c>
      <c r="G162" s="15">
        <v>400</v>
      </c>
      <c r="H162" s="15">
        <f t="shared" si="16"/>
        <v>7100</v>
      </c>
      <c r="I162" s="15">
        <f t="shared" si="17"/>
        <v>0</v>
      </c>
      <c r="J162" s="20"/>
      <c r="K162" s="15"/>
      <c r="L162" s="15">
        <f t="shared" si="12"/>
        <v>0</v>
      </c>
      <c r="M162" s="16"/>
      <c r="N162" s="16"/>
      <c r="O162" s="15">
        <f t="shared" si="13"/>
        <v>0</v>
      </c>
      <c r="P162" s="15">
        <f t="shared" si="14"/>
        <v>0</v>
      </c>
      <c r="Q162" s="15">
        <f t="shared" si="15"/>
        <v>0</v>
      </c>
      <c r="R162" s="17">
        <v>1060</v>
      </c>
    </row>
    <row r="163" spans="1:18" ht="16.5" x14ac:dyDescent="0.25">
      <c r="A163" s="12">
        <v>1061</v>
      </c>
      <c r="B163" s="13" t="s">
        <v>169</v>
      </c>
      <c r="C163" s="13" t="s">
        <v>19</v>
      </c>
      <c r="D163" s="14"/>
      <c r="E163" s="15">
        <v>6400</v>
      </c>
      <c r="F163" s="15">
        <v>300</v>
      </c>
      <c r="G163" s="15">
        <v>400</v>
      </c>
      <c r="H163" s="15">
        <f t="shared" si="16"/>
        <v>7100</v>
      </c>
      <c r="I163" s="15">
        <f t="shared" si="17"/>
        <v>0</v>
      </c>
      <c r="J163" s="16"/>
      <c r="K163" s="15"/>
      <c r="L163" s="15">
        <f t="shared" si="12"/>
        <v>0</v>
      </c>
      <c r="M163" s="20"/>
      <c r="N163" s="20"/>
      <c r="O163" s="15">
        <f t="shared" si="13"/>
        <v>0</v>
      </c>
      <c r="P163" s="15">
        <f t="shared" si="14"/>
        <v>0</v>
      </c>
      <c r="Q163" s="15">
        <f t="shared" si="15"/>
        <v>0</v>
      </c>
      <c r="R163" s="17">
        <v>1061</v>
      </c>
    </row>
    <row r="164" spans="1:18" ht="16.5" x14ac:dyDescent="0.25">
      <c r="A164" s="12">
        <v>1062</v>
      </c>
      <c r="B164" s="13" t="s">
        <v>170</v>
      </c>
      <c r="C164" s="13" t="s">
        <v>47</v>
      </c>
      <c r="D164" s="19"/>
      <c r="E164" s="15">
        <v>6400</v>
      </c>
      <c r="F164" s="15">
        <v>300</v>
      </c>
      <c r="G164" s="15">
        <v>400</v>
      </c>
      <c r="H164" s="15">
        <f t="shared" si="16"/>
        <v>7100</v>
      </c>
      <c r="I164" s="15">
        <f t="shared" si="17"/>
        <v>0</v>
      </c>
      <c r="J164" s="20"/>
      <c r="K164" s="15"/>
      <c r="L164" s="15">
        <f t="shared" si="12"/>
        <v>0</v>
      </c>
      <c r="M164" s="16"/>
      <c r="N164" s="16"/>
      <c r="O164" s="15">
        <f t="shared" si="13"/>
        <v>0</v>
      </c>
      <c r="P164" s="15">
        <f t="shared" si="14"/>
        <v>0</v>
      </c>
      <c r="Q164" s="15">
        <f t="shared" si="15"/>
        <v>0</v>
      </c>
      <c r="R164" s="17">
        <v>1062</v>
      </c>
    </row>
    <row r="165" spans="1:18" ht="16.5" x14ac:dyDescent="0.25">
      <c r="A165" s="12">
        <v>1064</v>
      </c>
      <c r="B165" s="13" t="s">
        <v>166</v>
      </c>
      <c r="C165" s="13" t="s">
        <v>43</v>
      </c>
      <c r="D165" s="14">
        <v>222</v>
      </c>
      <c r="E165" s="15">
        <v>6400</v>
      </c>
      <c r="F165" s="15">
        <v>500</v>
      </c>
      <c r="G165" s="15">
        <v>400</v>
      </c>
      <c r="H165" s="15">
        <f t="shared" si="16"/>
        <v>7300</v>
      </c>
      <c r="I165" s="15">
        <f t="shared" si="17"/>
        <v>1620600</v>
      </c>
      <c r="J165" s="16"/>
      <c r="K165" s="15">
        <v>800000</v>
      </c>
      <c r="L165" s="15">
        <f t="shared" si="12"/>
        <v>4440</v>
      </c>
      <c r="M165" s="20"/>
      <c r="N165" s="20"/>
      <c r="O165" s="15">
        <f t="shared" si="13"/>
        <v>55500</v>
      </c>
      <c r="P165" s="15">
        <f t="shared" si="14"/>
        <v>859940</v>
      </c>
      <c r="Q165" s="15">
        <f t="shared" si="15"/>
        <v>760660</v>
      </c>
      <c r="R165" s="17">
        <v>1064</v>
      </c>
    </row>
    <row r="166" spans="1:18" ht="16.5" x14ac:dyDescent="0.25">
      <c r="A166" s="12">
        <v>1065</v>
      </c>
      <c r="B166" s="13" t="s">
        <v>171</v>
      </c>
      <c r="C166" s="13" t="s">
        <v>25</v>
      </c>
      <c r="D166" s="19"/>
      <c r="E166" s="15">
        <v>6400</v>
      </c>
      <c r="F166" s="15">
        <v>300</v>
      </c>
      <c r="G166" s="15">
        <v>400</v>
      </c>
      <c r="H166" s="15">
        <f t="shared" si="16"/>
        <v>7100</v>
      </c>
      <c r="I166" s="15">
        <f t="shared" si="17"/>
        <v>0</v>
      </c>
      <c r="J166" s="20"/>
      <c r="K166" s="15"/>
      <c r="L166" s="15">
        <f t="shared" si="12"/>
        <v>0</v>
      </c>
      <c r="M166" s="16"/>
      <c r="N166" s="16"/>
      <c r="O166" s="15">
        <f t="shared" si="13"/>
        <v>0</v>
      </c>
      <c r="P166" s="15">
        <f t="shared" si="14"/>
        <v>0</v>
      </c>
      <c r="Q166" s="15">
        <f t="shared" si="15"/>
        <v>0</v>
      </c>
      <c r="R166" s="17">
        <v>1065</v>
      </c>
    </row>
    <row r="167" spans="1:18" ht="16.5" x14ac:dyDescent="0.25">
      <c r="A167" s="12">
        <v>1070</v>
      </c>
      <c r="B167" s="13" t="s">
        <v>172</v>
      </c>
      <c r="C167" s="13" t="s">
        <v>21</v>
      </c>
      <c r="D167" s="14"/>
      <c r="E167" s="15">
        <v>6400</v>
      </c>
      <c r="F167" s="15">
        <v>300</v>
      </c>
      <c r="G167" s="15">
        <v>400</v>
      </c>
      <c r="H167" s="15">
        <f t="shared" si="16"/>
        <v>7100</v>
      </c>
      <c r="I167" s="15">
        <f t="shared" si="17"/>
        <v>0</v>
      </c>
      <c r="J167" s="16"/>
      <c r="K167" s="15"/>
      <c r="L167" s="15">
        <f t="shared" si="12"/>
        <v>0</v>
      </c>
      <c r="M167" s="20"/>
      <c r="N167" s="20"/>
      <c r="O167" s="15">
        <f t="shared" si="13"/>
        <v>0</v>
      </c>
      <c r="P167" s="15">
        <f t="shared" si="14"/>
        <v>0</v>
      </c>
      <c r="Q167" s="15">
        <f t="shared" si="15"/>
        <v>0</v>
      </c>
      <c r="R167" s="17">
        <v>1070</v>
      </c>
    </row>
    <row r="168" spans="1:18" ht="16.5" x14ac:dyDescent="0.25">
      <c r="A168" s="12">
        <v>1073</v>
      </c>
      <c r="B168" s="13" t="s">
        <v>173</v>
      </c>
      <c r="C168" s="13" t="s">
        <v>25</v>
      </c>
      <c r="D168" s="19"/>
      <c r="E168" s="15">
        <v>6400</v>
      </c>
      <c r="F168" s="15">
        <v>300</v>
      </c>
      <c r="G168" s="15">
        <v>400</v>
      </c>
      <c r="H168" s="15">
        <f t="shared" si="16"/>
        <v>7100</v>
      </c>
      <c r="I168" s="15">
        <f t="shared" si="17"/>
        <v>0</v>
      </c>
      <c r="J168" s="20"/>
      <c r="K168" s="15"/>
      <c r="L168" s="15">
        <f t="shared" si="12"/>
        <v>0</v>
      </c>
      <c r="M168" s="16"/>
      <c r="N168" s="16"/>
      <c r="O168" s="15">
        <f t="shared" si="13"/>
        <v>0</v>
      </c>
      <c r="P168" s="15">
        <f t="shared" si="14"/>
        <v>0</v>
      </c>
      <c r="Q168" s="15">
        <f t="shared" si="15"/>
        <v>0</v>
      </c>
      <c r="R168" s="17">
        <v>1073</v>
      </c>
    </row>
    <row r="169" spans="1:18" ht="16.5" x14ac:dyDescent="0.25">
      <c r="A169" s="12">
        <v>1084</v>
      </c>
      <c r="B169" s="13" t="s">
        <v>174</v>
      </c>
      <c r="C169" s="13" t="s">
        <v>16</v>
      </c>
      <c r="D169" s="14">
        <v>90</v>
      </c>
      <c r="E169" s="15">
        <v>6400</v>
      </c>
      <c r="F169" s="15">
        <v>500</v>
      </c>
      <c r="G169" s="15">
        <v>400</v>
      </c>
      <c r="H169" s="15">
        <f t="shared" si="16"/>
        <v>7300</v>
      </c>
      <c r="I169" s="15">
        <f t="shared" si="17"/>
        <v>657000</v>
      </c>
      <c r="J169" s="16"/>
      <c r="K169" s="15">
        <v>1400000</v>
      </c>
      <c r="L169" s="15">
        <f t="shared" si="12"/>
        <v>1800</v>
      </c>
      <c r="M169" s="16"/>
      <c r="N169" s="16"/>
      <c r="O169" s="15">
        <f t="shared" si="13"/>
        <v>22500</v>
      </c>
      <c r="P169" s="15">
        <f t="shared" si="14"/>
        <v>1424300</v>
      </c>
      <c r="Q169" s="15">
        <f t="shared" si="15"/>
        <v>-767300</v>
      </c>
      <c r="R169" s="17">
        <v>1084</v>
      </c>
    </row>
    <row r="170" spans="1:18" ht="16.5" x14ac:dyDescent="0.25">
      <c r="A170" s="12">
        <v>1092</v>
      </c>
      <c r="B170" s="13" t="s">
        <v>175</v>
      </c>
      <c r="C170" s="13" t="s">
        <v>54</v>
      </c>
      <c r="D170" s="14">
        <v>62</v>
      </c>
      <c r="E170" s="15">
        <v>6400</v>
      </c>
      <c r="F170" s="15">
        <v>500</v>
      </c>
      <c r="G170" s="15">
        <v>400</v>
      </c>
      <c r="H170" s="15">
        <f t="shared" si="16"/>
        <v>7300</v>
      </c>
      <c r="I170" s="15">
        <f t="shared" si="17"/>
        <v>452600</v>
      </c>
      <c r="J170" s="16"/>
      <c r="K170" s="24">
        <v>400000</v>
      </c>
      <c r="L170" s="15">
        <f t="shared" si="12"/>
        <v>1240</v>
      </c>
      <c r="M170" s="16"/>
      <c r="N170" s="16"/>
      <c r="O170" s="15">
        <f t="shared" si="13"/>
        <v>15500</v>
      </c>
      <c r="P170" s="15">
        <f t="shared" si="14"/>
        <v>416740</v>
      </c>
      <c r="Q170" s="15">
        <f t="shared" si="15"/>
        <v>35860</v>
      </c>
      <c r="R170" s="17">
        <v>1092</v>
      </c>
    </row>
    <row r="171" spans="1:18" ht="16.5" x14ac:dyDescent="0.25">
      <c r="A171" s="12">
        <v>1103</v>
      </c>
      <c r="B171" s="13" t="s">
        <v>176</v>
      </c>
      <c r="C171" s="13" t="s">
        <v>36</v>
      </c>
      <c r="D171" s="14"/>
      <c r="E171" s="15">
        <v>6400</v>
      </c>
      <c r="F171" s="15">
        <v>400</v>
      </c>
      <c r="G171" s="15">
        <v>400</v>
      </c>
      <c r="H171" s="15">
        <f t="shared" si="16"/>
        <v>7200</v>
      </c>
      <c r="I171" s="15">
        <f t="shared" si="17"/>
        <v>0</v>
      </c>
      <c r="J171" s="16"/>
      <c r="K171" s="15"/>
      <c r="L171" s="15">
        <f t="shared" si="12"/>
        <v>0</v>
      </c>
      <c r="M171" s="20"/>
      <c r="N171" s="20"/>
      <c r="O171" s="15">
        <f t="shared" si="13"/>
        <v>0</v>
      </c>
      <c r="P171" s="15">
        <f t="shared" si="14"/>
        <v>0</v>
      </c>
      <c r="Q171" s="15">
        <f t="shared" si="15"/>
        <v>0</v>
      </c>
      <c r="R171" s="17">
        <v>1103</v>
      </c>
    </row>
    <row r="172" spans="1:18" ht="16.5" x14ac:dyDescent="0.25">
      <c r="A172" s="12">
        <v>1107</v>
      </c>
      <c r="B172" s="13" t="s">
        <v>177</v>
      </c>
      <c r="C172" s="13" t="s">
        <v>36</v>
      </c>
      <c r="D172" s="19"/>
      <c r="E172" s="15">
        <v>6400</v>
      </c>
      <c r="F172" s="15">
        <v>300</v>
      </c>
      <c r="G172" s="15">
        <v>400</v>
      </c>
      <c r="H172" s="15">
        <f t="shared" si="16"/>
        <v>7100</v>
      </c>
      <c r="I172" s="15">
        <f t="shared" si="17"/>
        <v>0</v>
      </c>
      <c r="J172" s="20"/>
      <c r="K172" s="15"/>
      <c r="L172" s="15">
        <f t="shared" si="12"/>
        <v>0</v>
      </c>
      <c r="M172" s="20"/>
      <c r="N172" s="20"/>
      <c r="O172" s="15">
        <f t="shared" si="13"/>
        <v>0</v>
      </c>
      <c r="P172" s="15">
        <f t="shared" si="14"/>
        <v>0</v>
      </c>
      <c r="Q172" s="15">
        <f t="shared" si="15"/>
        <v>0</v>
      </c>
      <c r="R172" s="17">
        <v>1107</v>
      </c>
    </row>
    <row r="173" spans="1:18" ht="16.5" x14ac:dyDescent="0.25">
      <c r="A173" s="12">
        <v>1112</v>
      </c>
      <c r="B173" s="13" t="s">
        <v>178</v>
      </c>
      <c r="C173" s="13" t="s">
        <v>16</v>
      </c>
      <c r="D173" s="19"/>
      <c r="E173" s="15">
        <v>6400</v>
      </c>
      <c r="F173" s="15">
        <v>300</v>
      </c>
      <c r="G173" s="15">
        <v>400</v>
      </c>
      <c r="H173" s="15">
        <f t="shared" si="16"/>
        <v>7100</v>
      </c>
      <c r="I173" s="15">
        <f t="shared" si="17"/>
        <v>0</v>
      </c>
      <c r="J173" s="20"/>
      <c r="K173" s="15"/>
      <c r="L173" s="15">
        <f t="shared" si="12"/>
        <v>0</v>
      </c>
      <c r="M173" s="20"/>
      <c r="N173" s="20"/>
      <c r="O173" s="15">
        <f t="shared" si="13"/>
        <v>0</v>
      </c>
      <c r="P173" s="15">
        <f t="shared" si="14"/>
        <v>0</v>
      </c>
      <c r="Q173" s="15">
        <f t="shared" si="15"/>
        <v>0</v>
      </c>
      <c r="R173" s="17">
        <v>1112</v>
      </c>
    </row>
    <row r="174" spans="1:18" ht="16.5" x14ac:dyDescent="0.25">
      <c r="A174" s="12">
        <v>1113</v>
      </c>
      <c r="B174" s="13" t="s">
        <v>179</v>
      </c>
      <c r="C174" s="13" t="s">
        <v>25</v>
      </c>
      <c r="D174" s="19"/>
      <c r="E174" s="15">
        <v>6400</v>
      </c>
      <c r="F174" s="15">
        <v>300</v>
      </c>
      <c r="G174" s="15">
        <v>400</v>
      </c>
      <c r="H174" s="15">
        <f t="shared" si="16"/>
        <v>7100</v>
      </c>
      <c r="I174" s="15">
        <f t="shared" si="17"/>
        <v>0</v>
      </c>
      <c r="J174" s="20"/>
      <c r="K174" s="15"/>
      <c r="L174" s="15">
        <f t="shared" si="12"/>
        <v>0</v>
      </c>
      <c r="M174" s="16"/>
      <c r="N174" s="16"/>
      <c r="O174" s="15">
        <f t="shared" si="13"/>
        <v>0</v>
      </c>
      <c r="P174" s="15">
        <f t="shared" si="14"/>
        <v>0</v>
      </c>
      <c r="Q174" s="15">
        <f t="shared" si="15"/>
        <v>0</v>
      </c>
      <c r="R174" s="17">
        <v>1113</v>
      </c>
    </row>
    <row r="175" spans="1:18" ht="16.5" x14ac:dyDescent="0.25">
      <c r="A175" s="12">
        <v>1114</v>
      </c>
      <c r="B175" s="13" t="s">
        <v>180</v>
      </c>
      <c r="C175" s="13" t="s">
        <v>25</v>
      </c>
      <c r="D175" s="14">
        <v>234</v>
      </c>
      <c r="E175" s="15">
        <v>6400</v>
      </c>
      <c r="F175" s="15">
        <v>400</v>
      </c>
      <c r="G175" s="15">
        <v>400</v>
      </c>
      <c r="H175" s="15">
        <f t="shared" si="16"/>
        <v>7200</v>
      </c>
      <c r="I175" s="15">
        <f t="shared" si="17"/>
        <v>1684800</v>
      </c>
      <c r="J175" s="16"/>
      <c r="K175" s="15">
        <v>300000</v>
      </c>
      <c r="L175" s="15">
        <f t="shared" si="12"/>
        <v>4680</v>
      </c>
      <c r="M175" s="16"/>
      <c r="N175" s="16"/>
      <c r="O175" s="15">
        <f t="shared" si="13"/>
        <v>58500</v>
      </c>
      <c r="P175" s="15">
        <f t="shared" si="14"/>
        <v>363180</v>
      </c>
      <c r="Q175" s="15">
        <f t="shared" si="15"/>
        <v>1321620</v>
      </c>
      <c r="R175" s="17">
        <v>1114</v>
      </c>
    </row>
    <row r="176" spans="1:18" ht="16.5" x14ac:dyDescent="0.25">
      <c r="A176" s="12">
        <v>1115</v>
      </c>
      <c r="B176" s="13" t="s">
        <v>181</v>
      </c>
      <c r="C176" s="13" t="s">
        <v>25</v>
      </c>
      <c r="D176" s="16"/>
      <c r="E176" s="15">
        <v>6400</v>
      </c>
      <c r="F176" s="15">
        <v>300</v>
      </c>
      <c r="G176" s="15">
        <v>400</v>
      </c>
      <c r="H176" s="15">
        <f t="shared" si="16"/>
        <v>7100</v>
      </c>
      <c r="I176" s="15">
        <f t="shared" si="17"/>
        <v>0</v>
      </c>
      <c r="J176" s="16"/>
      <c r="K176" s="15">
        <v>100000</v>
      </c>
      <c r="L176" s="15">
        <f t="shared" si="12"/>
        <v>0</v>
      </c>
      <c r="M176" s="16"/>
      <c r="N176" s="16"/>
      <c r="O176" s="15">
        <f t="shared" si="13"/>
        <v>0</v>
      </c>
      <c r="P176" s="15">
        <f t="shared" si="14"/>
        <v>100000</v>
      </c>
      <c r="Q176" s="15">
        <f t="shared" si="15"/>
        <v>-100000</v>
      </c>
      <c r="R176" s="17">
        <v>1115</v>
      </c>
    </row>
    <row r="177" spans="1:18" ht="16.5" x14ac:dyDescent="0.25">
      <c r="A177" s="12">
        <v>1119</v>
      </c>
      <c r="B177" s="13" t="s">
        <v>182</v>
      </c>
      <c r="C177" s="13" t="s">
        <v>19</v>
      </c>
      <c r="D177" s="14"/>
      <c r="E177" s="15">
        <v>6400</v>
      </c>
      <c r="F177" s="15">
        <v>300</v>
      </c>
      <c r="G177" s="15">
        <v>400</v>
      </c>
      <c r="H177" s="15">
        <f t="shared" si="16"/>
        <v>7100</v>
      </c>
      <c r="I177" s="15">
        <f t="shared" si="17"/>
        <v>0</v>
      </c>
      <c r="J177" s="16"/>
      <c r="K177" s="15"/>
      <c r="L177" s="15">
        <f t="shared" si="12"/>
        <v>0</v>
      </c>
      <c r="M177" s="16"/>
      <c r="N177" s="16"/>
      <c r="O177" s="15">
        <f t="shared" si="13"/>
        <v>0</v>
      </c>
      <c r="P177" s="15">
        <f t="shared" si="14"/>
        <v>0</v>
      </c>
      <c r="Q177" s="15">
        <f t="shared" si="15"/>
        <v>0</v>
      </c>
      <c r="R177" s="17">
        <v>1119</v>
      </c>
    </row>
    <row r="178" spans="1:18" ht="16.5" x14ac:dyDescent="0.25">
      <c r="A178" s="12">
        <v>1122</v>
      </c>
      <c r="B178" s="13" t="s">
        <v>183</v>
      </c>
      <c r="C178" s="13" t="s">
        <v>184</v>
      </c>
      <c r="D178" s="14"/>
      <c r="E178" s="15">
        <v>6400</v>
      </c>
      <c r="F178" s="15">
        <v>300</v>
      </c>
      <c r="G178" s="15">
        <v>400</v>
      </c>
      <c r="H178" s="15">
        <f t="shared" si="16"/>
        <v>7100</v>
      </c>
      <c r="I178" s="15">
        <f t="shared" si="17"/>
        <v>0</v>
      </c>
      <c r="J178" s="16"/>
      <c r="K178" s="15"/>
      <c r="L178" s="15">
        <f t="shared" si="12"/>
        <v>0</v>
      </c>
      <c r="M178" s="16"/>
      <c r="N178" s="16"/>
      <c r="O178" s="15">
        <f t="shared" si="13"/>
        <v>0</v>
      </c>
      <c r="P178" s="15">
        <f t="shared" si="14"/>
        <v>0</v>
      </c>
      <c r="Q178" s="15">
        <f t="shared" si="15"/>
        <v>0</v>
      </c>
      <c r="R178" s="17">
        <v>1122</v>
      </c>
    </row>
    <row r="179" spans="1:18" ht="16.5" x14ac:dyDescent="0.25">
      <c r="A179" s="12">
        <v>1129</v>
      </c>
      <c r="B179" s="13" t="s">
        <v>185</v>
      </c>
      <c r="C179" s="13" t="s">
        <v>186</v>
      </c>
      <c r="D179" s="14"/>
      <c r="E179" s="15">
        <v>6400</v>
      </c>
      <c r="F179" s="15">
        <v>300</v>
      </c>
      <c r="G179" s="15">
        <v>400</v>
      </c>
      <c r="H179" s="15">
        <f t="shared" si="16"/>
        <v>7100</v>
      </c>
      <c r="I179" s="15">
        <f t="shared" si="17"/>
        <v>0</v>
      </c>
      <c r="J179" s="16"/>
      <c r="K179" s="15"/>
      <c r="L179" s="15">
        <f t="shared" si="12"/>
        <v>0</v>
      </c>
      <c r="M179" s="16"/>
      <c r="N179" s="16"/>
      <c r="O179" s="15">
        <f t="shared" si="13"/>
        <v>0</v>
      </c>
      <c r="P179" s="15">
        <f t="shared" si="14"/>
        <v>0</v>
      </c>
      <c r="Q179" s="15">
        <f t="shared" si="15"/>
        <v>0</v>
      </c>
      <c r="R179" s="17">
        <v>1129</v>
      </c>
    </row>
    <row r="180" spans="1:18" ht="16.5" x14ac:dyDescent="0.25">
      <c r="A180" s="12">
        <v>1133</v>
      </c>
      <c r="B180" s="13" t="s">
        <v>187</v>
      </c>
      <c r="C180" s="13" t="s">
        <v>188</v>
      </c>
      <c r="D180" s="14">
        <v>47</v>
      </c>
      <c r="E180" s="15">
        <v>6400</v>
      </c>
      <c r="F180" s="15">
        <v>400</v>
      </c>
      <c r="G180" s="15">
        <v>400</v>
      </c>
      <c r="H180" s="15">
        <f t="shared" si="16"/>
        <v>7200</v>
      </c>
      <c r="I180" s="15">
        <f t="shared" si="17"/>
        <v>338400</v>
      </c>
      <c r="J180" s="16"/>
      <c r="K180" s="15">
        <v>600000</v>
      </c>
      <c r="L180" s="15">
        <f t="shared" si="12"/>
        <v>940</v>
      </c>
      <c r="M180" s="20"/>
      <c r="N180" s="20"/>
      <c r="O180" s="15">
        <f t="shared" si="13"/>
        <v>11750</v>
      </c>
      <c r="P180" s="15">
        <f t="shared" si="14"/>
        <v>612690</v>
      </c>
      <c r="Q180" s="15">
        <f t="shared" si="15"/>
        <v>-274290</v>
      </c>
      <c r="R180" s="17">
        <v>1133</v>
      </c>
    </row>
    <row r="181" spans="1:18" ht="16.5" x14ac:dyDescent="0.25">
      <c r="A181" s="12">
        <v>1135</v>
      </c>
      <c r="B181" s="13" t="s">
        <v>59</v>
      </c>
      <c r="C181" s="13" t="s">
        <v>54</v>
      </c>
      <c r="D181" s="19"/>
      <c r="E181" s="15">
        <v>6400</v>
      </c>
      <c r="F181" s="15">
        <v>300</v>
      </c>
      <c r="G181" s="15">
        <v>400</v>
      </c>
      <c r="H181" s="15">
        <f t="shared" si="16"/>
        <v>7100</v>
      </c>
      <c r="I181" s="15">
        <f t="shared" si="17"/>
        <v>0</v>
      </c>
      <c r="J181" s="20"/>
      <c r="K181" s="15"/>
      <c r="L181" s="15">
        <f t="shared" si="12"/>
        <v>0</v>
      </c>
      <c r="M181" s="16"/>
      <c r="N181" s="16"/>
      <c r="O181" s="15">
        <f t="shared" si="13"/>
        <v>0</v>
      </c>
      <c r="P181" s="15">
        <f t="shared" si="14"/>
        <v>0</v>
      </c>
      <c r="Q181" s="15">
        <f t="shared" si="15"/>
        <v>0</v>
      </c>
      <c r="R181" s="17">
        <v>1135</v>
      </c>
    </row>
    <row r="182" spans="1:18" ht="16.5" x14ac:dyDescent="0.25">
      <c r="A182" s="12">
        <v>1140</v>
      </c>
      <c r="B182" s="13" t="s">
        <v>189</v>
      </c>
      <c r="C182" s="13" t="s">
        <v>138</v>
      </c>
      <c r="D182" s="14">
        <v>61</v>
      </c>
      <c r="E182" s="15">
        <v>6400</v>
      </c>
      <c r="F182" s="15">
        <v>400</v>
      </c>
      <c r="G182" s="15">
        <v>400</v>
      </c>
      <c r="H182" s="15">
        <f t="shared" si="16"/>
        <v>7200</v>
      </c>
      <c r="I182" s="15">
        <f t="shared" si="17"/>
        <v>439200</v>
      </c>
      <c r="J182" s="16"/>
      <c r="K182" s="15"/>
      <c r="L182" s="15">
        <f t="shared" si="12"/>
        <v>1220</v>
      </c>
      <c r="M182" s="20"/>
      <c r="N182" s="20"/>
      <c r="O182" s="15">
        <f t="shared" si="13"/>
        <v>15250</v>
      </c>
      <c r="P182" s="15">
        <f t="shared" si="14"/>
        <v>16470</v>
      </c>
      <c r="Q182" s="15">
        <f t="shared" si="15"/>
        <v>422730</v>
      </c>
      <c r="R182" s="17">
        <v>1140</v>
      </c>
    </row>
    <row r="183" spans="1:18" ht="16.5" x14ac:dyDescent="0.25">
      <c r="A183" s="12">
        <v>1141</v>
      </c>
      <c r="B183" s="13" t="s">
        <v>88</v>
      </c>
      <c r="C183" s="13" t="s">
        <v>21</v>
      </c>
      <c r="D183" s="19"/>
      <c r="E183" s="15">
        <v>6400</v>
      </c>
      <c r="F183" s="15">
        <v>300</v>
      </c>
      <c r="G183" s="15">
        <v>400</v>
      </c>
      <c r="H183" s="15">
        <f t="shared" si="16"/>
        <v>7100</v>
      </c>
      <c r="I183" s="15">
        <f t="shared" si="17"/>
        <v>0</v>
      </c>
      <c r="J183" s="20"/>
      <c r="K183" s="15"/>
      <c r="L183" s="15">
        <f t="shared" si="12"/>
        <v>0</v>
      </c>
      <c r="M183" s="16"/>
      <c r="N183" s="16"/>
      <c r="O183" s="15">
        <f t="shared" si="13"/>
        <v>0</v>
      </c>
      <c r="P183" s="15">
        <f t="shared" si="14"/>
        <v>0</v>
      </c>
      <c r="Q183" s="15">
        <f t="shared" si="15"/>
        <v>0</v>
      </c>
      <c r="R183" s="17">
        <v>1141</v>
      </c>
    </row>
    <row r="184" spans="1:18" ht="16.5" x14ac:dyDescent="0.25">
      <c r="A184" s="12">
        <v>1151</v>
      </c>
      <c r="B184" s="13" t="s">
        <v>190</v>
      </c>
      <c r="C184" s="13" t="s">
        <v>30</v>
      </c>
      <c r="D184" s="14"/>
      <c r="E184" s="15">
        <v>6400</v>
      </c>
      <c r="F184" s="15">
        <v>400</v>
      </c>
      <c r="G184" s="15">
        <v>400</v>
      </c>
      <c r="H184" s="15">
        <f t="shared" si="16"/>
        <v>7200</v>
      </c>
      <c r="I184" s="15">
        <f t="shared" si="17"/>
        <v>0</v>
      </c>
      <c r="J184" s="16"/>
      <c r="K184" s="15"/>
      <c r="L184" s="15">
        <f t="shared" si="12"/>
        <v>0</v>
      </c>
      <c r="M184" s="16"/>
      <c r="N184" s="16"/>
      <c r="O184" s="15">
        <f t="shared" si="13"/>
        <v>0</v>
      </c>
      <c r="P184" s="15">
        <f t="shared" si="14"/>
        <v>0</v>
      </c>
      <c r="Q184" s="15">
        <f t="shared" si="15"/>
        <v>0</v>
      </c>
      <c r="R184" s="17">
        <v>1151</v>
      </c>
    </row>
    <row r="185" spans="1:18" ht="16.5" x14ac:dyDescent="0.25">
      <c r="A185" s="12">
        <v>1152</v>
      </c>
      <c r="B185" s="13" t="s">
        <v>191</v>
      </c>
      <c r="C185" s="13" t="s">
        <v>30</v>
      </c>
      <c r="D185" s="14">
        <v>219</v>
      </c>
      <c r="E185" s="15">
        <v>6400</v>
      </c>
      <c r="F185" s="15">
        <v>600</v>
      </c>
      <c r="G185" s="15">
        <v>400</v>
      </c>
      <c r="H185" s="15">
        <f t="shared" si="16"/>
        <v>7400</v>
      </c>
      <c r="I185" s="15">
        <f t="shared" si="17"/>
        <v>1620600</v>
      </c>
      <c r="J185" s="16"/>
      <c r="K185" s="15">
        <v>600000</v>
      </c>
      <c r="L185" s="15">
        <f t="shared" si="12"/>
        <v>4380</v>
      </c>
      <c r="M185" s="20"/>
      <c r="N185" s="20"/>
      <c r="O185" s="15">
        <f t="shared" si="13"/>
        <v>54750</v>
      </c>
      <c r="P185" s="15">
        <f t="shared" si="14"/>
        <v>659130</v>
      </c>
      <c r="Q185" s="15">
        <f t="shared" si="15"/>
        <v>961470</v>
      </c>
      <c r="R185" s="17">
        <v>1152</v>
      </c>
    </row>
    <row r="186" spans="1:18" ht="16.5" x14ac:dyDescent="0.25">
      <c r="A186" s="12">
        <v>1157</v>
      </c>
      <c r="B186" s="13" t="s">
        <v>192</v>
      </c>
      <c r="C186" s="13" t="s">
        <v>21</v>
      </c>
      <c r="D186" s="19"/>
      <c r="E186" s="15">
        <v>6400</v>
      </c>
      <c r="F186" s="15">
        <v>300</v>
      </c>
      <c r="G186" s="15">
        <v>400</v>
      </c>
      <c r="H186" s="15">
        <f t="shared" si="16"/>
        <v>7100</v>
      </c>
      <c r="I186" s="15">
        <f t="shared" si="17"/>
        <v>0</v>
      </c>
      <c r="J186" s="20"/>
      <c r="K186" s="15"/>
      <c r="L186" s="15">
        <f t="shared" si="12"/>
        <v>0</v>
      </c>
      <c r="M186" s="16"/>
      <c r="N186" s="16"/>
      <c r="O186" s="15">
        <f t="shared" si="13"/>
        <v>0</v>
      </c>
      <c r="P186" s="15">
        <f t="shared" si="14"/>
        <v>0</v>
      </c>
      <c r="Q186" s="15">
        <f t="shared" si="15"/>
        <v>0</v>
      </c>
      <c r="R186" s="17">
        <v>1157</v>
      </c>
    </row>
    <row r="187" spans="1:18" ht="16.5" x14ac:dyDescent="0.25">
      <c r="A187" s="12">
        <v>1159</v>
      </c>
      <c r="B187" s="13" t="s">
        <v>193</v>
      </c>
      <c r="C187" s="13" t="s">
        <v>194</v>
      </c>
      <c r="D187" s="14">
        <v>197</v>
      </c>
      <c r="E187" s="15">
        <v>6400</v>
      </c>
      <c r="F187" s="15">
        <v>500</v>
      </c>
      <c r="G187" s="15">
        <v>400</v>
      </c>
      <c r="H187" s="15">
        <f t="shared" si="16"/>
        <v>7300</v>
      </c>
      <c r="I187" s="15">
        <f t="shared" si="17"/>
        <v>1438100</v>
      </c>
      <c r="J187" s="16"/>
      <c r="K187" s="15"/>
      <c r="L187" s="15">
        <f t="shared" si="12"/>
        <v>3940</v>
      </c>
      <c r="M187" s="20"/>
      <c r="N187" s="20"/>
      <c r="O187" s="15">
        <f t="shared" si="13"/>
        <v>49250</v>
      </c>
      <c r="P187" s="15">
        <f t="shared" si="14"/>
        <v>53190</v>
      </c>
      <c r="Q187" s="15">
        <f t="shared" si="15"/>
        <v>1384910</v>
      </c>
      <c r="R187" s="17">
        <v>1159</v>
      </c>
    </row>
    <row r="188" spans="1:18" ht="16.5" x14ac:dyDescent="0.25">
      <c r="A188" s="12">
        <v>1163</v>
      </c>
      <c r="B188" s="13" t="s">
        <v>195</v>
      </c>
      <c r="C188" s="13" t="s">
        <v>25</v>
      </c>
      <c r="D188" s="25"/>
      <c r="E188" s="15">
        <v>6400</v>
      </c>
      <c r="F188" s="15">
        <v>400</v>
      </c>
      <c r="G188" s="15">
        <v>400</v>
      </c>
      <c r="H188" s="15">
        <f t="shared" si="16"/>
        <v>7200</v>
      </c>
      <c r="I188" s="15">
        <f t="shared" si="17"/>
        <v>0</v>
      </c>
      <c r="J188" s="20"/>
      <c r="K188" s="15"/>
      <c r="L188" s="15">
        <f t="shared" si="12"/>
        <v>0</v>
      </c>
      <c r="M188" s="20"/>
      <c r="N188" s="20"/>
      <c r="O188" s="15">
        <f t="shared" si="13"/>
        <v>0</v>
      </c>
      <c r="P188" s="15">
        <f t="shared" si="14"/>
        <v>0</v>
      </c>
      <c r="Q188" s="15">
        <f t="shared" si="15"/>
        <v>0</v>
      </c>
      <c r="R188" s="17">
        <v>1163</v>
      </c>
    </row>
    <row r="189" spans="1:18" ht="16.5" x14ac:dyDescent="0.25">
      <c r="A189" s="12">
        <v>1173</v>
      </c>
      <c r="B189" s="13" t="s">
        <v>196</v>
      </c>
      <c r="C189" s="13" t="s">
        <v>19</v>
      </c>
      <c r="D189" s="26">
        <v>587</v>
      </c>
      <c r="E189" s="15">
        <v>6400</v>
      </c>
      <c r="F189" s="15">
        <v>400</v>
      </c>
      <c r="G189" s="15">
        <v>400</v>
      </c>
      <c r="H189" s="15">
        <f t="shared" si="16"/>
        <v>7200</v>
      </c>
      <c r="I189" s="15">
        <f t="shared" si="17"/>
        <v>4226400</v>
      </c>
      <c r="J189" s="20"/>
      <c r="K189" s="15"/>
      <c r="L189" s="15">
        <f t="shared" si="12"/>
        <v>11740</v>
      </c>
      <c r="M189" s="20"/>
      <c r="N189" s="20"/>
      <c r="O189" s="15">
        <f t="shared" si="13"/>
        <v>146750</v>
      </c>
      <c r="P189" s="15">
        <f t="shared" si="14"/>
        <v>158490</v>
      </c>
      <c r="Q189" s="15">
        <f t="shared" si="15"/>
        <v>4067910</v>
      </c>
      <c r="R189" s="17">
        <v>1173</v>
      </c>
    </row>
    <row r="190" spans="1:18" ht="18.75" x14ac:dyDescent="0.25">
      <c r="A190" s="12">
        <v>1175</v>
      </c>
      <c r="B190" s="13" t="s">
        <v>197</v>
      </c>
      <c r="C190" s="13" t="s">
        <v>36</v>
      </c>
      <c r="D190" s="27"/>
      <c r="E190" s="15">
        <v>6400</v>
      </c>
      <c r="F190" s="15">
        <v>300</v>
      </c>
      <c r="G190" s="15">
        <v>400</v>
      </c>
      <c r="H190" s="15">
        <f t="shared" si="16"/>
        <v>7100</v>
      </c>
      <c r="I190" s="15">
        <f t="shared" si="17"/>
        <v>0</v>
      </c>
      <c r="J190" s="20"/>
      <c r="K190" s="15"/>
      <c r="L190" s="15">
        <f t="shared" si="12"/>
        <v>0</v>
      </c>
      <c r="M190" s="20"/>
      <c r="N190" s="20"/>
      <c r="O190" s="15">
        <f t="shared" si="13"/>
        <v>0</v>
      </c>
      <c r="P190" s="15">
        <f t="shared" si="14"/>
        <v>0</v>
      </c>
      <c r="Q190" s="15">
        <f t="shared" si="15"/>
        <v>0</v>
      </c>
      <c r="R190" s="17">
        <v>1175</v>
      </c>
    </row>
    <row r="191" spans="1:18" ht="16.5" x14ac:dyDescent="0.25">
      <c r="A191" s="12">
        <v>1176</v>
      </c>
      <c r="B191" s="13" t="s">
        <v>198</v>
      </c>
      <c r="C191" s="13" t="s">
        <v>47</v>
      </c>
      <c r="D191" s="19"/>
      <c r="E191" s="15">
        <v>6400</v>
      </c>
      <c r="F191" s="15">
        <v>300</v>
      </c>
      <c r="G191" s="15">
        <v>400</v>
      </c>
      <c r="H191" s="15">
        <f t="shared" si="16"/>
        <v>7100</v>
      </c>
      <c r="I191" s="15">
        <f t="shared" si="17"/>
        <v>0</v>
      </c>
      <c r="J191" s="20"/>
      <c r="K191" s="15"/>
      <c r="L191" s="15">
        <f t="shared" si="12"/>
        <v>0</v>
      </c>
      <c r="M191" s="20"/>
      <c r="N191" s="20"/>
      <c r="O191" s="15">
        <f t="shared" si="13"/>
        <v>0</v>
      </c>
      <c r="P191" s="15">
        <f t="shared" si="14"/>
        <v>0</v>
      </c>
      <c r="Q191" s="15">
        <f t="shared" si="15"/>
        <v>0</v>
      </c>
      <c r="R191" s="17">
        <v>1176</v>
      </c>
    </row>
    <row r="192" spans="1:18" ht="16.5" x14ac:dyDescent="0.25">
      <c r="A192" s="12">
        <v>1179</v>
      </c>
      <c r="B192" s="13" t="s">
        <v>199</v>
      </c>
      <c r="C192" s="13" t="s">
        <v>25</v>
      </c>
      <c r="D192" s="20"/>
      <c r="E192" s="15">
        <v>6400</v>
      </c>
      <c r="F192" s="15">
        <v>300</v>
      </c>
      <c r="G192" s="15">
        <v>400</v>
      </c>
      <c r="H192" s="15">
        <f t="shared" si="16"/>
        <v>7100</v>
      </c>
      <c r="I192" s="15">
        <f t="shared" si="17"/>
        <v>0</v>
      </c>
      <c r="J192" s="20"/>
      <c r="K192" s="15"/>
      <c r="L192" s="15">
        <f t="shared" si="12"/>
        <v>0</v>
      </c>
      <c r="M192" s="16"/>
      <c r="N192" s="16"/>
      <c r="O192" s="15">
        <f t="shared" si="13"/>
        <v>0</v>
      </c>
      <c r="P192" s="15">
        <f t="shared" si="14"/>
        <v>0</v>
      </c>
      <c r="Q192" s="15">
        <f t="shared" si="15"/>
        <v>0</v>
      </c>
      <c r="R192" s="17">
        <v>1179</v>
      </c>
    </row>
    <row r="193" spans="1:18" ht="16.5" x14ac:dyDescent="0.25">
      <c r="A193" s="12">
        <v>1186</v>
      </c>
      <c r="B193" s="13" t="s">
        <v>200</v>
      </c>
      <c r="C193" s="13" t="s">
        <v>43</v>
      </c>
      <c r="D193" s="14">
        <v>165</v>
      </c>
      <c r="E193" s="15">
        <v>6400</v>
      </c>
      <c r="F193" s="15">
        <v>500</v>
      </c>
      <c r="G193" s="15">
        <v>400</v>
      </c>
      <c r="H193" s="15">
        <f t="shared" si="16"/>
        <v>7300</v>
      </c>
      <c r="I193" s="15">
        <f t="shared" si="17"/>
        <v>1204500</v>
      </c>
      <c r="J193" s="16"/>
      <c r="K193" s="15">
        <v>200000</v>
      </c>
      <c r="L193" s="15">
        <f t="shared" si="12"/>
        <v>3300</v>
      </c>
      <c r="M193" s="16"/>
      <c r="N193" s="16"/>
      <c r="O193" s="15">
        <f t="shared" si="13"/>
        <v>41250</v>
      </c>
      <c r="P193" s="15">
        <f t="shared" si="14"/>
        <v>244550</v>
      </c>
      <c r="Q193" s="15">
        <f t="shared" si="15"/>
        <v>959950</v>
      </c>
      <c r="R193" s="17">
        <v>1186</v>
      </c>
    </row>
    <row r="194" spans="1:18" ht="16.5" x14ac:dyDescent="0.25">
      <c r="A194" s="12">
        <v>1189</v>
      </c>
      <c r="B194" s="13" t="s">
        <v>201</v>
      </c>
      <c r="C194" s="13" t="s">
        <v>25</v>
      </c>
      <c r="D194" s="16"/>
      <c r="E194" s="15">
        <v>6400</v>
      </c>
      <c r="F194" s="15">
        <v>300</v>
      </c>
      <c r="G194" s="15">
        <v>400</v>
      </c>
      <c r="H194" s="15">
        <f t="shared" si="16"/>
        <v>7100</v>
      </c>
      <c r="I194" s="15">
        <f t="shared" si="17"/>
        <v>0</v>
      </c>
      <c r="J194" s="16"/>
      <c r="K194" s="15"/>
      <c r="L194" s="15">
        <f t="shared" si="12"/>
        <v>0</v>
      </c>
      <c r="M194" s="16"/>
      <c r="N194" s="16"/>
      <c r="O194" s="15">
        <f t="shared" si="13"/>
        <v>0</v>
      </c>
      <c r="P194" s="15">
        <f t="shared" si="14"/>
        <v>0</v>
      </c>
      <c r="Q194" s="15">
        <f t="shared" si="15"/>
        <v>0</v>
      </c>
      <c r="R194" s="17">
        <v>1189</v>
      </c>
    </row>
    <row r="195" spans="1:18" ht="16.5" x14ac:dyDescent="0.25">
      <c r="A195" s="12">
        <v>1190</v>
      </c>
      <c r="B195" s="13" t="s">
        <v>119</v>
      </c>
      <c r="C195" s="13" t="s">
        <v>25</v>
      </c>
      <c r="D195" s="16"/>
      <c r="E195" s="15">
        <v>6400</v>
      </c>
      <c r="F195" s="15">
        <v>400</v>
      </c>
      <c r="G195" s="15">
        <v>400</v>
      </c>
      <c r="H195" s="15">
        <f t="shared" si="16"/>
        <v>7200</v>
      </c>
      <c r="I195" s="15">
        <f t="shared" si="17"/>
        <v>0</v>
      </c>
      <c r="J195" s="16"/>
      <c r="K195" s="15"/>
      <c r="L195" s="15">
        <f t="shared" si="12"/>
        <v>0</v>
      </c>
      <c r="M195" s="16"/>
      <c r="N195" s="16"/>
      <c r="O195" s="15">
        <f t="shared" si="13"/>
        <v>0</v>
      </c>
      <c r="P195" s="15">
        <f t="shared" si="14"/>
        <v>0</v>
      </c>
      <c r="Q195" s="15">
        <f t="shared" si="15"/>
        <v>0</v>
      </c>
      <c r="R195" s="17">
        <v>1190</v>
      </c>
    </row>
    <row r="196" spans="1:18" ht="16.5" x14ac:dyDescent="0.25">
      <c r="A196" s="12">
        <v>1191</v>
      </c>
      <c r="B196" s="13" t="s">
        <v>202</v>
      </c>
      <c r="C196" s="13" t="s">
        <v>36</v>
      </c>
      <c r="D196" s="14"/>
      <c r="E196" s="15">
        <v>6400</v>
      </c>
      <c r="F196" s="15">
        <v>300</v>
      </c>
      <c r="G196" s="15">
        <v>400</v>
      </c>
      <c r="H196" s="15">
        <f t="shared" si="16"/>
        <v>7100</v>
      </c>
      <c r="I196" s="15">
        <f t="shared" si="17"/>
        <v>0</v>
      </c>
      <c r="J196" s="16"/>
      <c r="K196" s="15"/>
      <c r="L196" s="15">
        <f t="shared" si="12"/>
        <v>0</v>
      </c>
      <c r="M196" s="20"/>
      <c r="N196" s="20"/>
      <c r="O196" s="15">
        <f t="shared" si="13"/>
        <v>0</v>
      </c>
      <c r="P196" s="15">
        <f t="shared" si="14"/>
        <v>0</v>
      </c>
      <c r="Q196" s="15">
        <f t="shared" si="15"/>
        <v>0</v>
      </c>
      <c r="R196" s="17">
        <v>1191</v>
      </c>
    </row>
    <row r="197" spans="1:18" ht="16.5" x14ac:dyDescent="0.25">
      <c r="A197" s="12">
        <v>1195</v>
      </c>
      <c r="B197" s="13" t="s">
        <v>203</v>
      </c>
      <c r="C197" s="13" t="s">
        <v>43</v>
      </c>
      <c r="D197" s="19"/>
      <c r="E197" s="15">
        <v>6400</v>
      </c>
      <c r="F197" s="15">
        <v>300</v>
      </c>
      <c r="G197" s="15">
        <v>400</v>
      </c>
      <c r="H197" s="15">
        <f t="shared" si="16"/>
        <v>7100</v>
      </c>
      <c r="I197" s="15">
        <f t="shared" si="17"/>
        <v>0</v>
      </c>
      <c r="J197" s="20"/>
      <c r="K197" s="15"/>
      <c r="L197" s="15">
        <f t="shared" ref="L197:L260" si="18">D197*20</f>
        <v>0</v>
      </c>
      <c r="M197" s="16"/>
      <c r="N197" s="16"/>
      <c r="O197" s="15">
        <f t="shared" ref="O197:O260" si="19">250*D197</f>
        <v>0</v>
      </c>
      <c r="P197" s="15">
        <f t="shared" ref="P197:P260" si="20">SUM(J197:O197)</f>
        <v>0</v>
      </c>
      <c r="Q197" s="15">
        <f t="shared" ref="Q197:Q260" si="21">I197-P197</f>
        <v>0</v>
      </c>
      <c r="R197" s="17">
        <v>1195</v>
      </c>
    </row>
    <row r="198" spans="1:18" ht="16.5" x14ac:dyDescent="0.25">
      <c r="A198" s="12">
        <v>1197</v>
      </c>
      <c r="B198" s="13" t="s">
        <v>204</v>
      </c>
      <c r="C198" s="13" t="s">
        <v>25</v>
      </c>
      <c r="D198" s="16"/>
      <c r="E198" s="15">
        <v>6400</v>
      </c>
      <c r="F198" s="15">
        <v>400</v>
      </c>
      <c r="G198" s="15">
        <v>400</v>
      </c>
      <c r="H198" s="15">
        <f t="shared" ref="H198:H261" si="22">SUM(E198:G198)</f>
        <v>7200</v>
      </c>
      <c r="I198" s="15">
        <f t="shared" ref="I198:I261" si="23">H198*D198</f>
        <v>0</v>
      </c>
      <c r="J198" s="16"/>
      <c r="K198" s="15"/>
      <c r="L198" s="15">
        <f t="shared" si="18"/>
        <v>0</v>
      </c>
      <c r="M198" s="16"/>
      <c r="N198" s="16"/>
      <c r="O198" s="15">
        <f t="shared" si="19"/>
        <v>0</v>
      </c>
      <c r="P198" s="15">
        <f t="shared" si="20"/>
        <v>0</v>
      </c>
      <c r="Q198" s="15">
        <f t="shared" si="21"/>
        <v>0</v>
      </c>
      <c r="R198" s="17">
        <v>1197</v>
      </c>
    </row>
    <row r="199" spans="1:18" ht="16.5" x14ac:dyDescent="0.25">
      <c r="A199" s="12">
        <v>1208</v>
      </c>
      <c r="B199" s="13" t="s">
        <v>405</v>
      </c>
      <c r="C199" s="13" t="s">
        <v>54</v>
      </c>
      <c r="D199" s="16"/>
      <c r="E199" s="15">
        <v>6400</v>
      </c>
      <c r="F199" s="15">
        <v>300</v>
      </c>
      <c r="G199" s="15">
        <v>400</v>
      </c>
      <c r="H199" s="15">
        <f t="shared" si="22"/>
        <v>7100</v>
      </c>
      <c r="I199" s="15">
        <f t="shared" si="23"/>
        <v>0</v>
      </c>
      <c r="J199" s="16"/>
      <c r="K199" s="15"/>
      <c r="L199" s="15">
        <f t="shared" si="18"/>
        <v>0</v>
      </c>
      <c r="M199" s="16"/>
      <c r="N199" s="16"/>
      <c r="O199" s="15">
        <f t="shared" si="19"/>
        <v>0</v>
      </c>
      <c r="P199" s="15">
        <f t="shared" si="20"/>
        <v>0</v>
      </c>
      <c r="Q199" s="15">
        <f t="shared" si="21"/>
        <v>0</v>
      </c>
      <c r="R199" s="17">
        <v>1208</v>
      </c>
    </row>
    <row r="200" spans="1:18" ht="16.5" x14ac:dyDescent="0.25">
      <c r="A200" s="12">
        <v>1213</v>
      </c>
      <c r="B200" s="13" t="s">
        <v>205</v>
      </c>
      <c r="C200" s="13" t="s">
        <v>43</v>
      </c>
      <c r="D200" s="14">
        <v>10</v>
      </c>
      <c r="E200" s="15">
        <v>6400</v>
      </c>
      <c r="F200" s="15">
        <v>400</v>
      </c>
      <c r="G200" s="15">
        <v>400</v>
      </c>
      <c r="H200" s="15">
        <f t="shared" si="22"/>
        <v>7200</v>
      </c>
      <c r="I200" s="15">
        <f t="shared" si="23"/>
        <v>72000</v>
      </c>
      <c r="J200" s="16"/>
      <c r="K200" s="15">
        <v>200000</v>
      </c>
      <c r="L200" s="15">
        <f t="shared" si="18"/>
        <v>200</v>
      </c>
      <c r="M200" s="16"/>
      <c r="N200" s="16"/>
      <c r="O200" s="15">
        <f t="shared" si="19"/>
        <v>2500</v>
      </c>
      <c r="P200" s="15">
        <f t="shared" si="20"/>
        <v>202700</v>
      </c>
      <c r="Q200" s="15">
        <f t="shared" si="21"/>
        <v>-130700</v>
      </c>
      <c r="R200" s="17">
        <v>1213</v>
      </c>
    </row>
    <row r="201" spans="1:18" ht="16.5" x14ac:dyDescent="0.25">
      <c r="A201" s="12">
        <v>1217</v>
      </c>
      <c r="B201" s="13" t="s">
        <v>206</v>
      </c>
      <c r="C201" s="13" t="s">
        <v>19</v>
      </c>
      <c r="D201" s="14"/>
      <c r="E201" s="15">
        <v>6400</v>
      </c>
      <c r="F201" s="15">
        <v>300</v>
      </c>
      <c r="G201" s="15">
        <v>400</v>
      </c>
      <c r="H201" s="15">
        <f t="shared" si="22"/>
        <v>7100</v>
      </c>
      <c r="I201" s="15">
        <f t="shared" si="23"/>
        <v>0</v>
      </c>
      <c r="J201" s="16"/>
      <c r="K201" s="15"/>
      <c r="L201" s="15">
        <f t="shared" si="18"/>
        <v>0</v>
      </c>
      <c r="M201" s="16"/>
      <c r="N201" s="16"/>
      <c r="O201" s="15">
        <f t="shared" si="19"/>
        <v>0</v>
      </c>
      <c r="P201" s="15">
        <f t="shared" si="20"/>
        <v>0</v>
      </c>
      <c r="Q201" s="15">
        <f t="shared" si="21"/>
        <v>0</v>
      </c>
      <c r="R201" s="17">
        <v>1217</v>
      </c>
    </row>
    <row r="202" spans="1:18" ht="16.5" x14ac:dyDescent="0.25">
      <c r="A202" s="12">
        <v>1223</v>
      </c>
      <c r="B202" s="13" t="s">
        <v>70</v>
      </c>
      <c r="C202" s="13" t="s">
        <v>16</v>
      </c>
      <c r="D202" s="14"/>
      <c r="E202" s="15">
        <v>6400</v>
      </c>
      <c r="F202" s="15">
        <v>400</v>
      </c>
      <c r="G202" s="15">
        <v>400</v>
      </c>
      <c r="H202" s="15">
        <f t="shared" si="22"/>
        <v>7200</v>
      </c>
      <c r="I202" s="15">
        <f t="shared" si="23"/>
        <v>0</v>
      </c>
      <c r="J202" s="16"/>
      <c r="K202" s="15">
        <v>200000</v>
      </c>
      <c r="L202" s="15">
        <f t="shared" si="18"/>
        <v>0</v>
      </c>
      <c r="M202" s="16"/>
      <c r="N202" s="16"/>
      <c r="O202" s="15">
        <f t="shared" si="19"/>
        <v>0</v>
      </c>
      <c r="P202" s="15">
        <f t="shared" si="20"/>
        <v>200000</v>
      </c>
      <c r="Q202" s="15">
        <f t="shared" si="21"/>
        <v>-200000</v>
      </c>
      <c r="R202" s="17">
        <v>1223</v>
      </c>
    </row>
    <row r="203" spans="1:18" ht="16.5" x14ac:dyDescent="0.25">
      <c r="A203" s="12">
        <v>1225</v>
      </c>
      <c r="B203" s="13" t="s">
        <v>207</v>
      </c>
      <c r="C203" s="13" t="s">
        <v>25</v>
      </c>
      <c r="D203" s="16">
        <v>58</v>
      </c>
      <c r="E203" s="15">
        <v>6400</v>
      </c>
      <c r="F203" s="15">
        <v>400</v>
      </c>
      <c r="G203" s="15">
        <v>400</v>
      </c>
      <c r="H203" s="15">
        <f t="shared" si="22"/>
        <v>7200</v>
      </c>
      <c r="I203" s="15">
        <f t="shared" si="23"/>
        <v>417600</v>
      </c>
      <c r="J203" s="16"/>
      <c r="K203" s="15">
        <v>400000</v>
      </c>
      <c r="L203" s="15">
        <f t="shared" si="18"/>
        <v>1160</v>
      </c>
      <c r="M203" s="20"/>
      <c r="N203" s="20"/>
      <c r="O203" s="15">
        <f t="shared" si="19"/>
        <v>14500</v>
      </c>
      <c r="P203" s="15">
        <f t="shared" si="20"/>
        <v>415660</v>
      </c>
      <c r="Q203" s="15">
        <f t="shared" si="21"/>
        <v>1940</v>
      </c>
      <c r="R203" s="17">
        <v>1225</v>
      </c>
    </row>
    <row r="204" spans="1:18" ht="16.5" x14ac:dyDescent="0.25">
      <c r="A204" s="12">
        <v>1229</v>
      </c>
      <c r="B204" s="13" t="s">
        <v>208</v>
      </c>
      <c r="C204" s="13" t="s">
        <v>47</v>
      </c>
      <c r="D204" s="19"/>
      <c r="E204" s="15">
        <v>6400</v>
      </c>
      <c r="F204" s="15">
        <v>300</v>
      </c>
      <c r="G204" s="15">
        <v>400</v>
      </c>
      <c r="H204" s="15">
        <f t="shared" si="22"/>
        <v>7100</v>
      </c>
      <c r="I204" s="15">
        <f t="shared" si="23"/>
        <v>0</v>
      </c>
      <c r="J204" s="20"/>
      <c r="K204" s="15"/>
      <c r="L204" s="15">
        <f t="shared" si="18"/>
        <v>0</v>
      </c>
      <c r="M204" s="16"/>
      <c r="N204" s="16"/>
      <c r="O204" s="15">
        <f t="shared" si="19"/>
        <v>0</v>
      </c>
      <c r="P204" s="15">
        <f t="shared" si="20"/>
        <v>0</v>
      </c>
      <c r="Q204" s="15">
        <f t="shared" si="21"/>
        <v>0</v>
      </c>
      <c r="R204" s="17">
        <v>1229</v>
      </c>
    </row>
    <row r="205" spans="1:18" ht="16.5" x14ac:dyDescent="0.25">
      <c r="A205" s="12">
        <v>1230</v>
      </c>
      <c r="B205" s="13" t="s">
        <v>209</v>
      </c>
      <c r="C205" s="13" t="s">
        <v>54</v>
      </c>
      <c r="D205" s="14"/>
      <c r="E205" s="15">
        <v>6400</v>
      </c>
      <c r="F205" s="15">
        <v>300</v>
      </c>
      <c r="G205" s="15">
        <v>400</v>
      </c>
      <c r="H205" s="15">
        <f t="shared" si="22"/>
        <v>7100</v>
      </c>
      <c r="I205" s="15">
        <f t="shared" si="23"/>
        <v>0</v>
      </c>
      <c r="J205" s="16"/>
      <c r="K205" s="15"/>
      <c r="L205" s="15">
        <f t="shared" si="18"/>
        <v>0</v>
      </c>
      <c r="M205" s="16"/>
      <c r="N205" s="16"/>
      <c r="O205" s="15">
        <f t="shared" si="19"/>
        <v>0</v>
      </c>
      <c r="P205" s="15">
        <f t="shared" si="20"/>
        <v>0</v>
      </c>
      <c r="Q205" s="15">
        <f t="shared" si="21"/>
        <v>0</v>
      </c>
      <c r="R205" s="17">
        <v>1230</v>
      </c>
    </row>
    <row r="206" spans="1:18" ht="16.5" x14ac:dyDescent="0.25">
      <c r="A206" s="12">
        <v>1236</v>
      </c>
      <c r="B206" s="13" t="s">
        <v>210</v>
      </c>
      <c r="C206" s="13" t="s">
        <v>54</v>
      </c>
      <c r="D206" s="14"/>
      <c r="E206" s="15">
        <v>6400</v>
      </c>
      <c r="F206" s="15">
        <v>500</v>
      </c>
      <c r="G206" s="15">
        <v>400</v>
      </c>
      <c r="H206" s="15">
        <f t="shared" si="22"/>
        <v>7300</v>
      </c>
      <c r="I206" s="15">
        <f t="shared" si="23"/>
        <v>0</v>
      </c>
      <c r="J206" s="16"/>
      <c r="K206" s="15"/>
      <c r="L206" s="15">
        <f t="shared" si="18"/>
        <v>0</v>
      </c>
      <c r="M206" s="16"/>
      <c r="N206" s="16"/>
      <c r="O206" s="15">
        <f t="shared" si="19"/>
        <v>0</v>
      </c>
      <c r="P206" s="15">
        <f t="shared" si="20"/>
        <v>0</v>
      </c>
      <c r="Q206" s="15">
        <f t="shared" si="21"/>
        <v>0</v>
      </c>
      <c r="R206" s="17">
        <v>1236</v>
      </c>
    </row>
    <row r="207" spans="1:18" ht="16.5" x14ac:dyDescent="0.25">
      <c r="A207" s="12">
        <v>1239</v>
      </c>
      <c r="B207" s="13" t="s">
        <v>211</v>
      </c>
      <c r="C207" s="13" t="s">
        <v>43</v>
      </c>
      <c r="D207" s="14">
        <v>5</v>
      </c>
      <c r="E207" s="15">
        <v>6400</v>
      </c>
      <c r="F207" s="15">
        <v>400</v>
      </c>
      <c r="G207" s="15">
        <v>400</v>
      </c>
      <c r="H207" s="15">
        <f t="shared" si="22"/>
        <v>7200</v>
      </c>
      <c r="I207" s="15">
        <f t="shared" si="23"/>
        <v>36000</v>
      </c>
      <c r="J207" s="16"/>
      <c r="K207" s="15">
        <v>200000</v>
      </c>
      <c r="L207" s="15">
        <f t="shared" si="18"/>
        <v>100</v>
      </c>
      <c r="M207" s="16"/>
      <c r="N207" s="16"/>
      <c r="O207" s="15">
        <f t="shared" si="19"/>
        <v>1250</v>
      </c>
      <c r="P207" s="15">
        <f t="shared" si="20"/>
        <v>201350</v>
      </c>
      <c r="Q207" s="15">
        <f t="shared" si="21"/>
        <v>-165350</v>
      </c>
      <c r="R207" s="17">
        <v>1239</v>
      </c>
    </row>
    <row r="208" spans="1:18" ht="16.5" x14ac:dyDescent="0.25">
      <c r="A208" s="12">
        <v>1240</v>
      </c>
      <c r="B208" s="13" t="s">
        <v>212</v>
      </c>
      <c r="C208" s="13" t="s">
        <v>47</v>
      </c>
      <c r="D208" s="14"/>
      <c r="E208" s="15">
        <v>6400</v>
      </c>
      <c r="F208" s="15">
        <v>300</v>
      </c>
      <c r="G208" s="15">
        <v>400</v>
      </c>
      <c r="H208" s="15">
        <f t="shared" si="22"/>
        <v>7100</v>
      </c>
      <c r="I208" s="15">
        <f t="shared" si="23"/>
        <v>0</v>
      </c>
      <c r="J208" s="16"/>
      <c r="K208" s="15"/>
      <c r="L208" s="15">
        <f t="shared" si="18"/>
        <v>0</v>
      </c>
      <c r="M208" s="16"/>
      <c r="N208" s="16"/>
      <c r="O208" s="15">
        <f t="shared" si="19"/>
        <v>0</v>
      </c>
      <c r="P208" s="15">
        <f t="shared" si="20"/>
        <v>0</v>
      </c>
      <c r="Q208" s="15">
        <f t="shared" si="21"/>
        <v>0</v>
      </c>
      <c r="R208" s="17">
        <v>1240</v>
      </c>
    </row>
    <row r="209" spans="1:18" ht="16.5" x14ac:dyDescent="0.25">
      <c r="A209" s="12">
        <v>1242</v>
      </c>
      <c r="B209" s="13" t="s">
        <v>213</v>
      </c>
      <c r="C209" s="13" t="s">
        <v>30</v>
      </c>
      <c r="D209" s="14"/>
      <c r="E209" s="15">
        <v>6400</v>
      </c>
      <c r="F209" s="15">
        <v>300</v>
      </c>
      <c r="G209" s="15">
        <v>400</v>
      </c>
      <c r="H209" s="15">
        <f t="shared" si="22"/>
        <v>7100</v>
      </c>
      <c r="I209" s="15">
        <f t="shared" si="23"/>
        <v>0</v>
      </c>
      <c r="J209" s="16"/>
      <c r="K209" s="15"/>
      <c r="L209" s="15">
        <f t="shared" si="18"/>
        <v>0</v>
      </c>
      <c r="M209" s="16"/>
      <c r="N209" s="16"/>
      <c r="O209" s="15">
        <f t="shared" si="19"/>
        <v>0</v>
      </c>
      <c r="P209" s="15">
        <f t="shared" si="20"/>
        <v>0</v>
      </c>
      <c r="Q209" s="15">
        <f t="shared" si="21"/>
        <v>0</v>
      </c>
      <c r="R209" s="17">
        <v>1242</v>
      </c>
    </row>
    <row r="210" spans="1:18" ht="16.5" x14ac:dyDescent="0.25">
      <c r="A210" s="12">
        <v>1243</v>
      </c>
      <c r="B210" s="13" t="s">
        <v>214</v>
      </c>
      <c r="C210" s="13" t="s">
        <v>30</v>
      </c>
      <c r="D210" s="14"/>
      <c r="E210" s="15">
        <v>6400</v>
      </c>
      <c r="F210" s="15">
        <v>300</v>
      </c>
      <c r="G210" s="15">
        <v>400</v>
      </c>
      <c r="H210" s="15">
        <f t="shared" si="22"/>
        <v>7100</v>
      </c>
      <c r="I210" s="15">
        <f t="shared" si="23"/>
        <v>0</v>
      </c>
      <c r="J210" s="16"/>
      <c r="K210" s="15"/>
      <c r="L210" s="15">
        <f t="shared" si="18"/>
        <v>0</v>
      </c>
      <c r="M210" s="16"/>
      <c r="N210" s="16"/>
      <c r="O210" s="15">
        <f t="shared" si="19"/>
        <v>0</v>
      </c>
      <c r="P210" s="15">
        <f t="shared" si="20"/>
        <v>0</v>
      </c>
      <c r="Q210" s="15">
        <f t="shared" si="21"/>
        <v>0</v>
      </c>
      <c r="R210" s="17">
        <v>1243</v>
      </c>
    </row>
    <row r="211" spans="1:18" ht="16.5" x14ac:dyDescent="0.25">
      <c r="A211" s="12">
        <v>1244</v>
      </c>
      <c r="B211" s="13" t="s">
        <v>215</v>
      </c>
      <c r="C211" s="13" t="s">
        <v>30</v>
      </c>
      <c r="D211" s="14">
        <v>147</v>
      </c>
      <c r="E211" s="15">
        <v>6400</v>
      </c>
      <c r="F211" s="15">
        <v>500</v>
      </c>
      <c r="G211" s="15">
        <v>400</v>
      </c>
      <c r="H211" s="15">
        <f t="shared" si="22"/>
        <v>7300</v>
      </c>
      <c r="I211" s="15">
        <f t="shared" si="23"/>
        <v>1073100</v>
      </c>
      <c r="J211" s="16">
        <v>100000</v>
      </c>
      <c r="K211" s="15">
        <v>200000</v>
      </c>
      <c r="L211" s="15">
        <f t="shared" si="18"/>
        <v>2940</v>
      </c>
      <c r="M211" s="16"/>
      <c r="N211" s="16"/>
      <c r="O211" s="15">
        <f t="shared" si="19"/>
        <v>36750</v>
      </c>
      <c r="P211" s="15">
        <f t="shared" si="20"/>
        <v>339690</v>
      </c>
      <c r="Q211" s="15">
        <f t="shared" si="21"/>
        <v>733410</v>
      </c>
      <c r="R211" s="17">
        <v>1244</v>
      </c>
    </row>
    <row r="212" spans="1:18" ht="16.5" x14ac:dyDescent="0.25">
      <c r="A212" s="12">
        <v>1245</v>
      </c>
      <c r="B212" s="13" t="s">
        <v>216</v>
      </c>
      <c r="C212" s="13" t="s">
        <v>21</v>
      </c>
      <c r="D212" s="14"/>
      <c r="E212" s="15">
        <v>6400</v>
      </c>
      <c r="F212" s="15">
        <v>300</v>
      </c>
      <c r="G212" s="15">
        <v>400</v>
      </c>
      <c r="H212" s="15">
        <f t="shared" si="22"/>
        <v>7100</v>
      </c>
      <c r="I212" s="15">
        <f t="shared" si="23"/>
        <v>0</v>
      </c>
      <c r="J212" s="16"/>
      <c r="K212" s="15"/>
      <c r="L212" s="15">
        <f t="shared" si="18"/>
        <v>0</v>
      </c>
      <c r="M212" s="16"/>
      <c r="N212" s="16"/>
      <c r="O212" s="15">
        <f t="shared" si="19"/>
        <v>0</v>
      </c>
      <c r="P212" s="15">
        <f t="shared" si="20"/>
        <v>0</v>
      </c>
      <c r="Q212" s="15">
        <f t="shared" si="21"/>
        <v>0</v>
      </c>
      <c r="R212" s="17">
        <v>1245</v>
      </c>
    </row>
    <row r="213" spans="1:18" ht="16.5" x14ac:dyDescent="0.25">
      <c r="A213" s="12">
        <v>1247</v>
      </c>
      <c r="B213" s="13" t="s">
        <v>217</v>
      </c>
      <c r="C213" s="13" t="s">
        <v>138</v>
      </c>
      <c r="D213" s="14"/>
      <c r="E213" s="15">
        <v>6400</v>
      </c>
      <c r="F213" s="15">
        <v>400</v>
      </c>
      <c r="G213" s="15">
        <v>400</v>
      </c>
      <c r="H213" s="15">
        <f t="shared" si="22"/>
        <v>7200</v>
      </c>
      <c r="I213" s="15">
        <f t="shared" si="23"/>
        <v>0</v>
      </c>
      <c r="J213" s="16"/>
      <c r="K213" s="15"/>
      <c r="L213" s="15">
        <f t="shared" si="18"/>
        <v>0</v>
      </c>
      <c r="M213" s="16"/>
      <c r="N213" s="16"/>
      <c r="O213" s="15">
        <f t="shared" si="19"/>
        <v>0</v>
      </c>
      <c r="P213" s="15">
        <f t="shared" si="20"/>
        <v>0</v>
      </c>
      <c r="Q213" s="15">
        <f t="shared" si="21"/>
        <v>0</v>
      </c>
      <c r="R213" s="17">
        <v>1247</v>
      </c>
    </row>
    <row r="214" spans="1:18" ht="16.5" x14ac:dyDescent="0.25">
      <c r="A214" s="12">
        <v>1248</v>
      </c>
      <c r="B214" s="13" t="s">
        <v>216</v>
      </c>
      <c r="C214" s="13" t="s">
        <v>43</v>
      </c>
      <c r="D214" s="14"/>
      <c r="E214" s="15">
        <v>6400</v>
      </c>
      <c r="F214" s="15">
        <v>300</v>
      </c>
      <c r="G214" s="15">
        <v>400</v>
      </c>
      <c r="H214" s="15">
        <f t="shared" si="22"/>
        <v>7100</v>
      </c>
      <c r="I214" s="15">
        <f t="shared" si="23"/>
        <v>0</v>
      </c>
      <c r="J214" s="16"/>
      <c r="K214" s="15"/>
      <c r="L214" s="15">
        <f t="shared" si="18"/>
        <v>0</v>
      </c>
      <c r="M214" s="16"/>
      <c r="N214" s="16"/>
      <c r="O214" s="15">
        <f t="shared" si="19"/>
        <v>0</v>
      </c>
      <c r="P214" s="15">
        <f t="shared" si="20"/>
        <v>0</v>
      </c>
      <c r="Q214" s="15">
        <f t="shared" si="21"/>
        <v>0</v>
      </c>
      <c r="R214" s="17">
        <v>1248</v>
      </c>
    </row>
    <row r="215" spans="1:18" ht="16.5" x14ac:dyDescent="0.25">
      <c r="A215" s="12">
        <v>1250</v>
      </c>
      <c r="B215" s="13" t="s">
        <v>218</v>
      </c>
      <c r="C215" s="13" t="s">
        <v>25</v>
      </c>
      <c r="D215" s="14"/>
      <c r="E215" s="15">
        <v>6400</v>
      </c>
      <c r="F215" s="15">
        <v>300</v>
      </c>
      <c r="G215" s="15">
        <v>400</v>
      </c>
      <c r="H215" s="15">
        <f t="shared" si="22"/>
        <v>7100</v>
      </c>
      <c r="I215" s="15">
        <f t="shared" si="23"/>
        <v>0</v>
      </c>
      <c r="J215" s="16"/>
      <c r="K215" s="15"/>
      <c r="L215" s="15">
        <f t="shared" si="18"/>
        <v>0</v>
      </c>
      <c r="M215" s="16"/>
      <c r="N215" s="16"/>
      <c r="O215" s="15">
        <f t="shared" si="19"/>
        <v>0</v>
      </c>
      <c r="P215" s="15">
        <f t="shared" si="20"/>
        <v>0</v>
      </c>
      <c r="Q215" s="15">
        <f t="shared" si="21"/>
        <v>0</v>
      </c>
      <c r="R215" s="17">
        <v>1250</v>
      </c>
    </row>
    <row r="216" spans="1:18" ht="16.5" x14ac:dyDescent="0.25">
      <c r="A216" s="12">
        <v>1251</v>
      </c>
      <c r="B216" s="13" t="s">
        <v>219</v>
      </c>
      <c r="C216" s="13" t="s">
        <v>25</v>
      </c>
      <c r="D216" s="14"/>
      <c r="E216" s="15">
        <v>6400</v>
      </c>
      <c r="F216" s="15">
        <v>300</v>
      </c>
      <c r="G216" s="15">
        <v>400</v>
      </c>
      <c r="H216" s="15">
        <f t="shared" si="22"/>
        <v>7100</v>
      </c>
      <c r="I216" s="15">
        <f t="shared" si="23"/>
        <v>0</v>
      </c>
      <c r="J216" s="16"/>
      <c r="K216" s="15"/>
      <c r="L216" s="15">
        <f t="shared" si="18"/>
        <v>0</v>
      </c>
      <c r="M216" s="20"/>
      <c r="N216" s="20"/>
      <c r="O216" s="15">
        <f t="shared" si="19"/>
        <v>0</v>
      </c>
      <c r="P216" s="15">
        <f t="shared" si="20"/>
        <v>0</v>
      </c>
      <c r="Q216" s="15">
        <f t="shared" si="21"/>
        <v>0</v>
      </c>
      <c r="R216" s="17">
        <v>1251</v>
      </c>
    </row>
    <row r="217" spans="1:18" ht="16.5" x14ac:dyDescent="0.25">
      <c r="A217" s="12">
        <v>1252</v>
      </c>
      <c r="B217" s="13" t="s">
        <v>220</v>
      </c>
      <c r="C217" s="13" t="s">
        <v>16</v>
      </c>
      <c r="D217" s="26"/>
      <c r="E217" s="15">
        <v>6400</v>
      </c>
      <c r="F217" s="15">
        <v>300</v>
      </c>
      <c r="G217" s="15">
        <v>400</v>
      </c>
      <c r="H217" s="15">
        <f t="shared" si="22"/>
        <v>7100</v>
      </c>
      <c r="I217" s="15">
        <f t="shared" si="23"/>
        <v>0</v>
      </c>
      <c r="J217" s="20"/>
      <c r="K217" s="15"/>
      <c r="L217" s="15">
        <f t="shared" si="18"/>
        <v>0</v>
      </c>
      <c r="M217" s="16"/>
      <c r="N217" s="16"/>
      <c r="O217" s="15">
        <f t="shared" si="19"/>
        <v>0</v>
      </c>
      <c r="P217" s="15">
        <f t="shared" si="20"/>
        <v>0</v>
      </c>
      <c r="Q217" s="15">
        <f t="shared" si="21"/>
        <v>0</v>
      </c>
      <c r="R217" s="17">
        <v>1252</v>
      </c>
    </row>
    <row r="218" spans="1:18" ht="16.5" x14ac:dyDescent="0.25">
      <c r="A218" s="12">
        <v>1256</v>
      </c>
      <c r="B218" s="13" t="s">
        <v>221</v>
      </c>
      <c r="C218" s="13" t="s">
        <v>138</v>
      </c>
      <c r="D218" s="14">
        <v>38</v>
      </c>
      <c r="E218" s="15">
        <v>6400</v>
      </c>
      <c r="F218" s="15">
        <v>400</v>
      </c>
      <c r="G218" s="15">
        <v>400</v>
      </c>
      <c r="H218" s="15">
        <f t="shared" si="22"/>
        <v>7200</v>
      </c>
      <c r="I218" s="15">
        <f t="shared" si="23"/>
        <v>273600</v>
      </c>
      <c r="J218" s="16"/>
      <c r="K218" s="15"/>
      <c r="L218" s="15">
        <f t="shared" si="18"/>
        <v>760</v>
      </c>
      <c r="M218" s="20"/>
      <c r="N218" s="20"/>
      <c r="O218" s="15">
        <f t="shared" si="19"/>
        <v>9500</v>
      </c>
      <c r="P218" s="15">
        <f t="shared" si="20"/>
        <v>10260</v>
      </c>
      <c r="Q218" s="15">
        <f t="shared" si="21"/>
        <v>263340</v>
      </c>
      <c r="R218" s="17">
        <v>1256</v>
      </c>
    </row>
    <row r="219" spans="1:18" ht="16.5" x14ac:dyDescent="0.25">
      <c r="A219" s="12">
        <v>1262</v>
      </c>
      <c r="B219" s="13" t="s">
        <v>222</v>
      </c>
      <c r="C219" s="13" t="s">
        <v>138</v>
      </c>
      <c r="D219" s="19"/>
      <c r="E219" s="15">
        <v>6400</v>
      </c>
      <c r="F219" s="15">
        <v>300</v>
      </c>
      <c r="G219" s="15">
        <v>400</v>
      </c>
      <c r="H219" s="15">
        <f t="shared" si="22"/>
        <v>7100</v>
      </c>
      <c r="I219" s="15">
        <f t="shared" si="23"/>
        <v>0</v>
      </c>
      <c r="J219" s="20"/>
      <c r="K219" s="15"/>
      <c r="L219" s="15">
        <f t="shared" si="18"/>
        <v>0</v>
      </c>
      <c r="M219" s="16"/>
      <c r="N219" s="16"/>
      <c r="O219" s="15">
        <f t="shared" si="19"/>
        <v>0</v>
      </c>
      <c r="P219" s="15">
        <f t="shared" si="20"/>
        <v>0</v>
      </c>
      <c r="Q219" s="15">
        <f t="shared" si="21"/>
        <v>0</v>
      </c>
      <c r="R219" s="17">
        <v>1262</v>
      </c>
    </row>
    <row r="220" spans="1:18" ht="16.5" x14ac:dyDescent="0.25">
      <c r="A220" s="12">
        <v>1263</v>
      </c>
      <c r="B220" s="13" t="s">
        <v>223</v>
      </c>
      <c r="C220" s="13" t="s">
        <v>25</v>
      </c>
      <c r="D220" s="14">
        <v>94</v>
      </c>
      <c r="E220" s="15">
        <v>6400</v>
      </c>
      <c r="F220" s="15">
        <v>400</v>
      </c>
      <c r="G220" s="15">
        <v>400</v>
      </c>
      <c r="H220" s="15">
        <f t="shared" si="22"/>
        <v>7200</v>
      </c>
      <c r="I220" s="15">
        <f t="shared" si="23"/>
        <v>676800</v>
      </c>
      <c r="J220" s="16"/>
      <c r="K220" s="15">
        <v>200000</v>
      </c>
      <c r="L220" s="15">
        <f t="shared" si="18"/>
        <v>1880</v>
      </c>
      <c r="M220" s="16"/>
      <c r="N220" s="16"/>
      <c r="O220" s="15">
        <f t="shared" si="19"/>
        <v>23500</v>
      </c>
      <c r="P220" s="15">
        <f t="shared" si="20"/>
        <v>225380</v>
      </c>
      <c r="Q220" s="15">
        <f t="shared" si="21"/>
        <v>451420</v>
      </c>
      <c r="R220" s="17">
        <v>1263</v>
      </c>
    </row>
    <row r="221" spans="1:18" ht="16.5" x14ac:dyDescent="0.25">
      <c r="A221" s="12">
        <v>1264</v>
      </c>
      <c r="B221" s="13" t="s">
        <v>224</v>
      </c>
      <c r="C221" s="13" t="s">
        <v>82</v>
      </c>
      <c r="D221" s="16"/>
      <c r="E221" s="15">
        <v>6400</v>
      </c>
      <c r="F221" s="15">
        <v>300</v>
      </c>
      <c r="G221" s="15">
        <v>400</v>
      </c>
      <c r="H221" s="15">
        <f t="shared" si="22"/>
        <v>7100</v>
      </c>
      <c r="I221" s="15">
        <f t="shared" si="23"/>
        <v>0</v>
      </c>
      <c r="J221" s="16"/>
      <c r="K221" s="15"/>
      <c r="L221" s="15">
        <f t="shared" si="18"/>
        <v>0</v>
      </c>
      <c r="M221" s="16"/>
      <c r="N221" s="16"/>
      <c r="O221" s="15">
        <f t="shared" si="19"/>
        <v>0</v>
      </c>
      <c r="P221" s="15">
        <f t="shared" si="20"/>
        <v>0</v>
      </c>
      <c r="Q221" s="15">
        <f t="shared" si="21"/>
        <v>0</v>
      </c>
      <c r="R221" s="17">
        <v>1264</v>
      </c>
    </row>
    <row r="222" spans="1:18" ht="16.5" x14ac:dyDescent="0.25">
      <c r="A222" s="12">
        <v>1265</v>
      </c>
      <c r="B222" s="13" t="s">
        <v>31</v>
      </c>
      <c r="C222" s="13" t="s">
        <v>30</v>
      </c>
      <c r="D222" s="14">
        <v>46</v>
      </c>
      <c r="E222" s="15">
        <v>6400</v>
      </c>
      <c r="F222" s="15">
        <v>500</v>
      </c>
      <c r="G222" s="15">
        <v>400</v>
      </c>
      <c r="H222" s="15">
        <f t="shared" si="22"/>
        <v>7300</v>
      </c>
      <c r="I222" s="15">
        <f t="shared" si="23"/>
        <v>335800</v>
      </c>
      <c r="J222" s="16"/>
      <c r="K222" s="15">
        <v>600000</v>
      </c>
      <c r="L222" s="15">
        <f t="shared" si="18"/>
        <v>920</v>
      </c>
      <c r="M222" s="16"/>
      <c r="N222" s="16"/>
      <c r="O222" s="15">
        <f t="shared" si="19"/>
        <v>11500</v>
      </c>
      <c r="P222" s="15">
        <f t="shared" si="20"/>
        <v>612420</v>
      </c>
      <c r="Q222" s="15">
        <f t="shared" si="21"/>
        <v>-276620</v>
      </c>
      <c r="R222" s="17">
        <v>1265</v>
      </c>
    </row>
    <row r="223" spans="1:18" ht="16.5" x14ac:dyDescent="0.25">
      <c r="A223" s="12">
        <v>1266</v>
      </c>
      <c r="B223" s="13" t="s">
        <v>225</v>
      </c>
      <c r="C223" s="13" t="s">
        <v>25</v>
      </c>
      <c r="D223" s="14"/>
      <c r="E223" s="15">
        <v>6400</v>
      </c>
      <c r="F223" s="15">
        <v>400</v>
      </c>
      <c r="G223" s="15">
        <v>400</v>
      </c>
      <c r="H223" s="15">
        <f t="shared" si="22"/>
        <v>7200</v>
      </c>
      <c r="I223" s="15">
        <f t="shared" si="23"/>
        <v>0</v>
      </c>
      <c r="J223" s="20"/>
      <c r="K223" s="15"/>
      <c r="L223" s="15">
        <f t="shared" si="18"/>
        <v>0</v>
      </c>
      <c r="M223" s="16"/>
      <c r="N223" s="16"/>
      <c r="O223" s="15">
        <f t="shared" si="19"/>
        <v>0</v>
      </c>
      <c r="P223" s="15">
        <f t="shared" si="20"/>
        <v>0</v>
      </c>
      <c r="Q223" s="15">
        <f t="shared" si="21"/>
        <v>0</v>
      </c>
      <c r="R223" s="17">
        <v>1266</v>
      </c>
    </row>
    <row r="224" spans="1:18" ht="16.5" x14ac:dyDescent="0.25">
      <c r="A224" s="12">
        <v>1269</v>
      </c>
      <c r="B224" s="13" t="s">
        <v>226</v>
      </c>
      <c r="C224" s="13" t="s">
        <v>21</v>
      </c>
      <c r="D224" s="14"/>
      <c r="E224" s="15">
        <v>6400</v>
      </c>
      <c r="F224" s="15">
        <v>300</v>
      </c>
      <c r="G224" s="15">
        <v>400</v>
      </c>
      <c r="H224" s="15">
        <f t="shared" si="22"/>
        <v>7100</v>
      </c>
      <c r="I224" s="15">
        <f t="shared" si="23"/>
        <v>0</v>
      </c>
      <c r="J224" s="16"/>
      <c r="K224" s="15"/>
      <c r="L224" s="15">
        <f t="shared" si="18"/>
        <v>0</v>
      </c>
      <c r="M224" s="16"/>
      <c r="N224" s="16"/>
      <c r="O224" s="15">
        <f t="shared" si="19"/>
        <v>0</v>
      </c>
      <c r="P224" s="15">
        <f t="shared" si="20"/>
        <v>0</v>
      </c>
      <c r="Q224" s="15">
        <f t="shared" si="21"/>
        <v>0</v>
      </c>
      <c r="R224" s="17">
        <v>1269</v>
      </c>
    </row>
    <row r="225" spans="1:18" ht="16.5" x14ac:dyDescent="0.25">
      <c r="A225" s="12">
        <v>1271</v>
      </c>
      <c r="B225" s="13" t="s">
        <v>227</v>
      </c>
      <c r="C225" s="13" t="s">
        <v>25</v>
      </c>
      <c r="D225" s="14">
        <v>135</v>
      </c>
      <c r="E225" s="15">
        <v>6400</v>
      </c>
      <c r="F225" s="15">
        <v>500</v>
      </c>
      <c r="G225" s="15">
        <v>400</v>
      </c>
      <c r="H225" s="15">
        <f t="shared" si="22"/>
        <v>7300</v>
      </c>
      <c r="I225" s="15">
        <f t="shared" si="23"/>
        <v>985500</v>
      </c>
      <c r="J225" s="16"/>
      <c r="K225" s="15">
        <v>300000</v>
      </c>
      <c r="L225" s="15">
        <f t="shared" si="18"/>
        <v>2700</v>
      </c>
      <c r="M225" s="20"/>
      <c r="N225" s="20"/>
      <c r="O225" s="15">
        <f t="shared" si="19"/>
        <v>33750</v>
      </c>
      <c r="P225" s="15">
        <f t="shared" si="20"/>
        <v>336450</v>
      </c>
      <c r="Q225" s="15">
        <f t="shared" si="21"/>
        <v>649050</v>
      </c>
      <c r="R225" s="17">
        <v>1271</v>
      </c>
    </row>
    <row r="226" spans="1:18" ht="16.5" x14ac:dyDescent="0.25">
      <c r="A226" s="12">
        <v>1273</v>
      </c>
      <c r="B226" s="13" t="s">
        <v>228</v>
      </c>
      <c r="C226" s="13" t="s">
        <v>30</v>
      </c>
      <c r="D226" s="19"/>
      <c r="E226" s="15">
        <v>6400</v>
      </c>
      <c r="F226" s="15">
        <v>400</v>
      </c>
      <c r="G226" s="15">
        <v>400</v>
      </c>
      <c r="H226" s="15">
        <f t="shared" si="22"/>
        <v>7200</v>
      </c>
      <c r="I226" s="15">
        <f t="shared" si="23"/>
        <v>0</v>
      </c>
      <c r="J226" s="20"/>
      <c r="K226" s="15"/>
      <c r="L226" s="15">
        <f t="shared" si="18"/>
        <v>0</v>
      </c>
      <c r="M226" s="16"/>
      <c r="N226" s="16"/>
      <c r="O226" s="15">
        <f t="shared" si="19"/>
        <v>0</v>
      </c>
      <c r="P226" s="15">
        <f t="shared" si="20"/>
        <v>0</v>
      </c>
      <c r="Q226" s="15">
        <f t="shared" si="21"/>
        <v>0</v>
      </c>
      <c r="R226" s="17">
        <v>1273</v>
      </c>
    </row>
    <row r="227" spans="1:18" ht="16.5" x14ac:dyDescent="0.25">
      <c r="A227" s="12">
        <v>1276</v>
      </c>
      <c r="B227" s="13" t="s">
        <v>65</v>
      </c>
      <c r="C227" s="13" t="s">
        <v>17</v>
      </c>
      <c r="D227" s="14"/>
      <c r="E227" s="15">
        <v>6400</v>
      </c>
      <c r="F227" s="15">
        <v>400</v>
      </c>
      <c r="G227" s="15">
        <v>400</v>
      </c>
      <c r="H227" s="15">
        <f t="shared" si="22"/>
        <v>7200</v>
      </c>
      <c r="I227" s="15">
        <f t="shared" si="23"/>
        <v>0</v>
      </c>
      <c r="J227" s="16"/>
      <c r="K227" s="15"/>
      <c r="L227" s="15">
        <f t="shared" si="18"/>
        <v>0</v>
      </c>
      <c r="M227" s="16"/>
      <c r="N227" s="16"/>
      <c r="O227" s="15">
        <f t="shared" si="19"/>
        <v>0</v>
      </c>
      <c r="P227" s="15">
        <f t="shared" si="20"/>
        <v>0</v>
      </c>
      <c r="Q227" s="15">
        <f t="shared" si="21"/>
        <v>0</v>
      </c>
      <c r="R227" s="17">
        <v>1276</v>
      </c>
    </row>
    <row r="228" spans="1:18" ht="16.5" x14ac:dyDescent="0.25">
      <c r="A228" s="12">
        <v>1279</v>
      </c>
      <c r="B228" s="13" t="s">
        <v>122</v>
      </c>
      <c r="C228" s="13" t="s">
        <v>43</v>
      </c>
      <c r="D228" s="14">
        <v>228</v>
      </c>
      <c r="E228" s="15">
        <v>6400</v>
      </c>
      <c r="F228" s="15">
        <v>600</v>
      </c>
      <c r="G228" s="15">
        <v>400</v>
      </c>
      <c r="H228" s="15">
        <f t="shared" si="22"/>
        <v>7400</v>
      </c>
      <c r="I228" s="15">
        <f t="shared" si="23"/>
        <v>1687200</v>
      </c>
      <c r="J228" s="16"/>
      <c r="K228" s="15">
        <v>600000</v>
      </c>
      <c r="L228" s="15">
        <f t="shared" si="18"/>
        <v>4560</v>
      </c>
      <c r="M228" s="20"/>
      <c r="N228" s="20"/>
      <c r="O228" s="15">
        <f t="shared" si="19"/>
        <v>57000</v>
      </c>
      <c r="P228" s="15">
        <f t="shared" si="20"/>
        <v>661560</v>
      </c>
      <c r="Q228" s="15">
        <f t="shared" si="21"/>
        <v>1025640</v>
      </c>
      <c r="R228" s="17">
        <v>1279</v>
      </c>
    </row>
    <row r="229" spans="1:18" ht="16.5" x14ac:dyDescent="0.25">
      <c r="A229" s="12">
        <v>1280</v>
      </c>
      <c r="B229" s="13" t="s">
        <v>229</v>
      </c>
      <c r="C229" s="13" t="s">
        <v>43</v>
      </c>
      <c r="D229" s="19"/>
      <c r="E229" s="15">
        <v>6400</v>
      </c>
      <c r="F229" s="15">
        <v>300</v>
      </c>
      <c r="G229" s="15">
        <v>400</v>
      </c>
      <c r="H229" s="15">
        <f t="shared" si="22"/>
        <v>7100</v>
      </c>
      <c r="I229" s="15">
        <f t="shared" si="23"/>
        <v>0</v>
      </c>
      <c r="J229" s="20"/>
      <c r="K229" s="15"/>
      <c r="L229" s="15">
        <f t="shared" si="18"/>
        <v>0</v>
      </c>
      <c r="M229" s="16"/>
      <c r="N229" s="16"/>
      <c r="O229" s="15">
        <f t="shared" si="19"/>
        <v>0</v>
      </c>
      <c r="P229" s="15">
        <f t="shared" si="20"/>
        <v>0</v>
      </c>
      <c r="Q229" s="15">
        <f t="shared" si="21"/>
        <v>0</v>
      </c>
      <c r="R229" s="17">
        <v>1280</v>
      </c>
    </row>
    <row r="230" spans="1:18" ht="16.5" x14ac:dyDescent="0.25">
      <c r="A230" s="12">
        <v>1282</v>
      </c>
      <c r="B230" s="13" t="s">
        <v>230</v>
      </c>
      <c r="C230" s="13" t="s">
        <v>23</v>
      </c>
      <c r="D230" s="14"/>
      <c r="E230" s="15">
        <v>6400</v>
      </c>
      <c r="F230" s="15">
        <v>300</v>
      </c>
      <c r="G230" s="15">
        <v>400</v>
      </c>
      <c r="H230" s="15">
        <f t="shared" si="22"/>
        <v>7100</v>
      </c>
      <c r="I230" s="15">
        <f t="shared" si="23"/>
        <v>0</v>
      </c>
      <c r="J230" s="16"/>
      <c r="K230" s="15"/>
      <c r="L230" s="15">
        <f t="shared" si="18"/>
        <v>0</v>
      </c>
      <c r="M230" s="16"/>
      <c r="N230" s="16"/>
      <c r="O230" s="15">
        <f t="shared" si="19"/>
        <v>0</v>
      </c>
      <c r="P230" s="15">
        <f t="shared" si="20"/>
        <v>0</v>
      </c>
      <c r="Q230" s="15">
        <f t="shared" si="21"/>
        <v>0</v>
      </c>
      <c r="R230" s="17">
        <v>1282</v>
      </c>
    </row>
    <row r="231" spans="1:18" ht="16.5" x14ac:dyDescent="0.25">
      <c r="A231" s="12">
        <v>1283</v>
      </c>
      <c r="B231" s="13" t="s">
        <v>231</v>
      </c>
      <c r="C231" s="13" t="s">
        <v>25</v>
      </c>
      <c r="D231" s="16">
        <v>306</v>
      </c>
      <c r="E231" s="15">
        <v>6400</v>
      </c>
      <c r="F231" s="15">
        <v>500</v>
      </c>
      <c r="G231" s="15">
        <v>400</v>
      </c>
      <c r="H231" s="15">
        <f t="shared" si="22"/>
        <v>7300</v>
      </c>
      <c r="I231" s="15">
        <f t="shared" si="23"/>
        <v>2233800</v>
      </c>
      <c r="J231" s="16"/>
      <c r="K231" s="15">
        <v>400000</v>
      </c>
      <c r="L231" s="15">
        <f t="shared" si="18"/>
        <v>6120</v>
      </c>
      <c r="M231" s="16"/>
      <c r="N231" s="16"/>
      <c r="O231" s="15">
        <f t="shared" si="19"/>
        <v>76500</v>
      </c>
      <c r="P231" s="15">
        <f t="shared" si="20"/>
        <v>482620</v>
      </c>
      <c r="Q231" s="15">
        <f t="shared" si="21"/>
        <v>1751180</v>
      </c>
      <c r="R231" s="17">
        <v>1283</v>
      </c>
    </row>
    <row r="232" spans="1:18" ht="16.5" x14ac:dyDescent="0.25">
      <c r="A232" s="12">
        <v>1284</v>
      </c>
      <c r="B232" s="13" t="s">
        <v>230</v>
      </c>
      <c r="C232" s="13" t="s">
        <v>23</v>
      </c>
      <c r="D232" s="16"/>
      <c r="E232" s="15">
        <v>6400</v>
      </c>
      <c r="F232" s="15">
        <v>400</v>
      </c>
      <c r="G232" s="15">
        <v>400</v>
      </c>
      <c r="H232" s="15">
        <f t="shared" si="22"/>
        <v>7200</v>
      </c>
      <c r="I232" s="15">
        <f t="shared" si="23"/>
        <v>0</v>
      </c>
      <c r="J232" s="16"/>
      <c r="K232" s="15"/>
      <c r="L232" s="15">
        <f t="shared" si="18"/>
        <v>0</v>
      </c>
      <c r="M232" s="16"/>
      <c r="N232" s="16"/>
      <c r="O232" s="15">
        <f t="shared" si="19"/>
        <v>0</v>
      </c>
      <c r="P232" s="15">
        <f t="shared" si="20"/>
        <v>0</v>
      </c>
      <c r="Q232" s="15">
        <f t="shared" si="21"/>
        <v>0</v>
      </c>
      <c r="R232" s="17">
        <v>1284</v>
      </c>
    </row>
    <row r="233" spans="1:18" ht="16.5" x14ac:dyDescent="0.25">
      <c r="A233" s="12">
        <v>1293</v>
      </c>
      <c r="B233" s="13" t="s">
        <v>232</v>
      </c>
      <c r="C233" s="13" t="s">
        <v>47</v>
      </c>
      <c r="D233" s="14"/>
      <c r="E233" s="15">
        <v>6400</v>
      </c>
      <c r="F233" s="15">
        <v>200</v>
      </c>
      <c r="G233" s="15">
        <v>400</v>
      </c>
      <c r="H233" s="15">
        <f t="shared" si="22"/>
        <v>7000</v>
      </c>
      <c r="I233" s="15">
        <f t="shared" si="23"/>
        <v>0</v>
      </c>
      <c r="J233" s="16"/>
      <c r="K233" s="15"/>
      <c r="L233" s="15">
        <f t="shared" si="18"/>
        <v>0</v>
      </c>
      <c r="M233" s="16"/>
      <c r="N233" s="16"/>
      <c r="O233" s="15">
        <f t="shared" si="19"/>
        <v>0</v>
      </c>
      <c r="P233" s="15">
        <f t="shared" si="20"/>
        <v>0</v>
      </c>
      <c r="Q233" s="15">
        <f t="shared" si="21"/>
        <v>0</v>
      </c>
      <c r="R233" s="17">
        <v>1293</v>
      </c>
    </row>
    <row r="234" spans="1:18" ht="16.5" x14ac:dyDescent="0.25">
      <c r="A234" s="12">
        <v>1295</v>
      </c>
      <c r="B234" s="13" t="s">
        <v>233</v>
      </c>
      <c r="C234" s="13" t="s">
        <v>25</v>
      </c>
      <c r="D234" s="16"/>
      <c r="E234" s="15">
        <v>6400</v>
      </c>
      <c r="F234" s="15">
        <v>300</v>
      </c>
      <c r="G234" s="15">
        <v>400</v>
      </c>
      <c r="H234" s="15">
        <f t="shared" si="22"/>
        <v>7100</v>
      </c>
      <c r="I234" s="15">
        <f t="shared" si="23"/>
        <v>0</v>
      </c>
      <c r="J234" s="16"/>
      <c r="K234" s="15"/>
      <c r="L234" s="15">
        <f t="shared" si="18"/>
        <v>0</v>
      </c>
      <c r="M234" s="20"/>
      <c r="N234" s="20"/>
      <c r="O234" s="15">
        <f t="shared" si="19"/>
        <v>0</v>
      </c>
      <c r="P234" s="15">
        <f t="shared" si="20"/>
        <v>0</v>
      </c>
      <c r="Q234" s="15">
        <f t="shared" si="21"/>
        <v>0</v>
      </c>
      <c r="R234" s="17">
        <v>1295</v>
      </c>
    </row>
    <row r="235" spans="1:18" ht="16.5" x14ac:dyDescent="0.25">
      <c r="A235" s="12">
        <v>1299</v>
      </c>
      <c r="B235" s="13" t="s">
        <v>234</v>
      </c>
      <c r="C235" s="13" t="s">
        <v>82</v>
      </c>
      <c r="D235" s="19"/>
      <c r="E235" s="15">
        <v>6400</v>
      </c>
      <c r="F235" s="15">
        <v>300</v>
      </c>
      <c r="G235" s="15">
        <v>400</v>
      </c>
      <c r="H235" s="15">
        <f t="shared" si="22"/>
        <v>7100</v>
      </c>
      <c r="I235" s="15">
        <f t="shared" si="23"/>
        <v>0</v>
      </c>
      <c r="J235" s="20"/>
      <c r="K235" s="15"/>
      <c r="L235" s="15">
        <f t="shared" si="18"/>
        <v>0</v>
      </c>
      <c r="M235" s="16"/>
      <c r="N235" s="16"/>
      <c r="O235" s="15">
        <f t="shared" si="19"/>
        <v>0</v>
      </c>
      <c r="P235" s="15">
        <f t="shared" si="20"/>
        <v>0</v>
      </c>
      <c r="Q235" s="15">
        <f t="shared" si="21"/>
        <v>0</v>
      </c>
      <c r="R235" s="17">
        <v>1299</v>
      </c>
    </row>
    <row r="236" spans="1:18" ht="16.5" x14ac:dyDescent="0.25">
      <c r="A236" s="12">
        <v>1300</v>
      </c>
      <c r="B236" s="13" t="s">
        <v>235</v>
      </c>
      <c r="C236" s="13" t="s">
        <v>43</v>
      </c>
      <c r="D236" s="14"/>
      <c r="E236" s="15">
        <v>6400</v>
      </c>
      <c r="F236" s="15">
        <v>300</v>
      </c>
      <c r="G236" s="15">
        <v>400</v>
      </c>
      <c r="H236" s="15">
        <f t="shared" si="22"/>
        <v>7100</v>
      </c>
      <c r="I236" s="15">
        <f t="shared" si="23"/>
        <v>0</v>
      </c>
      <c r="J236" s="16"/>
      <c r="K236" s="15"/>
      <c r="L236" s="15">
        <f t="shared" si="18"/>
        <v>0</v>
      </c>
      <c r="M236" s="16"/>
      <c r="N236" s="16"/>
      <c r="O236" s="15">
        <f t="shared" si="19"/>
        <v>0</v>
      </c>
      <c r="P236" s="15">
        <f t="shared" si="20"/>
        <v>0</v>
      </c>
      <c r="Q236" s="15">
        <f t="shared" si="21"/>
        <v>0</v>
      </c>
      <c r="R236" s="17">
        <v>1300</v>
      </c>
    </row>
    <row r="237" spans="1:18" ht="16.5" x14ac:dyDescent="0.25">
      <c r="A237" s="12">
        <v>1308</v>
      </c>
      <c r="B237" s="13" t="s">
        <v>236</v>
      </c>
      <c r="C237" s="13" t="s">
        <v>25</v>
      </c>
      <c r="D237" s="16">
        <v>136</v>
      </c>
      <c r="E237" s="15">
        <v>6400</v>
      </c>
      <c r="F237" s="15">
        <v>400</v>
      </c>
      <c r="G237" s="15">
        <v>400</v>
      </c>
      <c r="H237" s="15">
        <f t="shared" si="22"/>
        <v>7200</v>
      </c>
      <c r="I237" s="15">
        <f t="shared" si="23"/>
        <v>979200</v>
      </c>
      <c r="J237" s="16"/>
      <c r="K237" s="15">
        <v>400000</v>
      </c>
      <c r="L237" s="15">
        <f t="shared" si="18"/>
        <v>2720</v>
      </c>
      <c r="M237" s="20"/>
      <c r="N237" s="20"/>
      <c r="O237" s="15">
        <f t="shared" si="19"/>
        <v>34000</v>
      </c>
      <c r="P237" s="15">
        <f t="shared" si="20"/>
        <v>436720</v>
      </c>
      <c r="Q237" s="15">
        <f t="shared" si="21"/>
        <v>542480</v>
      </c>
      <c r="R237" s="17">
        <v>1308</v>
      </c>
    </row>
    <row r="238" spans="1:18" ht="16.5" x14ac:dyDescent="0.25">
      <c r="A238" s="12">
        <v>1312</v>
      </c>
      <c r="B238" s="13" t="s">
        <v>216</v>
      </c>
      <c r="C238" s="13" t="s">
        <v>47</v>
      </c>
      <c r="D238" s="19">
        <v>143</v>
      </c>
      <c r="E238" s="15">
        <v>6400</v>
      </c>
      <c r="F238" s="15">
        <v>400</v>
      </c>
      <c r="G238" s="15">
        <v>400</v>
      </c>
      <c r="H238" s="15">
        <f t="shared" si="22"/>
        <v>7200</v>
      </c>
      <c r="I238" s="15">
        <f t="shared" si="23"/>
        <v>1029600</v>
      </c>
      <c r="J238" s="20"/>
      <c r="K238" s="15">
        <v>400000</v>
      </c>
      <c r="L238" s="15">
        <f t="shared" si="18"/>
        <v>2860</v>
      </c>
      <c r="M238" s="20"/>
      <c r="N238" s="20"/>
      <c r="O238" s="15">
        <f t="shared" si="19"/>
        <v>35750</v>
      </c>
      <c r="P238" s="15">
        <f t="shared" si="20"/>
        <v>438610</v>
      </c>
      <c r="Q238" s="15">
        <f t="shared" si="21"/>
        <v>590990</v>
      </c>
      <c r="R238" s="17">
        <v>1312</v>
      </c>
    </row>
    <row r="239" spans="1:18" ht="16.5" x14ac:dyDescent="0.25">
      <c r="A239" s="12">
        <v>1315</v>
      </c>
      <c r="B239" s="13" t="s">
        <v>48</v>
      </c>
      <c r="C239" s="13" t="s">
        <v>47</v>
      </c>
      <c r="D239" s="19"/>
      <c r="E239" s="15">
        <v>6400</v>
      </c>
      <c r="F239" s="15">
        <v>300</v>
      </c>
      <c r="G239" s="15">
        <v>400</v>
      </c>
      <c r="H239" s="15">
        <f t="shared" si="22"/>
        <v>7100</v>
      </c>
      <c r="I239" s="15">
        <f t="shared" si="23"/>
        <v>0</v>
      </c>
      <c r="J239" s="20"/>
      <c r="K239" s="15"/>
      <c r="L239" s="15">
        <f t="shared" si="18"/>
        <v>0</v>
      </c>
      <c r="M239" s="20"/>
      <c r="N239" s="20"/>
      <c r="O239" s="15">
        <f t="shared" si="19"/>
        <v>0</v>
      </c>
      <c r="P239" s="15">
        <f t="shared" si="20"/>
        <v>0</v>
      </c>
      <c r="Q239" s="15">
        <f t="shared" si="21"/>
        <v>0</v>
      </c>
      <c r="R239" s="17">
        <v>1315</v>
      </c>
    </row>
    <row r="240" spans="1:18" ht="16.5" x14ac:dyDescent="0.25">
      <c r="A240" s="12">
        <v>1316</v>
      </c>
      <c r="B240" s="13" t="s">
        <v>176</v>
      </c>
      <c r="C240" s="13" t="s">
        <v>25</v>
      </c>
      <c r="D240" s="20"/>
      <c r="E240" s="15">
        <v>6400</v>
      </c>
      <c r="F240" s="15">
        <v>300</v>
      </c>
      <c r="G240" s="15">
        <v>400</v>
      </c>
      <c r="H240" s="15">
        <f t="shared" si="22"/>
        <v>7100</v>
      </c>
      <c r="I240" s="15">
        <f t="shared" si="23"/>
        <v>0</v>
      </c>
      <c r="J240" s="20"/>
      <c r="K240" s="15"/>
      <c r="L240" s="15">
        <f t="shared" si="18"/>
        <v>0</v>
      </c>
      <c r="M240" s="16"/>
      <c r="N240" s="16"/>
      <c r="O240" s="15">
        <f t="shared" si="19"/>
        <v>0</v>
      </c>
      <c r="P240" s="15">
        <f t="shared" si="20"/>
        <v>0</v>
      </c>
      <c r="Q240" s="15">
        <f t="shared" si="21"/>
        <v>0</v>
      </c>
      <c r="R240" s="17">
        <v>1316</v>
      </c>
    </row>
    <row r="241" spans="1:18" ht="16.5" x14ac:dyDescent="0.25">
      <c r="A241" s="12">
        <v>1318</v>
      </c>
      <c r="B241" s="13" t="s">
        <v>237</v>
      </c>
      <c r="C241" s="13" t="s">
        <v>47</v>
      </c>
      <c r="D241" s="14"/>
      <c r="E241" s="15">
        <v>6400</v>
      </c>
      <c r="F241" s="15">
        <v>400</v>
      </c>
      <c r="G241" s="15">
        <v>400</v>
      </c>
      <c r="H241" s="15">
        <f t="shared" si="22"/>
        <v>7200</v>
      </c>
      <c r="I241" s="15">
        <f t="shared" si="23"/>
        <v>0</v>
      </c>
      <c r="J241" s="16"/>
      <c r="K241" s="15"/>
      <c r="L241" s="15">
        <f t="shared" si="18"/>
        <v>0</v>
      </c>
      <c r="M241" s="16"/>
      <c r="N241" s="16"/>
      <c r="O241" s="15">
        <f t="shared" si="19"/>
        <v>0</v>
      </c>
      <c r="P241" s="15">
        <f t="shared" si="20"/>
        <v>0</v>
      </c>
      <c r="Q241" s="15">
        <f t="shared" si="21"/>
        <v>0</v>
      </c>
      <c r="R241" s="17">
        <v>1318</v>
      </c>
    </row>
    <row r="242" spans="1:18" ht="16.5" x14ac:dyDescent="0.25">
      <c r="A242" s="12">
        <v>1322</v>
      </c>
      <c r="B242" s="13" t="s">
        <v>238</v>
      </c>
      <c r="C242" s="13" t="s">
        <v>186</v>
      </c>
      <c r="D242" s="16"/>
      <c r="E242" s="15">
        <v>6400</v>
      </c>
      <c r="F242" s="15">
        <v>400</v>
      </c>
      <c r="G242" s="15">
        <v>400</v>
      </c>
      <c r="H242" s="15">
        <f t="shared" si="22"/>
        <v>7200</v>
      </c>
      <c r="I242" s="15">
        <f t="shared" si="23"/>
        <v>0</v>
      </c>
      <c r="J242" s="16"/>
      <c r="K242" s="15"/>
      <c r="L242" s="15">
        <f t="shared" si="18"/>
        <v>0</v>
      </c>
      <c r="M242" s="16"/>
      <c r="N242" s="16"/>
      <c r="O242" s="15">
        <f t="shared" si="19"/>
        <v>0</v>
      </c>
      <c r="P242" s="15">
        <f t="shared" si="20"/>
        <v>0</v>
      </c>
      <c r="Q242" s="15">
        <f t="shared" si="21"/>
        <v>0</v>
      </c>
      <c r="R242" s="17">
        <v>1322</v>
      </c>
    </row>
    <row r="243" spans="1:18" ht="16.5" x14ac:dyDescent="0.25">
      <c r="A243" s="12">
        <v>1325</v>
      </c>
      <c r="B243" s="13" t="s">
        <v>239</v>
      </c>
      <c r="C243" s="13" t="s">
        <v>43</v>
      </c>
      <c r="D243" s="14"/>
      <c r="E243" s="15">
        <v>6400</v>
      </c>
      <c r="F243" s="15">
        <v>300</v>
      </c>
      <c r="G243" s="15">
        <v>400</v>
      </c>
      <c r="H243" s="15">
        <f t="shared" si="22"/>
        <v>7100</v>
      </c>
      <c r="I243" s="15">
        <f t="shared" si="23"/>
        <v>0</v>
      </c>
      <c r="J243" s="16"/>
      <c r="K243" s="15"/>
      <c r="L243" s="15">
        <f t="shared" si="18"/>
        <v>0</v>
      </c>
      <c r="M243" s="16"/>
      <c r="N243" s="16"/>
      <c r="O243" s="15">
        <f t="shared" si="19"/>
        <v>0</v>
      </c>
      <c r="P243" s="15">
        <f t="shared" si="20"/>
        <v>0</v>
      </c>
      <c r="Q243" s="15">
        <f t="shared" si="21"/>
        <v>0</v>
      </c>
      <c r="R243" s="17">
        <v>1325</v>
      </c>
    </row>
    <row r="244" spans="1:18" ht="16.5" x14ac:dyDescent="0.25">
      <c r="A244" s="12">
        <v>1328</v>
      </c>
      <c r="B244" s="13" t="s">
        <v>240</v>
      </c>
      <c r="C244" s="13" t="s">
        <v>138</v>
      </c>
      <c r="D244" s="14"/>
      <c r="E244" s="15">
        <v>6400</v>
      </c>
      <c r="F244" s="15">
        <v>300</v>
      </c>
      <c r="G244" s="15">
        <v>400</v>
      </c>
      <c r="H244" s="15">
        <f t="shared" si="22"/>
        <v>7100</v>
      </c>
      <c r="I244" s="15">
        <f t="shared" si="23"/>
        <v>0</v>
      </c>
      <c r="J244" s="16"/>
      <c r="K244" s="15"/>
      <c r="L244" s="15">
        <f t="shared" si="18"/>
        <v>0</v>
      </c>
      <c r="M244" s="20"/>
      <c r="N244" s="20"/>
      <c r="O244" s="15">
        <f t="shared" si="19"/>
        <v>0</v>
      </c>
      <c r="P244" s="15">
        <f t="shared" si="20"/>
        <v>0</v>
      </c>
      <c r="Q244" s="15">
        <f t="shared" si="21"/>
        <v>0</v>
      </c>
      <c r="R244" s="17">
        <v>1328</v>
      </c>
    </row>
    <row r="245" spans="1:18" ht="16.5" x14ac:dyDescent="0.25">
      <c r="A245" s="12">
        <v>1330</v>
      </c>
      <c r="B245" s="13" t="s">
        <v>241</v>
      </c>
      <c r="C245" s="13" t="s">
        <v>47</v>
      </c>
      <c r="D245" s="19"/>
      <c r="E245" s="15">
        <v>6400</v>
      </c>
      <c r="F245" s="15">
        <v>300</v>
      </c>
      <c r="G245" s="15">
        <v>400</v>
      </c>
      <c r="H245" s="15">
        <f t="shared" si="22"/>
        <v>7100</v>
      </c>
      <c r="I245" s="15">
        <f t="shared" si="23"/>
        <v>0</v>
      </c>
      <c r="J245" s="20"/>
      <c r="K245" s="15"/>
      <c r="L245" s="15">
        <f t="shared" si="18"/>
        <v>0</v>
      </c>
      <c r="M245" s="16"/>
      <c r="N245" s="16"/>
      <c r="O245" s="15">
        <f t="shared" si="19"/>
        <v>0</v>
      </c>
      <c r="P245" s="15">
        <f t="shared" si="20"/>
        <v>0</v>
      </c>
      <c r="Q245" s="15">
        <f t="shared" si="21"/>
        <v>0</v>
      </c>
      <c r="R245" s="17">
        <v>1330</v>
      </c>
    </row>
    <row r="246" spans="1:18" ht="16.5" x14ac:dyDescent="0.25">
      <c r="A246" s="12">
        <v>1331</v>
      </c>
      <c r="B246" s="13" t="s">
        <v>242</v>
      </c>
      <c r="C246" s="13" t="s">
        <v>25</v>
      </c>
      <c r="D246" s="16">
        <v>230</v>
      </c>
      <c r="E246" s="15">
        <v>6400</v>
      </c>
      <c r="F246" s="15">
        <v>500</v>
      </c>
      <c r="G246" s="15">
        <v>400</v>
      </c>
      <c r="H246" s="15">
        <f t="shared" si="22"/>
        <v>7300</v>
      </c>
      <c r="I246" s="15">
        <f t="shared" si="23"/>
        <v>1679000</v>
      </c>
      <c r="J246" s="16"/>
      <c r="K246" s="15">
        <v>400000</v>
      </c>
      <c r="L246" s="15">
        <f t="shared" si="18"/>
        <v>4600</v>
      </c>
      <c r="M246" s="16"/>
      <c r="N246" s="16"/>
      <c r="O246" s="15">
        <f t="shared" si="19"/>
        <v>57500</v>
      </c>
      <c r="P246" s="15">
        <f t="shared" si="20"/>
        <v>462100</v>
      </c>
      <c r="Q246" s="15">
        <f t="shared" si="21"/>
        <v>1216900</v>
      </c>
      <c r="R246" s="17">
        <v>1331</v>
      </c>
    </row>
    <row r="247" spans="1:18" ht="16.5" x14ac:dyDescent="0.25">
      <c r="A247" s="12">
        <v>1334</v>
      </c>
      <c r="B247" s="13" t="s">
        <v>243</v>
      </c>
      <c r="C247" s="13" t="s">
        <v>43</v>
      </c>
      <c r="D247" s="14"/>
      <c r="E247" s="15">
        <v>6400</v>
      </c>
      <c r="F247" s="15">
        <v>600</v>
      </c>
      <c r="G247" s="15">
        <v>400</v>
      </c>
      <c r="H247" s="15">
        <f t="shared" si="22"/>
        <v>7400</v>
      </c>
      <c r="I247" s="15">
        <f t="shared" si="23"/>
        <v>0</v>
      </c>
      <c r="J247" s="16"/>
      <c r="K247" s="15">
        <v>200000</v>
      </c>
      <c r="L247" s="15">
        <f t="shared" si="18"/>
        <v>0</v>
      </c>
      <c r="M247" s="20"/>
      <c r="N247" s="20"/>
      <c r="O247" s="15">
        <f t="shared" si="19"/>
        <v>0</v>
      </c>
      <c r="P247" s="15">
        <f t="shared" si="20"/>
        <v>200000</v>
      </c>
      <c r="Q247" s="15">
        <f t="shared" si="21"/>
        <v>-200000</v>
      </c>
      <c r="R247" s="17">
        <v>1334</v>
      </c>
    </row>
    <row r="248" spans="1:18" ht="16.5" x14ac:dyDescent="0.25">
      <c r="A248" s="12">
        <v>1337</v>
      </c>
      <c r="B248" s="13" t="s">
        <v>244</v>
      </c>
      <c r="C248" s="13" t="s">
        <v>43</v>
      </c>
      <c r="D248" s="19"/>
      <c r="E248" s="15">
        <v>6400</v>
      </c>
      <c r="F248" s="15">
        <v>300</v>
      </c>
      <c r="G248" s="15">
        <v>400</v>
      </c>
      <c r="H248" s="15">
        <f t="shared" si="22"/>
        <v>7100</v>
      </c>
      <c r="I248" s="15">
        <f t="shared" si="23"/>
        <v>0</v>
      </c>
      <c r="J248" s="20"/>
      <c r="K248" s="15"/>
      <c r="L248" s="15">
        <f t="shared" si="18"/>
        <v>0</v>
      </c>
      <c r="M248" s="16"/>
      <c r="N248" s="16"/>
      <c r="O248" s="15">
        <f t="shared" si="19"/>
        <v>0</v>
      </c>
      <c r="P248" s="15">
        <f t="shared" si="20"/>
        <v>0</v>
      </c>
      <c r="Q248" s="15">
        <f t="shared" si="21"/>
        <v>0</v>
      </c>
      <c r="R248" s="17">
        <v>1337</v>
      </c>
    </row>
    <row r="249" spans="1:18" ht="16.5" x14ac:dyDescent="0.25">
      <c r="A249" s="12">
        <v>1338</v>
      </c>
      <c r="B249" s="13" t="s">
        <v>245</v>
      </c>
      <c r="C249" s="13" t="s">
        <v>43</v>
      </c>
      <c r="D249" s="14"/>
      <c r="E249" s="15">
        <v>6400</v>
      </c>
      <c r="F249" s="15">
        <v>300</v>
      </c>
      <c r="G249" s="15">
        <v>400</v>
      </c>
      <c r="H249" s="15">
        <f t="shared" si="22"/>
        <v>7100</v>
      </c>
      <c r="I249" s="15">
        <f t="shared" si="23"/>
        <v>0</v>
      </c>
      <c r="J249" s="16"/>
      <c r="K249" s="15"/>
      <c r="L249" s="15">
        <f t="shared" si="18"/>
        <v>0</v>
      </c>
      <c r="M249" s="20"/>
      <c r="N249" s="20"/>
      <c r="O249" s="15">
        <f t="shared" si="19"/>
        <v>0</v>
      </c>
      <c r="P249" s="15">
        <f t="shared" si="20"/>
        <v>0</v>
      </c>
      <c r="Q249" s="15">
        <f t="shared" si="21"/>
        <v>0</v>
      </c>
      <c r="R249" s="17">
        <v>1338</v>
      </c>
    </row>
    <row r="250" spans="1:18" ht="16.5" x14ac:dyDescent="0.25">
      <c r="A250" s="12">
        <v>1339</v>
      </c>
      <c r="B250" s="13" t="s">
        <v>246</v>
      </c>
      <c r="C250" s="13" t="s">
        <v>21</v>
      </c>
      <c r="D250" s="19"/>
      <c r="E250" s="15">
        <v>6400</v>
      </c>
      <c r="F250" s="15">
        <v>300</v>
      </c>
      <c r="G250" s="15">
        <v>400</v>
      </c>
      <c r="H250" s="15">
        <f t="shared" si="22"/>
        <v>7100</v>
      </c>
      <c r="I250" s="15">
        <f t="shared" si="23"/>
        <v>0</v>
      </c>
      <c r="J250" s="20"/>
      <c r="K250" s="15"/>
      <c r="L250" s="15">
        <f t="shared" si="18"/>
        <v>0</v>
      </c>
      <c r="M250" s="16"/>
      <c r="N250" s="16"/>
      <c r="O250" s="15">
        <f t="shared" si="19"/>
        <v>0</v>
      </c>
      <c r="P250" s="15">
        <f t="shared" si="20"/>
        <v>0</v>
      </c>
      <c r="Q250" s="15">
        <f t="shared" si="21"/>
        <v>0</v>
      </c>
      <c r="R250" s="17">
        <v>1339</v>
      </c>
    </row>
    <row r="251" spans="1:18" ht="16.5" x14ac:dyDescent="0.25">
      <c r="A251" s="12">
        <v>1341</v>
      </c>
      <c r="B251" s="13" t="s">
        <v>127</v>
      </c>
      <c r="C251" s="13" t="s">
        <v>43</v>
      </c>
      <c r="D251" s="14"/>
      <c r="E251" s="15">
        <v>6400</v>
      </c>
      <c r="F251" s="15">
        <v>300</v>
      </c>
      <c r="G251" s="15">
        <v>400</v>
      </c>
      <c r="H251" s="15">
        <f t="shared" si="22"/>
        <v>7100</v>
      </c>
      <c r="I251" s="15">
        <f t="shared" si="23"/>
        <v>0</v>
      </c>
      <c r="J251" s="16"/>
      <c r="K251" s="15"/>
      <c r="L251" s="15">
        <f t="shared" si="18"/>
        <v>0</v>
      </c>
      <c r="M251" s="16"/>
      <c r="N251" s="16"/>
      <c r="O251" s="15">
        <f t="shared" si="19"/>
        <v>0</v>
      </c>
      <c r="P251" s="15">
        <f t="shared" si="20"/>
        <v>0</v>
      </c>
      <c r="Q251" s="15">
        <f t="shared" si="21"/>
        <v>0</v>
      </c>
      <c r="R251" s="17">
        <v>1341</v>
      </c>
    </row>
    <row r="252" spans="1:18" ht="15.75" customHeight="1" x14ac:dyDescent="0.25">
      <c r="A252" s="12">
        <v>1342</v>
      </c>
      <c r="B252" s="13" t="s">
        <v>235</v>
      </c>
      <c r="C252" s="13" t="s">
        <v>43</v>
      </c>
      <c r="D252" s="14"/>
      <c r="E252" s="15">
        <v>6400</v>
      </c>
      <c r="F252" s="15">
        <v>300</v>
      </c>
      <c r="G252" s="15">
        <v>400</v>
      </c>
      <c r="H252" s="15">
        <f t="shared" si="22"/>
        <v>7100</v>
      </c>
      <c r="I252" s="15">
        <f t="shared" si="23"/>
        <v>0</v>
      </c>
      <c r="J252" s="16"/>
      <c r="K252" s="15"/>
      <c r="L252" s="15">
        <f t="shared" si="18"/>
        <v>0</v>
      </c>
      <c r="M252" s="20"/>
      <c r="N252" s="20"/>
      <c r="O252" s="15">
        <f t="shared" si="19"/>
        <v>0</v>
      </c>
      <c r="P252" s="15">
        <f t="shared" si="20"/>
        <v>0</v>
      </c>
      <c r="Q252" s="15">
        <f t="shared" si="21"/>
        <v>0</v>
      </c>
      <c r="R252" s="17">
        <v>1342</v>
      </c>
    </row>
    <row r="253" spans="1:18" ht="17.25" customHeight="1" x14ac:dyDescent="0.25">
      <c r="A253" s="12">
        <v>1343</v>
      </c>
      <c r="B253" s="13" t="s">
        <v>31</v>
      </c>
      <c r="C253" s="13" t="s">
        <v>25</v>
      </c>
      <c r="D253" s="20">
        <v>149</v>
      </c>
      <c r="E253" s="15">
        <v>6400</v>
      </c>
      <c r="F253" s="15">
        <v>500</v>
      </c>
      <c r="G253" s="15">
        <v>400</v>
      </c>
      <c r="H253" s="15">
        <f t="shared" si="22"/>
        <v>7300</v>
      </c>
      <c r="I253" s="15">
        <f t="shared" si="23"/>
        <v>1087700</v>
      </c>
      <c r="J253" s="20"/>
      <c r="K253" s="15">
        <v>400000</v>
      </c>
      <c r="L253" s="15">
        <f t="shared" si="18"/>
        <v>2980</v>
      </c>
      <c r="M253" s="20"/>
      <c r="N253" s="20"/>
      <c r="O253" s="15">
        <f t="shared" si="19"/>
        <v>37250</v>
      </c>
      <c r="P253" s="15">
        <f t="shared" si="20"/>
        <v>440230</v>
      </c>
      <c r="Q253" s="15">
        <f t="shared" si="21"/>
        <v>647470</v>
      </c>
      <c r="R253" s="17">
        <v>1343</v>
      </c>
    </row>
    <row r="254" spans="1:18" ht="17.25" customHeight="1" x14ac:dyDescent="0.25">
      <c r="A254" s="12">
        <v>1344</v>
      </c>
      <c r="B254" s="13" t="s">
        <v>247</v>
      </c>
      <c r="C254" s="13" t="s">
        <v>43</v>
      </c>
      <c r="D254" s="19"/>
      <c r="E254" s="15">
        <v>6400</v>
      </c>
      <c r="F254" s="15">
        <v>300</v>
      </c>
      <c r="G254" s="15">
        <v>400</v>
      </c>
      <c r="H254" s="15">
        <f t="shared" si="22"/>
        <v>7100</v>
      </c>
      <c r="I254" s="15">
        <f t="shared" si="23"/>
        <v>0</v>
      </c>
      <c r="J254" s="20"/>
      <c r="K254" s="15"/>
      <c r="L254" s="15">
        <f t="shared" si="18"/>
        <v>0</v>
      </c>
      <c r="M254" s="20"/>
      <c r="N254" s="20"/>
      <c r="O254" s="15">
        <f t="shared" si="19"/>
        <v>0</v>
      </c>
      <c r="P254" s="15">
        <f t="shared" si="20"/>
        <v>0</v>
      </c>
      <c r="Q254" s="15">
        <f t="shared" si="21"/>
        <v>0</v>
      </c>
      <c r="R254" s="17">
        <v>1344</v>
      </c>
    </row>
    <row r="255" spans="1:18" ht="17.25" customHeight="1" x14ac:dyDescent="0.25">
      <c r="A255" s="12">
        <v>1345</v>
      </c>
      <c r="B255" s="13"/>
      <c r="C255" s="13"/>
      <c r="D255" s="19"/>
      <c r="E255" s="15">
        <v>6400</v>
      </c>
      <c r="F255" s="15">
        <v>300</v>
      </c>
      <c r="G255" s="15">
        <v>400</v>
      </c>
      <c r="H255" s="15">
        <f t="shared" si="22"/>
        <v>7100</v>
      </c>
      <c r="I255" s="15">
        <f t="shared" si="23"/>
        <v>0</v>
      </c>
      <c r="J255" s="20"/>
      <c r="K255" s="15"/>
      <c r="L255" s="15">
        <f t="shared" si="18"/>
        <v>0</v>
      </c>
      <c r="M255" s="20"/>
      <c r="N255" s="20"/>
      <c r="O255" s="15">
        <f t="shared" si="19"/>
        <v>0</v>
      </c>
      <c r="P255" s="15">
        <f t="shared" si="20"/>
        <v>0</v>
      </c>
      <c r="Q255" s="15">
        <f t="shared" si="21"/>
        <v>0</v>
      </c>
      <c r="R255" s="17">
        <v>1345</v>
      </c>
    </row>
    <row r="256" spans="1:18" ht="15.75" customHeight="1" x14ac:dyDescent="0.25">
      <c r="A256" s="12">
        <v>1346</v>
      </c>
      <c r="B256" s="13" t="s">
        <v>248</v>
      </c>
      <c r="C256" s="13" t="s">
        <v>47</v>
      </c>
      <c r="D256" s="19"/>
      <c r="E256" s="15">
        <v>6400</v>
      </c>
      <c r="F256" s="15">
        <v>400</v>
      </c>
      <c r="G256" s="15">
        <v>400</v>
      </c>
      <c r="H256" s="15">
        <f t="shared" si="22"/>
        <v>7200</v>
      </c>
      <c r="I256" s="15">
        <f t="shared" si="23"/>
        <v>0</v>
      </c>
      <c r="J256" s="20"/>
      <c r="K256" s="15"/>
      <c r="L256" s="15">
        <f t="shared" si="18"/>
        <v>0</v>
      </c>
      <c r="M256" s="20"/>
      <c r="N256" s="20"/>
      <c r="O256" s="15">
        <f t="shared" si="19"/>
        <v>0</v>
      </c>
      <c r="P256" s="15">
        <f t="shared" si="20"/>
        <v>0</v>
      </c>
      <c r="Q256" s="15">
        <f t="shared" si="21"/>
        <v>0</v>
      </c>
      <c r="R256" s="17">
        <v>1346</v>
      </c>
    </row>
    <row r="257" spans="1:18" ht="16.5" customHeight="1" x14ac:dyDescent="0.25">
      <c r="A257" s="12">
        <v>1347</v>
      </c>
      <c r="B257" s="13" t="s">
        <v>249</v>
      </c>
      <c r="C257" s="13" t="s">
        <v>43</v>
      </c>
      <c r="D257" s="19"/>
      <c r="E257" s="15">
        <v>6400</v>
      </c>
      <c r="F257" s="15">
        <v>300</v>
      </c>
      <c r="G257" s="15">
        <v>400</v>
      </c>
      <c r="H257" s="15">
        <f t="shared" si="22"/>
        <v>7100</v>
      </c>
      <c r="I257" s="15">
        <f t="shared" si="23"/>
        <v>0</v>
      </c>
      <c r="J257" s="20"/>
      <c r="K257" s="15"/>
      <c r="L257" s="15">
        <f t="shared" si="18"/>
        <v>0</v>
      </c>
      <c r="M257" s="20"/>
      <c r="N257" s="20"/>
      <c r="O257" s="15">
        <f t="shared" si="19"/>
        <v>0</v>
      </c>
      <c r="P257" s="15">
        <f t="shared" si="20"/>
        <v>0</v>
      </c>
      <c r="Q257" s="15">
        <f t="shared" si="21"/>
        <v>0</v>
      </c>
      <c r="R257" s="17">
        <v>1347</v>
      </c>
    </row>
    <row r="258" spans="1:18" ht="16.5" customHeight="1" x14ac:dyDescent="0.25">
      <c r="A258" s="12">
        <v>1348</v>
      </c>
      <c r="B258" s="13" t="s">
        <v>443</v>
      </c>
      <c r="C258" s="13" t="s">
        <v>43</v>
      </c>
      <c r="D258" s="19"/>
      <c r="E258" s="15">
        <v>6400</v>
      </c>
      <c r="F258" s="15">
        <v>300</v>
      </c>
      <c r="G258" s="15">
        <v>400</v>
      </c>
      <c r="H258" s="15">
        <f t="shared" si="22"/>
        <v>7100</v>
      </c>
      <c r="I258" s="15">
        <f t="shared" si="23"/>
        <v>0</v>
      </c>
      <c r="J258" s="20"/>
      <c r="K258" s="15"/>
      <c r="L258" s="15">
        <f t="shared" si="18"/>
        <v>0</v>
      </c>
      <c r="M258" s="16"/>
      <c r="N258" s="16"/>
      <c r="O258" s="15">
        <f t="shared" si="19"/>
        <v>0</v>
      </c>
      <c r="P258" s="15">
        <f t="shared" si="20"/>
        <v>0</v>
      </c>
      <c r="Q258" s="15">
        <f t="shared" si="21"/>
        <v>0</v>
      </c>
      <c r="R258" s="17">
        <v>1349</v>
      </c>
    </row>
    <row r="259" spans="1:18" ht="16.5" x14ac:dyDescent="0.25">
      <c r="A259" s="12">
        <v>1350</v>
      </c>
      <c r="B259" s="13" t="s">
        <v>250</v>
      </c>
      <c r="C259" s="13" t="s">
        <v>25</v>
      </c>
      <c r="D259" s="16"/>
      <c r="E259" s="15">
        <v>6400</v>
      </c>
      <c r="F259" s="15">
        <v>300</v>
      </c>
      <c r="G259" s="15">
        <v>400</v>
      </c>
      <c r="H259" s="15">
        <f t="shared" si="22"/>
        <v>7100</v>
      </c>
      <c r="I259" s="15">
        <f t="shared" si="23"/>
        <v>0</v>
      </c>
      <c r="J259" s="16"/>
      <c r="K259" s="15"/>
      <c r="L259" s="15">
        <f t="shared" si="18"/>
        <v>0</v>
      </c>
      <c r="M259" s="20"/>
      <c r="N259" s="20"/>
      <c r="O259" s="15">
        <f t="shared" si="19"/>
        <v>0</v>
      </c>
      <c r="P259" s="15">
        <f t="shared" si="20"/>
        <v>0</v>
      </c>
      <c r="Q259" s="15">
        <f t="shared" si="21"/>
        <v>0</v>
      </c>
      <c r="R259" s="17">
        <v>1350</v>
      </c>
    </row>
    <row r="260" spans="1:18" ht="16.5" x14ac:dyDescent="0.25">
      <c r="A260" s="12">
        <v>1352</v>
      </c>
      <c r="B260" s="13" t="s">
        <v>251</v>
      </c>
      <c r="C260" s="13" t="s">
        <v>43</v>
      </c>
      <c r="D260" s="19"/>
      <c r="E260" s="15">
        <v>6400</v>
      </c>
      <c r="F260" s="15">
        <v>300</v>
      </c>
      <c r="G260" s="15">
        <v>400</v>
      </c>
      <c r="H260" s="15">
        <f t="shared" si="22"/>
        <v>7100</v>
      </c>
      <c r="I260" s="15">
        <f t="shared" si="23"/>
        <v>0</v>
      </c>
      <c r="J260" s="20"/>
      <c r="K260" s="15"/>
      <c r="L260" s="15">
        <f t="shared" si="18"/>
        <v>0</v>
      </c>
      <c r="M260" s="16"/>
      <c r="N260" s="16"/>
      <c r="O260" s="15">
        <f t="shared" si="19"/>
        <v>0</v>
      </c>
      <c r="P260" s="15">
        <f t="shared" si="20"/>
        <v>0</v>
      </c>
      <c r="Q260" s="15">
        <f t="shared" si="21"/>
        <v>0</v>
      </c>
      <c r="R260" s="17">
        <v>1352</v>
      </c>
    </row>
    <row r="261" spans="1:18" ht="16.5" x14ac:dyDescent="0.25">
      <c r="A261" s="12">
        <v>1353</v>
      </c>
      <c r="B261" s="13" t="s">
        <v>252</v>
      </c>
      <c r="C261" s="13" t="s">
        <v>25</v>
      </c>
      <c r="D261" s="16">
        <v>118</v>
      </c>
      <c r="E261" s="15">
        <v>6400</v>
      </c>
      <c r="F261" s="15">
        <v>500</v>
      </c>
      <c r="G261" s="15">
        <v>400</v>
      </c>
      <c r="H261" s="15">
        <f t="shared" si="22"/>
        <v>7300</v>
      </c>
      <c r="I261" s="15">
        <f t="shared" si="23"/>
        <v>861400</v>
      </c>
      <c r="J261" s="16"/>
      <c r="K261" s="15">
        <v>100000</v>
      </c>
      <c r="L261" s="15">
        <f t="shared" ref="L261:L324" si="24">D261*20</f>
        <v>2360</v>
      </c>
      <c r="M261" s="16"/>
      <c r="N261" s="16"/>
      <c r="O261" s="15">
        <f t="shared" ref="O261:O324" si="25">250*D261</f>
        <v>29500</v>
      </c>
      <c r="P261" s="15">
        <f t="shared" ref="P261:P324" si="26">SUM(J261:O261)</f>
        <v>131860</v>
      </c>
      <c r="Q261" s="15">
        <f t="shared" ref="Q261:Q324" si="27">I261-P261</f>
        <v>729540</v>
      </c>
      <c r="R261" s="17">
        <v>1353</v>
      </c>
    </row>
    <row r="262" spans="1:18" ht="16.5" x14ac:dyDescent="0.25">
      <c r="A262" s="12">
        <v>1354</v>
      </c>
      <c r="B262" s="13" t="s">
        <v>253</v>
      </c>
      <c r="C262" s="13" t="s">
        <v>43</v>
      </c>
      <c r="D262" s="14"/>
      <c r="E262" s="15">
        <v>6400</v>
      </c>
      <c r="F262" s="15">
        <v>400</v>
      </c>
      <c r="G262" s="15">
        <v>400</v>
      </c>
      <c r="H262" s="15">
        <f t="shared" ref="H262:H325" si="28">SUM(E262:G262)</f>
        <v>7200</v>
      </c>
      <c r="I262" s="15">
        <f t="shared" ref="I262:I325" si="29">H262*D262</f>
        <v>0</v>
      </c>
      <c r="J262" s="16"/>
      <c r="K262" s="15"/>
      <c r="L262" s="15">
        <f t="shared" si="24"/>
        <v>0</v>
      </c>
      <c r="M262" s="16"/>
      <c r="N262" s="16"/>
      <c r="O262" s="15">
        <f t="shared" si="25"/>
        <v>0</v>
      </c>
      <c r="P262" s="15">
        <f t="shared" si="26"/>
        <v>0</v>
      </c>
      <c r="Q262" s="15">
        <f t="shared" si="27"/>
        <v>0</v>
      </c>
      <c r="R262" s="17">
        <v>1354</v>
      </c>
    </row>
    <row r="263" spans="1:18" ht="16.5" x14ac:dyDescent="0.25">
      <c r="A263" s="12">
        <v>1355</v>
      </c>
      <c r="B263" s="13" t="s">
        <v>211</v>
      </c>
      <c r="C263" s="13" t="s">
        <v>47</v>
      </c>
      <c r="D263" s="14"/>
      <c r="E263" s="15">
        <v>6400</v>
      </c>
      <c r="F263" s="15">
        <v>300</v>
      </c>
      <c r="G263" s="15">
        <v>400</v>
      </c>
      <c r="H263" s="15">
        <f t="shared" si="28"/>
        <v>7100</v>
      </c>
      <c r="I263" s="15">
        <f t="shared" si="29"/>
        <v>0</v>
      </c>
      <c r="J263" s="16"/>
      <c r="K263" s="15"/>
      <c r="L263" s="15">
        <f t="shared" si="24"/>
        <v>0</v>
      </c>
      <c r="M263" s="16"/>
      <c r="N263" s="16"/>
      <c r="O263" s="15">
        <f t="shared" si="25"/>
        <v>0</v>
      </c>
      <c r="P263" s="15">
        <f t="shared" si="26"/>
        <v>0</v>
      </c>
      <c r="Q263" s="15">
        <f t="shared" si="27"/>
        <v>0</v>
      </c>
      <c r="R263" s="17">
        <v>1355</v>
      </c>
    </row>
    <row r="264" spans="1:18" ht="16.5" x14ac:dyDescent="0.25">
      <c r="A264" s="12">
        <v>1357</v>
      </c>
      <c r="B264" s="13"/>
      <c r="C264" s="13"/>
      <c r="D264" s="28"/>
      <c r="E264" s="15">
        <v>6400</v>
      </c>
      <c r="F264" s="15">
        <v>300</v>
      </c>
      <c r="G264" s="15">
        <v>400</v>
      </c>
      <c r="H264" s="15">
        <f t="shared" si="28"/>
        <v>7100</v>
      </c>
      <c r="I264" s="15">
        <f t="shared" si="29"/>
        <v>0</v>
      </c>
      <c r="J264" s="28"/>
      <c r="K264" s="28"/>
      <c r="L264" s="15">
        <f t="shared" si="24"/>
        <v>0</v>
      </c>
      <c r="M264" s="28"/>
      <c r="N264" s="28"/>
      <c r="O264" s="15">
        <f t="shared" si="25"/>
        <v>0</v>
      </c>
      <c r="P264" s="15">
        <f t="shared" si="26"/>
        <v>0</v>
      </c>
      <c r="Q264" s="15">
        <f t="shared" si="27"/>
        <v>0</v>
      </c>
      <c r="R264" s="17">
        <v>1357</v>
      </c>
    </row>
    <row r="265" spans="1:18" ht="16.5" x14ac:dyDescent="0.25">
      <c r="A265" s="12">
        <v>1358</v>
      </c>
      <c r="B265" s="13" t="s">
        <v>254</v>
      </c>
      <c r="C265" s="13" t="s">
        <v>43</v>
      </c>
      <c r="D265" s="14"/>
      <c r="E265" s="15">
        <v>6400</v>
      </c>
      <c r="F265" s="15">
        <v>300</v>
      </c>
      <c r="G265" s="15">
        <v>400</v>
      </c>
      <c r="H265" s="15">
        <f t="shared" si="28"/>
        <v>7100</v>
      </c>
      <c r="I265" s="15">
        <f t="shared" si="29"/>
        <v>0</v>
      </c>
      <c r="J265" s="16"/>
      <c r="K265" s="15"/>
      <c r="L265" s="15">
        <f t="shared" si="24"/>
        <v>0</v>
      </c>
      <c r="M265" s="16"/>
      <c r="N265" s="16"/>
      <c r="O265" s="15">
        <f t="shared" si="25"/>
        <v>0</v>
      </c>
      <c r="P265" s="15">
        <f t="shared" si="26"/>
        <v>0</v>
      </c>
      <c r="Q265" s="15">
        <f t="shared" si="27"/>
        <v>0</v>
      </c>
      <c r="R265" s="17">
        <v>1358</v>
      </c>
    </row>
    <row r="266" spans="1:18" ht="16.5" x14ac:dyDescent="0.25">
      <c r="A266" s="12">
        <v>1359</v>
      </c>
      <c r="B266" s="13" t="s">
        <v>255</v>
      </c>
      <c r="C266" s="13" t="s">
        <v>43</v>
      </c>
      <c r="D266" s="14"/>
      <c r="E266" s="15">
        <v>6400</v>
      </c>
      <c r="F266" s="15">
        <v>300</v>
      </c>
      <c r="G266" s="15">
        <v>400</v>
      </c>
      <c r="H266" s="15">
        <f t="shared" si="28"/>
        <v>7100</v>
      </c>
      <c r="I266" s="15">
        <f t="shared" si="29"/>
        <v>0</v>
      </c>
      <c r="J266" s="16"/>
      <c r="K266" s="15"/>
      <c r="L266" s="15">
        <f t="shared" si="24"/>
        <v>0</v>
      </c>
      <c r="M266" s="20"/>
      <c r="N266" s="20"/>
      <c r="O266" s="15">
        <f t="shared" si="25"/>
        <v>0</v>
      </c>
      <c r="P266" s="15">
        <f t="shared" si="26"/>
        <v>0</v>
      </c>
      <c r="Q266" s="15">
        <f t="shared" si="27"/>
        <v>0</v>
      </c>
      <c r="R266" s="17">
        <v>1359</v>
      </c>
    </row>
    <row r="267" spans="1:18" ht="16.5" x14ac:dyDescent="0.25">
      <c r="A267" s="12">
        <v>1362</v>
      </c>
      <c r="B267" s="13" t="s">
        <v>256</v>
      </c>
      <c r="C267" s="13" t="s">
        <v>30</v>
      </c>
      <c r="D267" s="19">
        <v>57</v>
      </c>
      <c r="E267" s="15">
        <v>6400</v>
      </c>
      <c r="F267" s="15">
        <v>500</v>
      </c>
      <c r="G267" s="15">
        <v>400</v>
      </c>
      <c r="H267" s="15">
        <f t="shared" si="28"/>
        <v>7300</v>
      </c>
      <c r="I267" s="15">
        <f t="shared" si="29"/>
        <v>416100</v>
      </c>
      <c r="J267" s="20"/>
      <c r="K267" s="15"/>
      <c r="L267" s="15">
        <f t="shared" si="24"/>
        <v>1140</v>
      </c>
      <c r="M267" s="16"/>
      <c r="N267" s="16"/>
      <c r="O267" s="15">
        <f t="shared" si="25"/>
        <v>14250</v>
      </c>
      <c r="P267" s="15">
        <f t="shared" si="26"/>
        <v>15390</v>
      </c>
      <c r="Q267" s="15">
        <f t="shared" si="27"/>
        <v>400710</v>
      </c>
      <c r="R267" s="17">
        <v>1362</v>
      </c>
    </row>
    <row r="268" spans="1:18" ht="16.5" x14ac:dyDescent="0.25">
      <c r="A268" s="12">
        <v>1364</v>
      </c>
      <c r="B268" s="13" t="s">
        <v>257</v>
      </c>
      <c r="C268" s="13" t="s">
        <v>258</v>
      </c>
      <c r="D268" s="19"/>
      <c r="E268" s="15">
        <v>6400</v>
      </c>
      <c r="F268" s="15">
        <v>300</v>
      </c>
      <c r="G268" s="15">
        <v>400</v>
      </c>
      <c r="H268" s="15">
        <f t="shared" si="28"/>
        <v>7100</v>
      </c>
      <c r="I268" s="15">
        <f t="shared" si="29"/>
        <v>0</v>
      </c>
      <c r="J268" s="20"/>
      <c r="K268" s="15"/>
      <c r="L268" s="15">
        <f t="shared" si="24"/>
        <v>0</v>
      </c>
      <c r="M268" s="20"/>
      <c r="N268" s="20"/>
      <c r="O268" s="15">
        <f t="shared" si="25"/>
        <v>0</v>
      </c>
      <c r="P268" s="15">
        <f t="shared" si="26"/>
        <v>0</v>
      </c>
      <c r="Q268" s="15">
        <f t="shared" si="27"/>
        <v>0</v>
      </c>
      <c r="R268" s="17">
        <v>1364</v>
      </c>
    </row>
    <row r="269" spans="1:18" ht="16.5" x14ac:dyDescent="0.25">
      <c r="A269" s="12">
        <v>1365</v>
      </c>
      <c r="B269" s="13" t="s">
        <v>433</v>
      </c>
      <c r="C269" s="13" t="s">
        <v>43</v>
      </c>
      <c r="D269" s="16"/>
      <c r="E269" s="15">
        <v>6400</v>
      </c>
      <c r="F269" s="15">
        <v>300</v>
      </c>
      <c r="G269" s="15">
        <v>400</v>
      </c>
      <c r="H269" s="15">
        <f t="shared" si="28"/>
        <v>7100</v>
      </c>
      <c r="I269" s="15">
        <f t="shared" si="29"/>
        <v>0</v>
      </c>
      <c r="J269" s="16"/>
      <c r="K269" s="15"/>
      <c r="L269" s="15">
        <f t="shared" si="24"/>
        <v>0</v>
      </c>
      <c r="M269" s="16"/>
      <c r="N269" s="16"/>
      <c r="O269" s="15">
        <f t="shared" si="25"/>
        <v>0</v>
      </c>
      <c r="P269" s="15">
        <f t="shared" si="26"/>
        <v>0</v>
      </c>
      <c r="Q269" s="15">
        <f t="shared" si="27"/>
        <v>0</v>
      </c>
      <c r="R269" s="17">
        <v>1365</v>
      </c>
    </row>
    <row r="270" spans="1:18" ht="16.5" x14ac:dyDescent="0.25">
      <c r="A270" s="12">
        <v>1366</v>
      </c>
      <c r="B270" s="13" t="s">
        <v>259</v>
      </c>
      <c r="C270" s="13" t="s">
        <v>30</v>
      </c>
      <c r="D270" s="19">
        <v>134</v>
      </c>
      <c r="E270" s="15">
        <v>6400</v>
      </c>
      <c r="F270" s="15">
        <v>500</v>
      </c>
      <c r="G270" s="15">
        <v>400</v>
      </c>
      <c r="H270" s="15">
        <f t="shared" si="28"/>
        <v>7300</v>
      </c>
      <c r="I270" s="15">
        <f t="shared" si="29"/>
        <v>978200</v>
      </c>
      <c r="J270" s="20"/>
      <c r="K270" s="15">
        <v>200000</v>
      </c>
      <c r="L270" s="15">
        <f t="shared" si="24"/>
        <v>2680</v>
      </c>
      <c r="M270" s="16"/>
      <c r="N270" s="16"/>
      <c r="O270" s="15">
        <f t="shared" si="25"/>
        <v>33500</v>
      </c>
      <c r="P270" s="15">
        <f t="shared" si="26"/>
        <v>236180</v>
      </c>
      <c r="Q270" s="15">
        <f t="shared" si="27"/>
        <v>742020</v>
      </c>
      <c r="R270" s="17">
        <v>1366</v>
      </c>
    </row>
    <row r="271" spans="1:18" ht="16.5" x14ac:dyDescent="0.25">
      <c r="A271" s="12">
        <v>1367</v>
      </c>
      <c r="B271" s="13" t="s">
        <v>48</v>
      </c>
      <c r="C271" s="13" t="s">
        <v>25</v>
      </c>
      <c r="D271" s="16"/>
      <c r="E271" s="15">
        <v>6400</v>
      </c>
      <c r="F271" s="15">
        <v>300</v>
      </c>
      <c r="G271" s="15">
        <v>400</v>
      </c>
      <c r="H271" s="15">
        <f t="shared" si="28"/>
        <v>7100</v>
      </c>
      <c r="I271" s="15">
        <f t="shared" si="29"/>
        <v>0</v>
      </c>
      <c r="J271" s="16"/>
      <c r="K271" s="15">
        <v>200000</v>
      </c>
      <c r="L271" s="15">
        <f t="shared" si="24"/>
        <v>0</v>
      </c>
      <c r="M271" s="16"/>
      <c r="N271" s="16"/>
      <c r="O271" s="15">
        <f t="shared" si="25"/>
        <v>0</v>
      </c>
      <c r="P271" s="15">
        <f t="shared" si="26"/>
        <v>200000</v>
      </c>
      <c r="Q271" s="15">
        <f t="shared" si="27"/>
        <v>-200000</v>
      </c>
      <c r="R271" s="17">
        <v>1367</v>
      </c>
    </row>
    <row r="272" spans="1:18" ht="16.5" x14ac:dyDescent="0.25">
      <c r="A272" s="12">
        <v>1368</v>
      </c>
      <c r="B272" s="13" t="s">
        <v>260</v>
      </c>
      <c r="C272" s="13" t="s">
        <v>25</v>
      </c>
      <c r="D272" s="16"/>
      <c r="E272" s="15">
        <v>6400</v>
      </c>
      <c r="F272" s="15">
        <v>300</v>
      </c>
      <c r="G272" s="15">
        <v>400</v>
      </c>
      <c r="H272" s="15">
        <f t="shared" si="28"/>
        <v>7100</v>
      </c>
      <c r="I272" s="15">
        <f t="shared" si="29"/>
        <v>0</v>
      </c>
      <c r="J272" s="16"/>
      <c r="K272" s="15"/>
      <c r="L272" s="15">
        <f t="shared" si="24"/>
        <v>0</v>
      </c>
      <c r="M272" s="20"/>
      <c r="N272" s="20"/>
      <c r="O272" s="15">
        <f t="shared" si="25"/>
        <v>0</v>
      </c>
      <c r="P272" s="15">
        <f t="shared" si="26"/>
        <v>0</v>
      </c>
      <c r="Q272" s="15">
        <f t="shared" si="27"/>
        <v>0</v>
      </c>
      <c r="R272" s="17">
        <v>1368</v>
      </c>
    </row>
    <row r="273" spans="1:18" ht="16.5" x14ac:dyDescent="0.25">
      <c r="A273" s="12">
        <v>1369</v>
      </c>
      <c r="B273" s="13" t="s">
        <v>261</v>
      </c>
      <c r="C273" s="13" t="s">
        <v>43</v>
      </c>
      <c r="D273" s="14"/>
      <c r="E273" s="15">
        <v>6400</v>
      </c>
      <c r="F273" s="15">
        <v>300</v>
      </c>
      <c r="G273" s="15">
        <v>400</v>
      </c>
      <c r="H273" s="15">
        <f t="shared" si="28"/>
        <v>7100</v>
      </c>
      <c r="I273" s="15">
        <f t="shared" si="29"/>
        <v>0</v>
      </c>
      <c r="J273" s="16"/>
      <c r="K273" s="15"/>
      <c r="L273" s="15">
        <f t="shared" si="24"/>
        <v>0</v>
      </c>
      <c r="M273" s="16"/>
      <c r="N273" s="16"/>
      <c r="O273" s="15">
        <f t="shared" si="25"/>
        <v>0</v>
      </c>
      <c r="P273" s="15">
        <f t="shared" si="26"/>
        <v>0</v>
      </c>
      <c r="Q273" s="15">
        <f t="shared" si="27"/>
        <v>0</v>
      </c>
      <c r="R273" s="17">
        <v>1369</v>
      </c>
    </row>
    <row r="274" spans="1:18" ht="16.5" x14ac:dyDescent="0.25">
      <c r="A274" s="12">
        <v>1370</v>
      </c>
      <c r="B274" s="13" t="s">
        <v>262</v>
      </c>
      <c r="C274" s="13" t="s">
        <v>43</v>
      </c>
      <c r="D274" s="19"/>
      <c r="E274" s="15">
        <v>6400</v>
      </c>
      <c r="F274" s="15">
        <v>300</v>
      </c>
      <c r="G274" s="15">
        <v>400</v>
      </c>
      <c r="H274" s="15">
        <f t="shared" si="28"/>
        <v>7100</v>
      </c>
      <c r="I274" s="15">
        <f t="shared" si="29"/>
        <v>0</v>
      </c>
      <c r="J274" s="20"/>
      <c r="K274" s="15"/>
      <c r="L274" s="15">
        <f t="shared" si="24"/>
        <v>0</v>
      </c>
      <c r="M274" s="20"/>
      <c r="N274" s="20"/>
      <c r="O274" s="15">
        <f t="shared" si="25"/>
        <v>0</v>
      </c>
      <c r="P274" s="15">
        <f t="shared" si="26"/>
        <v>0</v>
      </c>
      <c r="Q274" s="15">
        <f t="shared" si="27"/>
        <v>0</v>
      </c>
      <c r="R274" s="17">
        <v>1370</v>
      </c>
    </row>
    <row r="275" spans="1:18" ht="16.5" x14ac:dyDescent="0.25">
      <c r="A275" s="12">
        <v>1373</v>
      </c>
      <c r="B275" s="13" t="s">
        <v>98</v>
      </c>
      <c r="C275" s="13" t="s">
        <v>30</v>
      </c>
      <c r="D275" s="14">
        <v>220</v>
      </c>
      <c r="E275" s="15">
        <v>6400</v>
      </c>
      <c r="F275" s="15">
        <v>600</v>
      </c>
      <c r="G275" s="15">
        <v>400</v>
      </c>
      <c r="H275" s="15">
        <f t="shared" si="28"/>
        <v>7400</v>
      </c>
      <c r="I275" s="15">
        <f t="shared" si="29"/>
        <v>1628000</v>
      </c>
      <c r="J275" s="16"/>
      <c r="K275" s="15">
        <v>200000</v>
      </c>
      <c r="L275" s="15">
        <f t="shared" si="24"/>
        <v>4400</v>
      </c>
      <c r="M275" s="16"/>
      <c r="N275" s="16"/>
      <c r="O275" s="15">
        <f t="shared" si="25"/>
        <v>55000</v>
      </c>
      <c r="P275" s="15">
        <f t="shared" si="26"/>
        <v>259400</v>
      </c>
      <c r="Q275" s="15">
        <f t="shared" si="27"/>
        <v>1368600</v>
      </c>
      <c r="R275" s="17">
        <v>1373</v>
      </c>
    </row>
    <row r="276" spans="1:18" ht="16.5" x14ac:dyDescent="0.25">
      <c r="A276" s="12">
        <v>1374</v>
      </c>
      <c r="B276" s="13" t="s">
        <v>239</v>
      </c>
      <c r="C276" s="13" t="s">
        <v>43</v>
      </c>
      <c r="D276" s="20"/>
      <c r="E276" s="15">
        <v>6400</v>
      </c>
      <c r="F276" s="15">
        <v>300</v>
      </c>
      <c r="G276" s="15">
        <v>400</v>
      </c>
      <c r="H276" s="15">
        <f t="shared" si="28"/>
        <v>7100</v>
      </c>
      <c r="I276" s="15">
        <f t="shared" si="29"/>
        <v>0</v>
      </c>
      <c r="J276" s="20"/>
      <c r="K276" s="15"/>
      <c r="L276" s="15">
        <f t="shared" si="24"/>
        <v>0</v>
      </c>
      <c r="M276" s="20"/>
      <c r="N276" s="20"/>
      <c r="O276" s="15">
        <f t="shared" si="25"/>
        <v>0</v>
      </c>
      <c r="P276" s="15">
        <f t="shared" si="26"/>
        <v>0</v>
      </c>
      <c r="Q276" s="15">
        <f t="shared" si="27"/>
        <v>0</v>
      </c>
      <c r="R276" s="17">
        <v>1374</v>
      </c>
    </row>
    <row r="277" spans="1:18" ht="16.5" x14ac:dyDescent="0.25">
      <c r="A277" s="12">
        <v>1376</v>
      </c>
      <c r="B277" s="13" t="s">
        <v>263</v>
      </c>
      <c r="C277" s="13" t="s">
        <v>30</v>
      </c>
      <c r="D277" s="16"/>
      <c r="E277" s="15">
        <v>6400</v>
      </c>
      <c r="F277" s="15">
        <v>500</v>
      </c>
      <c r="G277" s="15">
        <v>400</v>
      </c>
      <c r="H277" s="15">
        <f t="shared" si="28"/>
        <v>7300</v>
      </c>
      <c r="I277" s="15">
        <f t="shared" si="29"/>
        <v>0</v>
      </c>
      <c r="J277" s="16"/>
      <c r="K277" s="15"/>
      <c r="L277" s="15">
        <f t="shared" si="24"/>
        <v>0</v>
      </c>
      <c r="M277" s="16"/>
      <c r="N277" s="16"/>
      <c r="O277" s="15">
        <f t="shared" si="25"/>
        <v>0</v>
      </c>
      <c r="P277" s="15">
        <f t="shared" si="26"/>
        <v>0</v>
      </c>
      <c r="Q277" s="15">
        <f t="shared" si="27"/>
        <v>0</v>
      </c>
      <c r="R277" s="17">
        <v>1376</v>
      </c>
    </row>
    <row r="278" spans="1:18" ht="16.5" x14ac:dyDescent="0.25">
      <c r="A278" s="12">
        <v>1378</v>
      </c>
      <c r="B278" s="13" t="s">
        <v>264</v>
      </c>
      <c r="C278" s="13" t="s">
        <v>54</v>
      </c>
      <c r="D278" s="16"/>
      <c r="E278" s="15">
        <v>6400</v>
      </c>
      <c r="F278" s="15">
        <v>300</v>
      </c>
      <c r="G278" s="15">
        <v>400</v>
      </c>
      <c r="H278" s="15">
        <f t="shared" si="28"/>
        <v>7100</v>
      </c>
      <c r="I278" s="15">
        <f t="shared" si="29"/>
        <v>0</v>
      </c>
      <c r="J278" s="20"/>
      <c r="K278" s="15"/>
      <c r="L278" s="15">
        <f t="shared" si="24"/>
        <v>0</v>
      </c>
      <c r="M278" s="20"/>
      <c r="N278" s="20"/>
      <c r="O278" s="15">
        <f t="shared" si="25"/>
        <v>0</v>
      </c>
      <c r="P278" s="15">
        <f t="shared" si="26"/>
        <v>0</v>
      </c>
      <c r="Q278" s="15">
        <f t="shared" si="27"/>
        <v>0</v>
      </c>
      <c r="R278" s="17">
        <v>1378</v>
      </c>
    </row>
    <row r="279" spans="1:18" ht="16.5" x14ac:dyDescent="0.25">
      <c r="A279" s="12">
        <v>1379</v>
      </c>
      <c r="B279" s="13" t="s">
        <v>265</v>
      </c>
      <c r="C279" s="13" t="s">
        <v>25</v>
      </c>
      <c r="D279" s="20"/>
      <c r="E279" s="15">
        <v>6400</v>
      </c>
      <c r="F279" s="15">
        <v>300</v>
      </c>
      <c r="G279" s="15">
        <v>400</v>
      </c>
      <c r="H279" s="15">
        <f t="shared" si="28"/>
        <v>7100</v>
      </c>
      <c r="I279" s="15">
        <f t="shared" si="29"/>
        <v>0</v>
      </c>
      <c r="J279" s="16"/>
      <c r="K279" s="15"/>
      <c r="L279" s="15">
        <f t="shared" si="24"/>
        <v>0</v>
      </c>
      <c r="M279" s="16"/>
      <c r="N279" s="16"/>
      <c r="O279" s="15">
        <f t="shared" si="25"/>
        <v>0</v>
      </c>
      <c r="P279" s="15">
        <f t="shared" si="26"/>
        <v>0</v>
      </c>
      <c r="Q279" s="15">
        <f t="shared" si="27"/>
        <v>0</v>
      </c>
      <c r="R279" s="17">
        <v>1379</v>
      </c>
    </row>
    <row r="280" spans="1:18" ht="16.5" x14ac:dyDescent="0.25">
      <c r="A280" s="12">
        <v>1380</v>
      </c>
      <c r="B280" s="13" t="s">
        <v>266</v>
      </c>
      <c r="C280" s="13" t="s">
        <v>25</v>
      </c>
      <c r="D280" s="16"/>
      <c r="E280" s="15">
        <v>6400</v>
      </c>
      <c r="F280" s="15">
        <v>300</v>
      </c>
      <c r="G280" s="15">
        <v>400</v>
      </c>
      <c r="H280" s="15">
        <f t="shared" si="28"/>
        <v>7100</v>
      </c>
      <c r="I280" s="15">
        <f t="shared" si="29"/>
        <v>0</v>
      </c>
      <c r="J280" s="20"/>
      <c r="K280" s="15"/>
      <c r="L280" s="15">
        <f t="shared" si="24"/>
        <v>0</v>
      </c>
      <c r="M280" s="16"/>
      <c r="N280" s="16"/>
      <c r="O280" s="15">
        <f t="shared" si="25"/>
        <v>0</v>
      </c>
      <c r="P280" s="15">
        <f t="shared" si="26"/>
        <v>0</v>
      </c>
      <c r="Q280" s="15">
        <f t="shared" si="27"/>
        <v>0</v>
      </c>
      <c r="R280" s="17">
        <v>1380</v>
      </c>
    </row>
    <row r="281" spans="1:18" ht="16.5" x14ac:dyDescent="0.25">
      <c r="A281" s="12">
        <v>1381</v>
      </c>
      <c r="B281" s="13" t="s">
        <v>191</v>
      </c>
      <c r="C281" s="13" t="s">
        <v>43</v>
      </c>
      <c r="D281" s="20"/>
      <c r="E281" s="15">
        <v>6400</v>
      </c>
      <c r="F281" s="15">
        <v>500</v>
      </c>
      <c r="G281" s="15">
        <v>400</v>
      </c>
      <c r="H281" s="15">
        <f t="shared" si="28"/>
        <v>7300</v>
      </c>
      <c r="I281" s="15">
        <f t="shared" si="29"/>
        <v>0</v>
      </c>
      <c r="J281" s="16"/>
      <c r="K281" s="15"/>
      <c r="L281" s="15">
        <f t="shared" si="24"/>
        <v>0</v>
      </c>
      <c r="M281" s="16"/>
      <c r="N281" s="16"/>
      <c r="O281" s="15">
        <f t="shared" si="25"/>
        <v>0</v>
      </c>
      <c r="P281" s="15">
        <f t="shared" si="26"/>
        <v>0</v>
      </c>
      <c r="Q281" s="15">
        <f t="shared" si="27"/>
        <v>0</v>
      </c>
      <c r="R281" s="17">
        <v>1381</v>
      </c>
    </row>
    <row r="282" spans="1:18" ht="16.5" x14ac:dyDescent="0.25">
      <c r="A282" s="12">
        <v>1382</v>
      </c>
      <c r="B282" s="13" t="s">
        <v>267</v>
      </c>
      <c r="C282" s="13" t="s">
        <v>82</v>
      </c>
      <c r="D282" s="14">
        <v>646</v>
      </c>
      <c r="E282" s="15">
        <v>6400</v>
      </c>
      <c r="F282" s="15">
        <v>500</v>
      </c>
      <c r="G282" s="15">
        <v>400</v>
      </c>
      <c r="H282" s="15">
        <f t="shared" si="28"/>
        <v>7300</v>
      </c>
      <c r="I282" s="15">
        <f t="shared" si="29"/>
        <v>4715800</v>
      </c>
      <c r="J282" s="16"/>
      <c r="K282" s="15"/>
      <c r="L282" s="15">
        <f t="shared" si="24"/>
        <v>12920</v>
      </c>
      <c r="M282" s="16"/>
      <c r="N282" s="16"/>
      <c r="O282" s="15">
        <f t="shared" si="25"/>
        <v>161500</v>
      </c>
      <c r="P282" s="15">
        <f t="shared" si="26"/>
        <v>174420</v>
      </c>
      <c r="Q282" s="15">
        <f t="shared" si="27"/>
        <v>4541380</v>
      </c>
      <c r="R282" s="17">
        <v>1382</v>
      </c>
    </row>
    <row r="283" spans="1:18" ht="16.5" x14ac:dyDescent="0.25">
      <c r="A283" s="12">
        <v>1384</v>
      </c>
      <c r="B283" s="13" t="s">
        <v>268</v>
      </c>
      <c r="C283" s="13" t="s">
        <v>25</v>
      </c>
      <c r="D283" s="16"/>
      <c r="E283" s="15">
        <v>6400</v>
      </c>
      <c r="F283" s="15">
        <v>300</v>
      </c>
      <c r="G283" s="15">
        <v>400</v>
      </c>
      <c r="H283" s="15">
        <f t="shared" si="28"/>
        <v>7100</v>
      </c>
      <c r="I283" s="15">
        <f t="shared" si="29"/>
        <v>0</v>
      </c>
      <c r="J283" s="16"/>
      <c r="K283" s="15"/>
      <c r="L283" s="15">
        <f t="shared" si="24"/>
        <v>0</v>
      </c>
      <c r="M283" s="16"/>
      <c r="N283" s="16"/>
      <c r="O283" s="15">
        <f t="shared" si="25"/>
        <v>0</v>
      </c>
      <c r="P283" s="15">
        <f t="shared" si="26"/>
        <v>0</v>
      </c>
      <c r="Q283" s="15">
        <f t="shared" si="27"/>
        <v>0</v>
      </c>
      <c r="R283" s="17">
        <v>1384</v>
      </c>
    </row>
    <row r="284" spans="1:18" ht="16.5" x14ac:dyDescent="0.25">
      <c r="A284" s="12">
        <v>1386</v>
      </c>
      <c r="B284" s="13" t="s">
        <v>269</v>
      </c>
      <c r="C284" s="13" t="s">
        <v>25</v>
      </c>
      <c r="D284" s="29"/>
      <c r="E284" s="15">
        <v>6400</v>
      </c>
      <c r="F284" s="15">
        <v>300</v>
      </c>
      <c r="G284" s="15">
        <v>400</v>
      </c>
      <c r="H284" s="15">
        <f t="shared" si="28"/>
        <v>7100</v>
      </c>
      <c r="I284" s="15">
        <f t="shared" si="29"/>
        <v>0</v>
      </c>
      <c r="J284" s="16"/>
      <c r="K284" s="15"/>
      <c r="L284" s="15">
        <f t="shared" si="24"/>
        <v>0</v>
      </c>
      <c r="M284" s="16"/>
      <c r="N284" s="16"/>
      <c r="O284" s="15">
        <f t="shared" si="25"/>
        <v>0</v>
      </c>
      <c r="P284" s="15">
        <f t="shared" si="26"/>
        <v>0</v>
      </c>
      <c r="Q284" s="15">
        <f t="shared" si="27"/>
        <v>0</v>
      </c>
      <c r="R284" s="17">
        <v>1386</v>
      </c>
    </row>
    <row r="285" spans="1:18" ht="16.5" x14ac:dyDescent="0.25">
      <c r="A285" s="12">
        <v>1388</v>
      </c>
      <c r="B285" s="13" t="s">
        <v>270</v>
      </c>
      <c r="C285" s="13" t="s">
        <v>25</v>
      </c>
      <c r="D285" s="16"/>
      <c r="E285" s="15">
        <v>6400</v>
      </c>
      <c r="F285" s="15">
        <v>300</v>
      </c>
      <c r="G285" s="15">
        <v>400</v>
      </c>
      <c r="H285" s="15">
        <f t="shared" si="28"/>
        <v>7100</v>
      </c>
      <c r="I285" s="15">
        <f t="shared" si="29"/>
        <v>0</v>
      </c>
      <c r="J285" s="16"/>
      <c r="K285" s="15"/>
      <c r="L285" s="15">
        <f t="shared" si="24"/>
        <v>0</v>
      </c>
      <c r="M285" s="20"/>
      <c r="N285" s="20"/>
      <c r="O285" s="15">
        <f t="shared" si="25"/>
        <v>0</v>
      </c>
      <c r="P285" s="15">
        <f t="shared" si="26"/>
        <v>0</v>
      </c>
      <c r="Q285" s="15">
        <f t="shared" si="27"/>
        <v>0</v>
      </c>
      <c r="R285" s="17">
        <v>1388</v>
      </c>
    </row>
    <row r="286" spans="1:18" ht="16.5" x14ac:dyDescent="0.25">
      <c r="A286" s="12">
        <v>1389</v>
      </c>
      <c r="B286" s="13" t="s">
        <v>271</v>
      </c>
      <c r="C286" s="13" t="s">
        <v>82</v>
      </c>
      <c r="D286" s="14">
        <v>292</v>
      </c>
      <c r="E286" s="15">
        <v>6400</v>
      </c>
      <c r="F286" s="15">
        <v>500</v>
      </c>
      <c r="G286" s="15">
        <v>400</v>
      </c>
      <c r="H286" s="15">
        <f t="shared" si="28"/>
        <v>7300</v>
      </c>
      <c r="I286" s="15">
        <f t="shared" si="29"/>
        <v>2131600</v>
      </c>
      <c r="J286" s="16"/>
      <c r="K286" s="15">
        <v>400000</v>
      </c>
      <c r="L286" s="15">
        <f t="shared" si="24"/>
        <v>5840</v>
      </c>
      <c r="M286" s="20"/>
      <c r="N286" s="20"/>
      <c r="O286" s="15">
        <f t="shared" si="25"/>
        <v>73000</v>
      </c>
      <c r="P286" s="15">
        <f t="shared" si="26"/>
        <v>478840</v>
      </c>
      <c r="Q286" s="15">
        <f t="shared" si="27"/>
        <v>1652760</v>
      </c>
      <c r="R286" s="17">
        <v>1389</v>
      </c>
    </row>
    <row r="287" spans="1:18" ht="16.5" x14ac:dyDescent="0.25">
      <c r="A287" s="12">
        <v>1390</v>
      </c>
      <c r="B287" s="13" t="s">
        <v>110</v>
      </c>
      <c r="C287" s="13" t="s">
        <v>82</v>
      </c>
      <c r="D287" s="14">
        <v>335</v>
      </c>
      <c r="E287" s="15">
        <v>6400</v>
      </c>
      <c r="F287" s="15">
        <v>600</v>
      </c>
      <c r="G287" s="15">
        <v>400</v>
      </c>
      <c r="H287" s="15">
        <f t="shared" si="28"/>
        <v>7400</v>
      </c>
      <c r="I287" s="15">
        <f t="shared" si="29"/>
        <v>2479000</v>
      </c>
      <c r="J287" s="20"/>
      <c r="K287" s="15"/>
      <c r="L287" s="15">
        <f t="shared" si="24"/>
        <v>6700</v>
      </c>
      <c r="M287" s="16"/>
      <c r="N287" s="16"/>
      <c r="O287" s="15">
        <f t="shared" si="25"/>
        <v>83750</v>
      </c>
      <c r="P287" s="15">
        <f t="shared" si="26"/>
        <v>90450</v>
      </c>
      <c r="Q287" s="15">
        <f t="shared" si="27"/>
        <v>2388550</v>
      </c>
      <c r="R287" s="17">
        <v>1390</v>
      </c>
    </row>
    <row r="288" spans="1:18" ht="16.5" x14ac:dyDescent="0.25">
      <c r="A288" s="12">
        <v>1391</v>
      </c>
      <c r="B288" s="13" t="s">
        <v>239</v>
      </c>
      <c r="C288" s="13" t="s">
        <v>25</v>
      </c>
      <c r="D288" s="20"/>
      <c r="E288" s="15">
        <v>6400</v>
      </c>
      <c r="F288" s="15">
        <v>300</v>
      </c>
      <c r="G288" s="15">
        <v>400</v>
      </c>
      <c r="H288" s="15">
        <f t="shared" si="28"/>
        <v>7100</v>
      </c>
      <c r="I288" s="15">
        <f t="shared" si="29"/>
        <v>0</v>
      </c>
      <c r="J288" s="20"/>
      <c r="K288" s="15"/>
      <c r="L288" s="15">
        <f t="shared" si="24"/>
        <v>0</v>
      </c>
      <c r="M288" s="16"/>
      <c r="N288" s="16"/>
      <c r="O288" s="15">
        <f t="shared" si="25"/>
        <v>0</v>
      </c>
      <c r="P288" s="15">
        <f t="shared" si="26"/>
        <v>0</v>
      </c>
      <c r="Q288" s="15">
        <f t="shared" si="27"/>
        <v>0</v>
      </c>
      <c r="R288" s="17">
        <v>1391</v>
      </c>
    </row>
    <row r="289" spans="1:18" ht="16.5" x14ac:dyDescent="0.25">
      <c r="A289" s="12">
        <v>1392</v>
      </c>
      <c r="B289" s="13" t="s">
        <v>272</v>
      </c>
      <c r="C289" s="13" t="s">
        <v>25</v>
      </c>
      <c r="D289" s="20"/>
      <c r="E289" s="15">
        <v>6400</v>
      </c>
      <c r="F289" s="15">
        <v>400</v>
      </c>
      <c r="G289" s="15">
        <v>400</v>
      </c>
      <c r="H289" s="15">
        <f t="shared" si="28"/>
        <v>7200</v>
      </c>
      <c r="I289" s="15">
        <f t="shared" si="29"/>
        <v>0</v>
      </c>
      <c r="J289" s="16"/>
      <c r="K289" s="15"/>
      <c r="L289" s="15">
        <f t="shared" si="24"/>
        <v>0</v>
      </c>
      <c r="M289" s="20"/>
      <c r="N289" s="20"/>
      <c r="O289" s="15">
        <f t="shared" si="25"/>
        <v>0</v>
      </c>
      <c r="P289" s="15">
        <f t="shared" si="26"/>
        <v>0</v>
      </c>
      <c r="Q289" s="15">
        <f t="shared" si="27"/>
        <v>0</v>
      </c>
      <c r="R289" s="17">
        <v>1392</v>
      </c>
    </row>
    <row r="290" spans="1:18" ht="16.5" x14ac:dyDescent="0.25">
      <c r="A290" s="12">
        <v>1396</v>
      </c>
      <c r="B290" s="13" t="s">
        <v>273</v>
      </c>
      <c r="C290" s="13" t="s">
        <v>25</v>
      </c>
      <c r="D290" s="16">
        <v>193</v>
      </c>
      <c r="E290" s="15">
        <v>6400</v>
      </c>
      <c r="F290" s="15">
        <v>400</v>
      </c>
      <c r="G290" s="15">
        <v>400</v>
      </c>
      <c r="H290" s="15">
        <f t="shared" si="28"/>
        <v>7200</v>
      </c>
      <c r="I290" s="15">
        <f t="shared" si="29"/>
        <v>1389600</v>
      </c>
      <c r="J290" s="16"/>
      <c r="K290" s="15"/>
      <c r="L290" s="15">
        <f t="shared" si="24"/>
        <v>3860</v>
      </c>
      <c r="M290" s="16"/>
      <c r="N290" s="16"/>
      <c r="O290" s="15">
        <f t="shared" si="25"/>
        <v>48250</v>
      </c>
      <c r="P290" s="15">
        <f t="shared" si="26"/>
        <v>52110</v>
      </c>
      <c r="Q290" s="15">
        <f t="shared" si="27"/>
        <v>1337490</v>
      </c>
      <c r="R290" s="17">
        <v>1396</v>
      </c>
    </row>
    <row r="291" spans="1:18" ht="16.5" x14ac:dyDescent="0.25">
      <c r="A291" s="12">
        <v>1398</v>
      </c>
      <c r="B291" s="13" t="s">
        <v>211</v>
      </c>
      <c r="C291" s="13" t="s">
        <v>43</v>
      </c>
      <c r="D291" s="16">
        <v>395</v>
      </c>
      <c r="E291" s="15">
        <v>6400</v>
      </c>
      <c r="F291" s="15">
        <v>500</v>
      </c>
      <c r="G291" s="15">
        <v>400</v>
      </c>
      <c r="H291" s="15">
        <f t="shared" si="28"/>
        <v>7300</v>
      </c>
      <c r="I291" s="15">
        <f t="shared" si="29"/>
        <v>2883500</v>
      </c>
      <c r="J291" s="20"/>
      <c r="K291" s="15">
        <v>400000</v>
      </c>
      <c r="L291" s="15">
        <f t="shared" si="24"/>
        <v>7900</v>
      </c>
      <c r="M291" s="16"/>
      <c r="N291" s="16"/>
      <c r="O291" s="15">
        <f t="shared" si="25"/>
        <v>98750</v>
      </c>
      <c r="P291" s="15">
        <f t="shared" si="26"/>
        <v>506650</v>
      </c>
      <c r="Q291" s="15">
        <f t="shared" si="27"/>
        <v>2376850</v>
      </c>
      <c r="R291" s="17">
        <v>1398</v>
      </c>
    </row>
    <row r="292" spans="1:18" ht="16.5" x14ac:dyDescent="0.25">
      <c r="A292" s="12">
        <v>1400</v>
      </c>
      <c r="B292" s="13" t="s">
        <v>422</v>
      </c>
      <c r="C292" s="13" t="s">
        <v>423</v>
      </c>
      <c r="D292" s="16"/>
      <c r="E292" s="15">
        <v>6400</v>
      </c>
      <c r="F292" s="15">
        <v>300</v>
      </c>
      <c r="G292" s="15">
        <v>400</v>
      </c>
      <c r="H292" s="15">
        <f t="shared" si="28"/>
        <v>7100</v>
      </c>
      <c r="I292" s="15">
        <f t="shared" si="29"/>
        <v>0</v>
      </c>
      <c r="J292" s="30"/>
      <c r="K292" s="15"/>
      <c r="L292" s="15">
        <f t="shared" si="24"/>
        <v>0</v>
      </c>
      <c r="M292" s="16"/>
      <c r="N292" s="16"/>
      <c r="O292" s="15">
        <f t="shared" si="25"/>
        <v>0</v>
      </c>
      <c r="P292" s="15">
        <f t="shared" si="26"/>
        <v>0</v>
      </c>
      <c r="Q292" s="15">
        <f t="shared" si="27"/>
        <v>0</v>
      </c>
      <c r="R292" s="17">
        <v>1400</v>
      </c>
    </row>
    <row r="293" spans="1:18" ht="16.5" x14ac:dyDescent="0.25">
      <c r="A293" s="12">
        <v>1403</v>
      </c>
      <c r="B293" s="13" t="s">
        <v>274</v>
      </c>
      <c r="C293" s="13" t="s">
        <v>43</v>
      </c>
      <c r="D293" s="20"/>
      <c r="E293" s="15">
        <v>6400</v>
      </c>
      <c r="F293" s="15">
        <v>500</v>
      </c>
      <c r="G293" s="15">
        <v>400</v>
      </c>
      <c r="H293" s="15">
        <f t="shared" si="28"/>
        <v>7300</v>
      </c>
      <c r="I293" s="15">
        <f t="shared" si="29"/>
        <v>0</v>
      </c>
      <c r="J293" s="16"/>
      <c r="K293" s="31"/>
      <c r="L293" s="15">
        <f t="shared" si="24"/>
        <v>0</v>
      </c>
      <c r="M293" s="16"/>
      <c r="N293" s="16"/>
      <c r="O293" s="15">
        <f t="shared" si="25"/>
        <v>0</v>
      </c>
      <c r="P293" s="15">
        <f t="shared" si="26"/>
        <v>0</v>
      </c>
      <c r="Q293" s="15">
        <f t="shared" si="27"/>
        <v>0</v>
      </c>
      <c r="R293" s="17">
        <v>1403</v>
      </c>
    </row>
    <row r="294" spans="1:18" ht="16.5" x14ac:dyDescent="0.25">
      <c r="A294" s="12">
        <v>1404</v>
      </c>
      <c r="B294" s="13" t="s">
        <v>275</v>
      </c>
      <c r="C294" s="13" t="s">
        <v>43</v>
      </c>
      <c r="D294" s="16">
        <v>201</v>
      </c>
      <c r="E294" s="15">
        <v>6400</v>
      </c>
      <c r="F294" s="15">
        <v>600</v>
      </c>
      <c r="G294" s="15">
        <v>400</v>
      </c>
      <c r="H294" s="15">
        <f t="shared" si="28"/>
        <v>7400</v>
      </c>
      <c r="I294" s="15">
        <f t="shared" si="29"/>
        <v>1487400</v>
      </c>
      <c r="J294" s="16"/>
      <c r="K294" s="15">
        <v>600000</v>
      </c>
      <c r="L294" s="15">
        <f t="shared" si="24"/>
        <v>4020</v>
      </c>
      <c r="M294" s="20"/>
      <c r="N294" s="20"/>
      <c r="O294" s="15">
        <f t="shared" si="25"/>
        <v>50250</v>
      </c>
      <c r="P294" s="15">
        <f t="shared" si="26"/>
        <v>654270</v>
      </c>
      <c r="Q294" s="15">
        <f t="shared" si="27"/>
        <v>833130</v>
      </c>
      <c r="R294" s="17">
        <v>1404</v>
      </c>
    </row>
    <row r="295" spans="1:18" ht="16.5" x14ac:dyDescent="0.25">
      <c r="A295" s="12">
        <v>1405</v>
      </c>
      <c r="B295" s="13" t="s">
        <v>276</v>
      </c>
      <c r="C295" s="13" t="s">
        <v>82</v>
      </c>
      <c r="D295" s="14">
        <v>145</v>
      </c>
      <c r="E295" s="15">
        <v>6400</v>
      </c>
      <c r="F295" s="15">
        <v>500</v>
      </c>
      <c r="G295" s="15">
        <v>400</v>
      </c>
      <c r="H295" s="15">
        <f t="shared" si="28"/>
        <v>7300</v>
      </c>
      <c r="I295" s="15">
        <f t="shared" si="29"/>
        <v>1058500</v>
      </c>
      <c r="J295" s="16"/>
      <c r="K295" s="15"/>
      <c r="L295" s="15">
        <f t="shared" si="24"/>
        <v>2900</v>
      </c>
      <c r="M295" s="16"/>
      <c r="N295" s="16"/>
      <c r="O295" s="15">
        <f t="shared" si="25"/>
        <v>36250</v>
      </c>
      <c r="P295" s="15">
        <f t="shared" si="26"/>
        <v>39150</v>
      </c>
      <c r="Q295" s="15">
        <f t="shared" si="27"/>
        <v>1019350</v>
      </c>
      <c r="R295" s="17">
        <v>1405</v>
      </c>
    </row>
    <row r="296" spans="1:18" ht="16.5" x14ac:dyDescent="0.25">
      <c r="A296" s="12">
        <v>1406</v>
      </c>
      <c r="B296" s="13" t="s">
        <v>277</v>
      </c>
      <c r="C296" s="13" t="s">
        <v>25</v>
      </c>
      <c r="D296" s="16">
        <v>135</v>
      </c>
      <c r="E296" s="15">
        <v>6400</v>
      </c>
      <c r="F296" s="15">
        <v>400</v>
      </c>
      <c r="G296" s="15">
        <v>400</v>
      </c>
      <c r="H296" s="15">
        <f t="shared" si="28"/>
        <v>7200</v>
      </c>
      <c r="I296" s="15">
        <f t="shared" si="29"/>
        <v>972000</v>
      </c>
      <c r="J296" s="20"/>
      <c r="K296" s="15">
        <v>600000</v>
      </c>
      <c r="L296" s="15">
        <f t="shared" si="24"/>
        <v>2700</v>
      </c>
      <c r="M296" s="20"/>
      <c r="N296" s="20"/>
      <c r="O296" s="15">
        <f t="shared" si="25"/>
        <v>33750</v>
      </c>
      <c r="P296" s="15">
        <f t="shared" si="26"/>
        <v>636450</v>
      </c>
      <c r="Q296" s="15">
        <f t="shared" si="27"/>
        <v>335550</v>
      </c>
      <c r="R296" s="17">
        <v>1406</v>
      </c>
    </row>
    <row r="297" spans="1:18" ht="16.5" x14ac:dyDescent="0.25">
      <c r="A297" s="12">
        <v>1407</v>
      </c>
      <c r="B297" s="13" t="s">
        <v>278</v>
      </c>
      <c r="C297" s="13" t="s">
        <v>25</v>
      </c>
      <c r="D297" s="20"/>
      <c r="E297" s="15">
        <v>6400</v>
      </c>
      <c r="F297" s="15">
        <v>400</v>
      </c>
      <c r="G297" s="15">
        <v>400</v>
      </c>
      <c r="H297" s="15">
        <f t="shared" si="28"/>
        <v>7200</v>
      </c>
      <c r="I297" s="15">
        <f t="shared" si="29"/>
        <v>0</v>
      </c>
      <c r="J297" s="32"/>
      <c r="K297" s="15"/>
      <c r="L297" s="15">
        <f t="shared" si="24"/>
        <v>0</v>
      </c>
      <c r="M297" s="16"/>
      <c r="N297" s="16"/>
      <c r="O297" s="15">
        <f t="shared" si="25"/>
        <v>0</v>
      </c>
      <c r="P297" s="15">
        <f t="shared" si="26"/>
        <v>0</v>
      </c>
      <c r="Q297" s="15">
        <f t="shared" si="27"/>
        <v>0</v>
      </c>
      <c r="R297" s="17">
        <v>1407</v>
      </c>
    </row>
    <row r="298" spans="1:18" ht="16.5" x14ac:dyDescent="0.25">
      <c r="A298" s="12">
        <v>1410</v>
      </c>
      <c r="B298" s="13" t="s">
        <v>279</v>
      </c>
      <c r="C298" s="13" t="s">
        <v>36</v>
      </c>
      <c r="D298" s="14">
        <v>839</v>
      </c>
      <c r="E298" s="15">
        <v>6400</v>
      </c>
      <c r="F298" s="15">
        <v>600</v>
      </c>
      <c r="G298" s="15">
        <v>400</v>
      </c>
      <c r="H298" s="15">
        <f t="shared" si="28"/>
        <v>7400</v>
      </c>
      <c r="I298" s="15">
        <f t="shared" si="29"/>
        <v>6208600</v>
      </c>
      <c r="J298" s="20"/>
      <c r="K298" s="15"/>
      <c r="L298" s="15">
        <f t="shared" si="24"/>
        <v>16780</v>
      </c>
      <c r="M298" s="20"/>
      <c r="N298" s="20"/>
      <c r="O298" s="15">
        <f t="shared" si="25"/>
        <v>209750</v>
      </c>
      <c r="P298" s="15">
        <f t="shared" si="26"/>
        <v>226530</v>
      </c>
      <c r="Q298" s="15">
        <f t="shared" si="27"/>
        <v>5982070</v>
      </c>
      <c r="R298" s="17">
        <v>1410</v>
      </c>
    </row>
    <row r="299" spans="1:18" ht="16.5" x14ac:dyDescent="0.25">
      <c r="A299" s="12">
        <v>1412</v>
      </c>
      <c r="B299" s="13" t="s">
        <v>280</v>
      </c>
      <c r="C299" s="13" t="s">
        <v>43</v>
      </c>
      <c r="D299" s="20"/>
      <c r="E299" s="15">
        <v>6400</v>
      </c>
      <c r="F299" s="15">
        <v>300</v>
      </c>
      <c r="G299" s="15">
        <v>400</v>
      </c>
      <c r="H299" s="15">
        <f t="shared" si="28"/>
        <v>7100</v>
      </c>
      <c r="I299" s="15">
        <f t="shared" si="29"/>
        <v>0</v>
      </c>
      <c r="J299" s="16"/>
      <c r="K299" s="15"/>
      <c r="L299" s="15">
        <f t="shared" si="24"/>
        <v>0</v>
      </c>
      <c r="M299" s="16"/>
      <c r="N299" s="16"/>
      <c r="O299" s="15">
        <f t="shared" si="25"/>
        <v>0</v>
      </c>
      <c r="P299" s="15">
        <f t="shared" si="26"/>
        <v>0</v>
      </c>
      <c r="Q299" s="15">
        <f t="shared" si="27"/>
        <v>0</v>
      </c>
      <c r="R299" s="17">
        <v>1412</v>
      </c>
    </row>
    <row r="300" spans="1:18" ht="16.5" x14ac:dyDescent="0.25">
      <c r="A300" s="12">
        <v>1414</v>
      </c>
      <c r="B300" s="13" t="s">
        <v>281</v>
      </c>
      <c r="C300" s="13" t="s">
        <v>25</v>
      </c>
      <c r="D300" s="16"/>
      <c r="E300" s="15">
        <v>6400</v>
      </c>
      <c r="F300" s="15">
        <v>300</v>
      </c>
      <c r="G300" s="15">
        <v>400</v>
      </c>
      <c r="H300" s="15">
        <f t="shared" si="28"/>
        <v>7100</v>
      </c>
      <c r="I300" s="15">
        <f t="shared" si="29"/>
        <v>0</v>
      </c>
      <c r="J300" s="20"/>
      <c r="K300" s="15"/>
      <c r="L300" s="15">
        <f t="shared" si="24"/>
        <v>0</v>
      </c>
      <c r="M300" s="16"/>
      <c r="N300" s="16"/>
      <c r="O300" s="15">
        <f t="shared" si="25"/>
        <v>0</v>
      </c>
      <c r="P300" s="15">
        <f t="shared" si="26"/>
        <v>0</v>
      </c>
      <c r="Q300" s="15">
        <f t="shared" si="27"/>
        <v>0</v>
      </c>
      <c r="R300" s="17">
        <v>1414</v>
      </c>
    </row>
    <row r="301" spans="1:18" ht="16.5" x14ac:dyDescent="0.25">
      <c r="A301" s="12">
        <v>1418</v>
      </c>
      <c r="B301" s="13" t="s">
        <v>282</v>
      </c>
      <c r="C301" s="13" t="s">
        <v>43</v>
      </c>
      <c r="D301" s="20"/>
      <c r="E301" s="15">
        <v>6400</v>
      </c>
      <c r="F301" s="15">
        <v>300</v>
      </c>
      <c r="G301" s="15">
        <v>400</v>
      </c>
      <c r="H301" s="15">
        <f t="shared" si="28"/>
        <v>7100</v>
      </c>
      <c r="I301" s="15">
        <f t="shared" si="29"/>
        <v>0</v>
      </c>
      <c r="J301" s="16"/>
      <c r="K301" s="15"/>
      <c r="L301" s="15">
        <f t="shared" si="24"/>
        <v>0</v>
      </c>
      <c r="M301" s="16"/>
      <c r="N301" s="16"/>
      <c r="O301" s="15">
        <f t="shared" si="25"/>
        <v>0</v>
      </c>
      <c r="P301" s="15">
        <f t="shared" si="26"/>
        <v>0</v>
      </c>
      <c r="Q301" s="15">
        <f t="shared" si="27"/>
        <v>0</v>
      </c>
      <c r="R301" s="17">
        <v>1418</v>
      </c>
    </row>
    <row r="302" spans="1:18" ht="16.5" x14ac:dyDescent="0.25">
      <c r="A302" s="12">
        <v>1419</v>
      </c>
      <c r="B302" s="13" t="s">
        <v>174</v>
      </c>
      <c r="C302" s="13" t="s">
        <v>47</v>
      </c>
      <c r="D302" s="14"/>
      <c r="E302" s="15">
        <v>6400</v>
      </c>
      <c r="F302" s="15">
        <v>300</v>
      </c>
      <c r="G302" s="15">
        <v>400</v>
      </c>
      <c r="H302" s="15">
        <f t="shared" si="28"/>
        <v>7100</v>
      </c>
      <c r="I302" s="15">
        <f t="shared" si="29"/>
        <v>0</v>
      </c>
      <c r="J302" s="16"/>
      <c r="K302" s="15"/>
      <c r="L302" s="15">
        <f t="shared" si="24"/>
        <v>0</v>
      </c>
      <c r="M302" s="20"/>
      <c r="N302" s="20"/>
      <c r="O302" s="15">
        <f t="shared" si="25"/>
        <v>0</v>
      </c>
      <c r="P302" s="15">
        <f t="shared" si="26"/>
        <v>0</v>
      </c>
      <c r="Q302" s="15">
        <f t="shared" si="27"/>
        <v>0</v>
      </c>
      <c r="R302" s="17">
        <v>1419</v>
      </c>
    </row>
    <row r="303" spans="1:18" ht="16.5" x14ac:dyDescent="0.25">
      <c r="A303" s="12">
        <v>1420</v>
      </c>
      <c r="B303" s="13" t="s">
        <v>174</v>
      </c>
      <c r="C303" s="13" t="s">
        <v>25</v>
      </c>
      <c r="D303" s="16"/>
      <c r="E303" s="15">
        <v>6400</v>
      </c>
      <c r="F303" s="15">
        <v>300</v>
      </c>
      <c r="G303" s="15">
        <v>400</v>
      </c>
      <c r="H303" s="15">
        <f t="shared" si="28"/>
        <v>7100</v>
      </c>
      <c r="I303" s="15">
        <f t="shared" si="29"/>
        <v>0</v>
      </c>
      <c r="J303" s="16"/>
      <c r="K303" s="15"/>
      <c r="L303" s="15">
        <f t="shared" si="24"/>
        <v>0</v>
      </c>
      <c r="M303" s="20"/>
      <c r="N303" s="20"/>
      <c r="O303" s="15">
        <f t="shared" si="25"/>
        <v>0</v>
      </c>
      <c r="P303" s="15">
        <f t="shared" si="26"/>
        <v>0</v>
      </c>
      <c r="Q303" s="15">
        <f t="shared" si="27"/>
        <v>0</v>
      </c>
      <c r="R303" s="17">
        <v>1420</v>
      </c>
    </row>
    <row r="304" spans="1:18" ht="16.5" x14ac:dyDescent="0.25">
      <c r="A304" s="12">
        <v>1421</v>
      </c>
      <c r="B304" s="13" t="s">
        <v>283</v>
      </c>
      <c r="C304" s="13" t="s">
        <v>43</v>
      </c>
      <c r="D304" s="14"/>
      <c r="E304" s="15">
        <v>6400</v>
      </c>
      <c r="F304" s="15">
        <v>300</v>
      </c>
      <c r="G304" s="15">
        <v>400</v>
      </c>
      <c r="H304" s="15">
        <f t="shared" si="28"/>
        <v>7100</v>
      </c>
      <c r="I304" s="15">
        <f t="shared" si="29"/>
        <v>0</v>
      </c>
      <c r="J304" s="20"/>
      <c r="K304" s="15"/>
      <c r="L304" s="15">
        <f t="shared" si="24"/>
        <v>0</v>
      </c>
      <c r="M304" s="16"/>
      <c r="N304" s="16"/>
      <c r="O304" s="15">
        <f t="shared" si="25"/>
        <v>0</v>
      </c>
      <c r="P304" s="15">
        <f t="shared" si="26"/>
        <v>0</v>
      </c>
      <c r="Q304" s="15">
        <f t="shared" si="27"/>
        <v>0</v>
      </c>
      <c r="R304" s="17">
        <v>1421</v>
      </c>
    </row>
    <row r="305" spans="1:18" ht="16.5" x14ac:dyDescent="0.25">
      <c r="A305" s="12">
        <v>1422</v>
      </c>
      <c r="B305" s="13" t="s">
        <v>284</v>
      </c>
      <c r="C305" s="13" t="s">
        <v>25</v>
      </c>
      <c r="D305" s="25"/>
      <c r="E305" s="15">
        <v>6400</v>
      </c>
      <c r="F305" s="15">
        <v>300</v>
      </c>
      <c r="G305" s="15">
        <v>400</v>
      </c>
      <c r="H305" s="15">
        <f t="shared" si="28"/>
        <v>7100</v>
      </c>
      <c r="I305" s="15">
        <f t="shared" si="29"/>
        <v>0</v>
      </c>
      <c r="J305" s="20"/>
      <c r="K305" s="15"/>
      <c r="L305" s="15">
        <f t="shared" si="24"/>
        <v>0</v>
      </c>
      <c r="M305" s="20"/>
      <c r="N305" s="20"/>
      <c r="O305" s="15">
        <f t="shared" si="25"/>
        <v>0</v>
      </c>
      <c r="P305" s="15">
        <f t="shared" si="26"/>
        <v>0</v>
      </c>
      <c r="Q305" s="15">
        <f t="shared" si="27"/>
        <v>0</v>
      </c>
      <c r="R305" s="17">
        <v>1422</v>
      </c>
    </row>
    <row r="306" spans="1:18" ht="16.5" x14ac:dyDescent="0.25">
      <c r="A306" s="12">
        <v>1423</v>
      </c>
      <c r="B306" s="13" t="s">
        <v>285</v>
      </c>
      <c r="C306" s="13" t="s">
        <v>43</v>
      </c>
      <c r="D306" s="19"/>
      <c r="E306" s="15">
        <v>6400</v>
      </c>
      <c r="F306" s="15">
        <v>300</v>
      </c>
      <c r="G306" s="15">
        <v>400</v>
      </c>
      <c r="H306" s="15">
        <f t="shared" si="28"/>
        <v>7100</v>
      </c>
      <c r="I306" s="15">
        <f t="shared" si="29"/>
        <v>0</v>
      </c>
      <c r="J306" s="16"/>
      <c r="K306" s="15"/>
      <c r="L306" s="15">
        <f t="shared" si="24"/>
        <v>0</v>
      </c>
      <c r="M306" s="20"/>
      <c r="N306" s="20"/>
      <c r="O306" s="15">
        <f t="shared" si="25"/>
        <v>0</v>
      </c>
      <c r="P306" s="15">
        <f t="shared" si="26"/>
        <v>0</v>
      </c>
      <c r="Q306" s="15">
        <f t="shared" si="27"/>
        <v>0</v>
      </c>
      <c r="R306" s="17">
        <v>1423</v>
      </c>
    </row>
    <row r="307" spans="1:18" ht="16.5" x14ac:dyDescent="0.25">
      <c r="A307" s="12">
        <v>1424</v>
      </c>
      <c r="B307" s="13" t="s">
        <v>286</v>
      </c>
      <c r="C307" s="13" t="s">
        <v>25</v>
      </c>
      <c r="D307" s="16"/>
      <c r="E307" s="15">
        <v>6400</v>
      </c>
      <c r="F307" s="15">
        <v>300</v>
      </c>
      <c r="G307" s="15">
        <v>400</v>
      </c>
      <c r="H307" s="15">
        <f t="shared" si="28"/>
        <v>7100</v>
      </c>
      <c r="I307" s="15">
        <f t="shared" si="29"/>
        <v>0</v>
      </c>
      <c r="J307" s="20"/>
      <c r="K307" s="15"/>
      <c r="L307" s="15">
        <f t="shared" si="24"/>
        <v>0</v>
      </c>
      <c r="M307" s="16"/>
      <c r="N307" s="16"/>
      <c r="O307" s="15">
        <f t="shared" si="25"/>
        <v>0</v>
      </c>
      <c r="P307" s="15">
        <f t="shared" si="26"/>
        <v>0</v>
      </c>
      <c r="Q307" s="15">
        <f t="shared" si="27"/>
        <v>0</v>
      </c>
      <c r="R307" s="17">
        <v>1424</v>
      </c>
    </row>
    <row r="308" spans="1:18" ht="16.5" x14ac:dyDescent="0.25">
      <c r="A308" s="12">
        <v>1426</v>
      </c>
      <c r="B308" s="13" t="s">
        <v>287</v>
      </c>
      <c r="C308" s="13" t="s">
        <v>30</v>
      </c>
      <c r="D308" s="19"/>
      <c r="E308" s="15">
        <v>6400</v>
      </c>
      <c r="F308" s="15">
        <v>300</v>
      </c>
      <c r="G308" s="15">
        <v>400</v>
      </c>
      <c r="H308" s="15">
        <f t="shared" si="28"/>
        <v>7100</v>
      </c>
      <c r="I308" s="15">
        <f t="shared" si="29"/>
        <v>0</v>
      </c>
      <c r="J308" s="20"/>
      <c r="K308" s="15"/>
      <c r="L308" s="15">
        <f t="shared" si="24"/>
        <v>0</v>
      </c>
      <c r="M308" s="20"/>
      <c r="N308" s="20"/>
      <c r="O308" s="15">
        <f t="shared" si="25"/>
        <v>0</v>
      </c>
      <c r="P308" s="15">
        <f t="shared" si="26"/>
        <v>0</v>
      </c>
      <c r="Q308" s="15">
        <f t="shared" si="27"/>
        <v>0</v>
      </c>
      <c r="R308" s="17">
        <v>1426</v>
      </c>
    </row>
    <row r="309" spans="1:18" ht="16.5" x14ac:dyDescent="0.25">
      <c r="A309" s="12">
        <v>1427</v>
      </c>
      <c r="B309" s="13" t="s">
        <v>288</v>
      </c>
      <c r="C309" s="13" t="s">
        <v>138</v>
      </c>
      <c r="D309" s="19"/>
      <c r="E309" s="15">
        <v>6400</v>
      </c>
      <c r="F309" s="15">
        <v>300</v>
      </c>
      <c r="G309" s="15">
        <v>400</v>
      </c>
      <c r="H309" s="15">
        <f t="shared" si="28"/>
        <v>7100</v>
      </c>
      <c r="I309" s="15">
        <f t="shared" si="29"/>
        <v>0</v>
      </c>
      <c r="J309" s="16"/>
      <c r="K309" s="15"/>
      <c r="L309" s="15">
        <f t="shared" si="24"/>
        <v>0</v>
      </c>
      <c r="M309" s="16"/>
      <c r="N309" s="16"/>
      <c r="O309" s="15">
        <f t="shared" si="25"/>
        <v>0</v>
      </c>
      <c r="P309" s="15">
        <f t="shared" si="26"/>
        <v>0</v>
      </c>
      <c r="Q309" s="15">
        <f t="shared" si="27"/>
        <v>0</v>
      </c>
      <c r="R309" s="17">
        <v>1427</v>
      </c>
    </row>
    <row r="310" spans="1:18" ht="16.5" x14ac:dyDescent="0.25">
      <c r="A310" s="12">
        <v>1428</v>
      </c>
      <c r="B310" s="13" t="s">
        <v>116</v>
      </c>
      <c r="C310" s="13" t="s">
        <v>54</v>
      </c>
      <c r="D310" s="14"/>
      <c r="E310" s="15">
        <v>6400</v>
      </c>
      <c r="F310" s="15">
        <v>500</v>
      </c>
      <c r="G310" s="15">
        <v>400</v>
      </c>
      <c r="H310" s="15">
        <f t="shared" si="28"/>
        <v>7300</v>
      </c>
      <c r="I310" s="15">
        <f t="shared" si="29"/>
        <v>0</v>
      </c>
      <c r="J310" s="20"/>
      <c r="K310" s="15"/>
      <c r="L310" s="15">
        <f t="shared" si="24"/>
        <v>0</v>
      </c>
      <c r="M310" s="16"/>
      <c r="N310" s="16"/>
      <c r="O310" s="15">
        <f t="shared" si="25"/>
        <v>0</v>
      </c>
      <c r="P310" s="15">
        <f t="shared" si="26"/>
        <v>0</v>
      </c>
      <c r="Q310" s="15">
        <f t="shared" si="27"/>
        <v>0</v>
      </c>
      <c r="R310" s="17">
        <v>1428</v>
      </c>
    </row>
    <row r="311" spans="1:18" ht="16.5" x14ac:dyDescent="0.25">
      <c r="A311" s="12">
        <v>1430</v>
      </c>
      <c r="B311" s="13" t="s">
        <v>220</v>
      </c>
      <c r="C311" s="13" t="s">
        <v>25</v>
      </c>
      <c r="D311" s="25"/>
      <c r="E311" s="15">
        <v>6400</v>
      </c>
      <c r="F311" s="15">
        <v>400</v>
      </c>
      <c r="G311" s="15">
        <v>400</v>
      </c>
      <c r="H311" s="15">
        <f t="shared" si="28"/>
        <v>7200</v>
      </c>
      <c r="I311" s="15">
        <f t="shared" si="29"/>
        <v>0</v>
      </c>
      <c r="J311" s="16"/>
      <c r="K311" s="15"/>
      <c r="L311" s="15">
        <f t="shared" si="24"/>
        <v>0</v>
      </c>
      <c r="M311" s="16"/>
      <c r="N311" s="16"/>
      <c r="O311" s="15">
        <f t="shared" si="25"/>
        <v>0</v>
      </c>
      <c r="P311" s="15">
        <f t="shared" si="26"/>
        <v>0</v>
      </c>
      <c r="Q311" s="15">
        <f t="shared" si="27"/>
        <v>0</v>
      </c>
      <c r="R311" s="17">
        <v>1430</v>
      </c>
    </row>
    <row r="312" spans="1:18" ht="16.5" x14ac:dyDescent="0.25">
      <c r="A312" s="12">
        <v>1432</v>
      </c>
      <c r="B312" s="13" t="s">
        <v>289</v>
      </c>
      <c r="C312" s="13" t="s">
        <v>290</v>
      </c>
      <c r="D312" s="14"/>
      <c r="E312" s="15">
        <v>6400</v>
      </c>
      <c r="F312" s="15">
        <v>400</v>
      </c>
      <c r="G312" s="15">
        <v>400</v>
      </c>
      <c r="H312" s="15">
        <f t="shared" si="28"/>
        <v>7200</v>
      </c>
      <c r="I312" s="15">
        <f t="shared" si="29"/>
        <v>0</v>
      </c>
      <c r="J312" s="16"/>
      <c r="K312" s="15"/>
      <c r="L312" s="15">
        <f t="shared" si="24"/>
        <v>0</v>
      </c>
      <c r="M312" s="16"/>
      <c r="N312" s="16"/>
      <c r="O312" s="15">
        <f t="shared" si="25"/>
        <v>0</v>
      </c>
      <c r="P312" s="15">
        <f t="shared" si="26"/>
        <v>0</v>
      </c>
      <c r="Q312" s="15">
        <f t="shared" si="27"/>
        <v>0</v>
      </c>
      <c r="R312" s="17">
        <v>1432</v>
      </c>
    </row>
    <row r="313" spans="1:18" ht="16.5" x14ac:dyDescent="0.25">
      <c r="A313" s="12">
        <v>1435</v>
      </c>
      <c r="B313" s="13" t="s">
        <v>112</v>
      </c>
      <c r="C313" s="13" t="s">
        <v>47</v>
      </c>
      <c r="D313" s="20"/>
      <c r="E313" s="15">
        <v>6400</v>
      </c>
      <c r="F313" s="15">
        <v>300</v>
      </c>
      <c r="G313" s="15">
        <v>400</v>
      </c>
      <c r="H313" s="15">
        <f t="shared" si="28"/>
        <v>7100</v>
      </c>
      <c r="I313" s="15">
        <f t="shared" si="29"/>
        <v>0</v>
      </c>
      <c r="J313" s="16"/>
      <c r="K313" s="15"/>
      <c r="L313" s="15">
        <f t="shared" si="24"/>
        <v>0</v>
      </c>
      <c r="M313" s="16"/>
      <c r="N313" s="16"/>
      <c r="O313" s="15">
        <f t="shared" si="25"/>
        <v>0</v>
      </c>
      <c r="P313" s="15">
        <f t="shared" si="26"/>
        <v>0</v>
      </c>
      <c r="Q313" s="15">
        <f t="shared" si="27"/>
        <v>0</v>
      </c>
      <c r="R313" s="17">
        <v>1435</v>
      </c>
    </row>
    <row r="314" spans="1:18" ht="16.5" x14ac:dyDescent="0.25">
      <c r="A314" s="12">
        <v>1437</v>
      </c>
      <c r="B314" s="13" t="s">
        <v>291</v>
      </c>
      <c r="C314" s="13" t="s">
        <v>25</v>
      </c>
      <c r="D314" s="16"/>
      <c r="E314" s="15">
        <v>6400</v>
      </c>
      <c r="F314" s="15">
        <v>400</v>
      </c>
      <c r="G314" s="15">
        <v>400</v>
      </c>
      <c r="H314" s="15">
        <f t="shared" si="28"/>
        <v>7200</v>
      </c>
      <c r="I314" s="15">
        <f t="shared" si="29"/>
        <v>0</v>
      </c>
      <c r="J314" s="16"/>
      <c r="K314" s="15"/>
      <c r="L314" s="15">
        <f t="shared" si="24"/>
        <v>0</v>
      </c>
      <c r="M314" s="16"/>
      <c r="N314" s="16"/>
      <c r="O314" s="15">
        <f t="shared" si="25"/>
        <v>0</v>
      </c>
      <c r="P314" s="15">
        <f t="shared" si="26"/>
        <v>0</v>
      </c>
      <c r="Q314" s="15">
        <f t="shared" si="27"/>
        <v>0</v>
      </c>
      <c r="R314" s="17">
        <v>1437</v>
      </c>
    </row>
    <row r="315" spans="1:18" ht="16.5" x14ac:dyDescent="0.25">
      <c r="A315" s="12">
        <v>1438</v>
      </c>
      <c r="B315" s="13" t="s">
        <v>119</v>
      </c>
      <c r="C315" s="13" t="s">
        <v>43</v>
      </c>
      <c r="D315" s="14">
        <v>461</v>
      </c>
      <c r="E315" s="15">
        <v>6400</v>
      </c>
      <c r="F315" s="15">
        <v>600</v>
      </c>
      <c r="G315" s="15">
        <v>400</v>
      </c>
      <c r="H315" s="15">
        <f t="shared" si="28"/>
        <v>7400</v>
      </c>
      <c r="I315" s="15">
        <f t="shared" si="29"/>
        <v>3411400</v>
      </c>
      <c r="J315" s="16"/>
      <c r="K315" s="15"/>
      <c r="L315" s="15">
        <f t="shared" si="24"/>
        <v>9220</v>
      </c>
      <c r="M315" s="20"/>
      <c r="N315" s="20"/>
      <c r="O315" s="15">
        <f t="shared" si="25"/>
        <v>115250</v>
      </c>
      <c r="P315" s="15">
        <f t="shared" si="26"/>
        <v>124470</v>
      </c>
      <c r="Q315" s="15">
        <f t="shared" si="27"/>
        <v>3286930</v>
      </c>
      <c r="R315" s="17">
        <v>1438</v>
      </c>
    </row>
    <row r="316" spans="1:18" ht="16.5" x14ac:dyDescent="0.25">
      <c r="A316" s="12">
        <v>1439</v>
      </c>
      <c r="B316" s="13" t="s">
        <v>28</v>
      </c>
      <c r="C316" s="13" t="s">
        <v>47</v>
      </c>
      <c r="D316" s="14">
        <v>54</v>
      </c>
      <c r="E316" s="15">
        <v>6400</v>
      </c>
      <c r="F316" s="15">
        <v>400</v>
      </c>
      <c r="G316" s="15">
        <v>400</v>
      </c>
      <c r="H316" s="15">
        <f t="shared" si="28"/>
        <v>7200</v>
      </c>
      <c r="I316" s="15">
        <f t="shared" si="29"/>
        <v>388800</v>
      </c>
      <c r="J316" s="16"/>
      <c r="K316" s="15">
        <v>200000</v>
      </c>
      <c r="L316" s="15">
        <f t="shared" si="24"/>
        <v>1080</v>
      </c>
      <c r="M316" s="16"/>
      <c r="N316" s="16"/>
      <c r="O316" s="15">
        <f t="shared" si="25"/>
        <v>13500</v>
      </c>
      <c r="P316" s="15">
        <f t="shared" si="26"/>
        <v>214580</v>
      </c>
      <c r="Q316" s="15">
        <f t="shared" si="27"/>
        <v>174220</v>
      </c>
      <c r="R316" s="17">
        <v>1439</v>
      </c>
    </row>
    <row r="317" spans="1:18" ht="16.5" x14ac:dyDescent="0.25">
      <c r="A317" s="12">
        <v>1440</v>
      </c>
      <c r="B317" s="13" t="s">
        <v>292</v>
      </c>
      <c r="C317" s="13" t="s">
        <v>17</v>
      </c>
      <c r="D317" s="16"/>
      <c r="E317" s="15">
        <v>6400</v>
      </c>
      <c r="F317" s="15">
        <v>400</v>
      </c>
      <c r="G317" s="15">
        <v>400</v>
      </c>
      <c r="H317" s="15">
        <f t="shared" si="28"/>
        <v>7200</v>
      </c>
      <c r="I317" s="15">
        <f t="shared" si="29"/>
        <v>0</v>
      </c>
      <c r="J317" s="20"/>
      <c r="K317" s="15"/>
      <c r="L317" s="15">
        <f t="shared" si="24"/>
        <v>0</v>
      </c>
      <c r="M317" s="20"/>
      <c r="N317" s="20"/>
      <c r="O317" s="15">
        <f t="shared" si="25"/>
        <v>0</v>
      </c>
      <c r="P317" s="15">
        <f t="shared" si="26"/>
        <v>0</v>
      </c>
      <c r="Q317" s="15">
        <f t="shared" si="27"/>
        <v>0</v>
      </c>
      <c r="R317" s="17">
        <v>1440</v>
      </c>
    </row>
    <row r="318" spans="1:18" ht="16.5" x14ac:dyDescent="0.25">
      <c r="A318" s="12">
        <v>1442</v>
      </c>
      <c r="B318" s="13" t="s">
        <v>244</v>
      </c>
      <c r="C318" s="13" t="s">
        <v>21</v>
      </c>
      <c r="D318" s="19"/>
      <c r="E318" s="15">
        <v>6400</v>
      </c>
      <c r="F318" s="15">
        <v>400</v>
      </c>
      <c r="G318" s="15">
        <v>400</v>
      </c>
      <c r="H318" s="15">
        <f t="shared" si="28"/>
        <v>7200</v>
      </c>
      <c r="I318" s="15">
        <f t="shared" si="29"/>
        <v>0</v>
      </c>
      <c r="J318" s="16"/>
      <c r="K318" s="15">
        <v>200000</v>
      </c>
      <c r="L318" s="15">
        <f t="shared" si="24"/>
        <v>0</v>
      </c>
      <c r="M318" s="20"/>
      <c r="N318" s="20"/>
      <c r="O318" s="15">
        <f t="shared" si="25"/>
        <v>0</v>
      </c>
      <c r="P318" s="15">
        <f t="shared" si="26"/>
        <v>200000</v>
      </c>
      <c r="Q318" s="15">
        <f t="shared" si="27"/>
        <v>-200000</v>
      </c>
      <c r="R318" s="17">
        <v>1442</v>
      </c>
    </row>
    <row r="319" spans="1:18" ht="16.5" x14ac:dyDescent="0.25">
      <c r="A319" s="12">
        <v>1443</v>
      </c>
      <c r="B319" s="13" t="s">
        <v>293</v>
      </c>
      <c r="C319" s="13" t="s">
        <v>54</v>
      </c>
      <c r="D319" s="14">
        <v>49</v>
      </c>
      <c r="E319" s="15">
        <v>6400</v>
      </c>
      <c r="F319" s="15">
        <v>400</v>
      </c>
      <c r="G319" s="15">
        <v>400</v>
      </c>
      <c r="H319" s="15">
        <f t="shared" si="28"/>
        <v>7200</v>
      </c>
      <c r="I319" s="15">
        <f t="shared" si="29"/>
        <v>352800</v>
      </c>
      <c r="J319" s="20"/>
      <c r="K319" s="15"/>
      <c r="L319" s="15">
        <f t="shared" si="24"/>
        <v>980</v>
      </c>
      <c r="M319" s="20"/>
      <c r="N319" s="20"/>
      <c r="O319" s="15">
        <f t="shared" si="25"/>
        <v>12250</v>
      </c>
      <c r="P319" s="15">
        <f t="shared" si="26"/>
        <v>13230</v>
      </c>
      <c r="Q319" s="15">
        <f t="shared" si="27"/>
        <v>339570</v>
      </c>
      <c r="R319" s="17">
        <v>1443</v>
      </c>
    </row>
    <row r="320" spans="1:18" ht="16.5" x14ac:dyDescent="0.25">
      <c r="A320" s="12">
        <v>1445</v>
      </c>
      <c r="B320" s="13" t="s">
        <v>292</v>
      </c>
      <c r="C320" s="13" t="s">
        <v>17</v>
      </c>
      <c r="D320" s="19"/>
      <c r="E320" s="15">
        <v>6400</v>
      </c>
      <c r="F320" s="15">
        <v>400</v>
      </c>
      <c r="G320" s="15">
        <v>400</v>
      </c>
      <c r="H320" s="15">
        <f t="shared" si="28"/>
        <v>7200</v>
      </c>
      <c r="I320" s="15">
        <f t="shared" si="29"/>
        <v>0</v>
      </c>
      <c r="J320" s="20"/>
      <c r="K320" s="15"/>
      <c r="L320" s="15">
        <f t="shared" si="24"/>
        <v>0</v>
      </c>
      <c r="M320" s="16"/>
      <c r="N320" s="16"/>
      <c r="O320" s="15">
        <f t="shared" si="25"/>
        <v>0</v>
      </c>
      <c r="P320" s="15">
        <f t="shared" si="26"/>
        <v>0</v>
      </c>
      <c r="Q320" s="15">
        <f t="shared" si="27"/>
        <v>0</v>
      </c>
      <c r="R320" s="17">
        <v>1445</v>
      </c>
    </row>
    <row r="321" spans="1:18" ht="16.5" x14ac:dyDescent="0.25">
      <c r="A321" s="12">
        <v>1446</v>
      </c>
      <c r="B321" s="13" t="s">
        <v>294</v>
      </c>
      <c r="C321" s="13" t="s">
        <v>43</v>
      </c>
      <c r="D321" s="19">
        <v>152</v>
      </c>
      <c r="E321" s="15">
        <v>6400</v>
      </c>
      <c r="F321" s="15">
        <v>500</v>
      </c>
      <c r="G321" s="15">
        <v>400</v>
      </c>
      <c r="H321" s="15">
        <f t="shared" si="28"/>
        <v>7300</v>
      </c>
      <c r="I321" s="15">
        <f t="shared" si="29"/>
        <v>1109600</v>
      </c>
      <c r="J321" s="20"/>
      <c r="K321" s="15">
        <v>200000</v>
      </c>
      <c r="L321" s="15">
        <f t="shared" si="24"/>
        <v>3040</v>
      </c>
      <c r="M321" s="16"/>
      <c r="N321" s="16"/>
      <c r="O321" s="15">
        <f t="shared" si="25"/>
        <v>38000</v>
      </c>
      <c r="P321" s="15">
        <f t="shared" si="26"/>
        <v>241040</v>
      </c>
      <c r="Q321" s="15">
        <f t="shared" si="27"/>
        <v>868560</v>
      </c>
      <c r="R321" s="17">
        <v>1446</v>
      </c>
    </row>
    <row r="322" spans="1:18" ht="16.5" x14ac:dyDescent="0.25">
      <c r="A322" s="12">
        <v>1448</v>
      </c>
      <c r="B322" s="13" t="s">
        <v>295</v>
      </c>
      <c r="C322" s="13" t="s">
        <v>25</v>
      </c>
      <c r="D322" s="20"/>
      <c r="E322" s="15">
        <v>6400</v>
      </c>
      <c r="F322" s="15">
        <v>300</v>
      </c>
      <c r="G322" s="15">
        <v>400</v>
      </c>
      <c r="H322" s="15">
        <f t="shared" si="28"/>
        <v>7100</v>
      </c>
      <c r="I322" s="15">
        <f t="shared" si="29"/>
        <v>0</v>
      </c>
      <c r="J322" s="16"/>
      <c r="K322" s="15"/>
      <c r="L322" s="15">
        <f t="shared" si="24"/>
        <v>0</v>
      </c>
      <c r="M322" s="16"/>
      <c r="N322" s="16"/>
      <c r="O322" s="15">
        <f t="shared" si="25"/>
        <v>0</v>
      </c>
      <c r="P322" s="15">
        <f t="shared" si="26"/>
        <v>0</v>
      </c>
      <c r="Q322" s="15">
        <f t="shared" si="27"/>
        <v>0</v>
      </c>
      <c r="R322" s="17">
        <v>1448</v>
      </c>
    </row>
    <row r="323" spans="1:18" ht="16.5" x14ac:dyDescent="0.25">
      <c r="A323" s="12">
        <v>1449</v>
      </c>
      <c r="B323" s="13" t="s">
        <v>255</v>
      </c>
      <c r="C323" s="13" t="s">
        <v>43</v>
      </c>
      <c r="D323" s="16"/>
      <c r="E323" s="15">
        <v>6400</v>
      </c>
      <c r="F323" s="15">
        <v>300</v>
      </c>
      <c r="G323" s="15">
        <v>400</v>
      </c>
      <c r="H323" s="15">
        <f t="shared" si="28"/>
        <v>7100</v>
      </c>
      <c r="I323" s="15">
        <f t="shared" si="29"/>
        <v>0</v>
      </c>
      <c r="J323" s="16"/>
      <c r="K323" s="15"/>
      <c r="L323" s="15">
        <f t="shared" si="24"/>
        <v>0</v>
      </c>
      <c r="M323" s="20"/>
      <c r="N323" s="20"/>
      <c r="O323" s="15">
        <f t="shared" si="25"/>
        <v>0</v>
      </c>
      <c r="P323" s="15">
        <f t="shared" si="26"/>
        <v>0</v>
      </c>
      <c r="Q323" s="15">
        <f t="shared" si="27"/>
        <v>0</v>
      </c>
      <c r="R323" s="17">
        <v>1449</v>
      </c>
    </row>
    <row r="324" spans="1:18" ht="16.5" x14ac:dyDescent="0.25">
      <c r="A324" s="12">
        <v>1450</v>
      </c>
      <c r="B324" s="13" t="s">
        <v>296</v>
      </c>
      <c r="C324" s="13" t="s">
        <v>30</v>
      </c>
      <c r="D324" s="14"/>
      <c r="E324" s="15">
        <v>6400</v>
      </c>
      <c r="F324" s="15">
        <v>300</v>
      </c>
      <c r="G324" s="15">
        <v>400</v>
      </c>
      <c r="H324" s="15">
        <f t="shared" si="28"/>
        <v>7100</v>
      </c>
      <c r="I324" s="15">
        <f t="shared" si="29"/>
        <v>0</v>
      </c>
      <c r="J324" s="16"/>
      <c r="K324" s="15"/>
      <c r="L324" s="15">
        <f t="shared" si="24"/>
        <v>0</v>
      </c>
      <c r="M324" s="16"/>
      <c r="N324" s="16"/>
      <c r="O324" s="15">
        <f t="shared" si="25"/>
        <v>0</v>
      </c>
      <c r="P324" s="15">
        <f t="shared" si="26"/>
        <v>0</v>
      </c>
      <c r="Q324" s="15">
        <f t="shared" si="27"/>
        <v>0</v>
      </c>
      <c r="R324" s="17">
        <v>1450</v>
      </c>
    </row>
    <row r="325" spans="1:18" ht="16.5" x14ac:dyDescent="0.25">
      <c r="A325" s="12">
        <v>1451</v>
      </c>
      <c r="B325" s="13" t="s">
        <v>297</v>
      </c>
      <c r="C325" s="13" t="s">
        <v>54</v>
      </c>
      <c r="D325" s="14">
        <v>404</v>
      </c>
      <c r="E325" s="15">
        <v>6400</v>
      </c>
      <c r="F325" s="15">
        <v>500</v>
      </c>
      <c r="G325" s="15">
        <v>400</v>
      </c>
      <c r="H325" s="15">
        <f t="shared" si="28"/>
        <v>7300</v>
      </c>
      <c r="I325" s="15">
        <f t="shared" si="29"/>
        <v>2949200</v>
      </c>
      <c r="J325" s="20"/>
      <c r="K325" s="15">
        <v>1200000</v>
      </c>
      <c r="L325" s="15">
        <f t="shared" ref="L325:L388" si="30">D325*20</f>
        <v>8080</v>
      </c>
      <c r="M325" s="16"/>
      <c r="N325" s="16"/>
      <c r="O325" s="15">
        <f t="shared" ref="O325:O388" si="31">250*D325</f>
        <v>101000</v>
      </c>
      <c r="P325" s="15">
        <f t="shared" ref="P325:P388" si="32">SUM(J325:O325)</f>
        <v>1309080</v>
      </c>
      <c r="Q325" s="15">
        <f t="shared" ref="Q325:Q388" si="33">I325-P325</f>
        <v>1640120</v>
      </c>
      <c r="R325" s="17">
        <v>1451</v>
      </c>
    </row>
    <row r="326" spans="1:18" ht="16.5" x14ac:dyDescent="0.25">
      <c r="A326" s="12">
        <v>1453</v>
      </c>
      <c r="B326" s="13" t="s">
        <v>298</v>
      </c>
      <c r="C326" s="13" t="s">
        <v>54</v>
      </c>
      <c r="D326" s="19"/>
      <c r="E326" s="15">
        <v>6400</v>
      </c>
      <c r="F326" s="15">
        <v>400</v>
      </c>
      <c r="G326" s="15">
        <v>400</v>
      </c>
      <c r="H326" s="15">
        <f t="shared" ref="H326:H389" si="34">SUM(E326:G326)</f>
        <v>7200</v>
      </c>
      <c r="I326" s="15">
        <f t="shared" ref="I326:I389" si="35">H326*D326</f>
        <v>0</v>
      </c>
      <c r="J326" s="16"/>
      <c r="K326" s="15"/>
      <c r="L326" s="15">
        <f t="shared" si="30"/>
        <v>0</v>
      </c>
      <c r="M326" s="20"/>
      <c r="N326" s="20"/>
      <c r="O326" s="15">
        <f t="shared" si="31"/>
        <v>0</v>
      </c>
      <c r="P326" s="15">
        <f t="shared" si="32"/>
        <v>0</v>
      </c>
      <c r="Q326" s="15">
        <f t="shared" si="33"/>
        <v>0</v>
      </c>
      <c r="R326" s="17">
        <v>1453</v>
      </c>
    </row>
    <row r="327" spans="1:18" ht="16.5" x14ac:dyDescent="0.25">
      <c r="A327" s="12">
        <v>1454</v>
      </c>
      <c r="B327" s="13" t="s">
        <v>299</v>
      </c>
      <c r="C327" s="13" t="s">
        <v>47</v>
      </c>
      <c r="D327" s="14"/>
      <c r="E327" s="15">
        <v>6400</v>
      </c>
      <c r="F327" s="15">
        <v>300</v>
      </c>
      <c r="G327" s="15">
        <v>400</v>
      </c>
      <c r="H327" s="15">
        <f t="shared" si="34"/>
        <v>7100</v>
      </c>
      <c r="I327" s="15">
        <f t="shared" si="35"/>
        <v>0</v>
      </c>
      <c r="J327" s="16"/>
      <c r="K327" s="15"/>
      <c r="L327" s="15">
        <f t="shared" si="30"/>
        <v>0</v>
      </c>
      <c r="M327" s="20"/>
      <c r="N327" s="20"/>
      <c r="O327" s="15">
        <f t="shared" si="31"/>
        <v>0</v>
      </c>
      <c r="P327" s="15">
        <f t="shared" si="32"/>
        <v>0</v>
      </c>
      <c r="Q327" s="15">
        <f t="shared" si="33"/>
        <v>0</v>
      </c>
      <c r="R327" s="17">
        <v>1454</v>
      </c>
    </row>
    <row r="328" spans="1:18" ht="16.5" x14ac:dyDescent="0.25">
      <c r="A328" s="12">
        <v>1455</v>
      </c>
      <c r="B328" s="13" t="s">
        <v>419</v>
      </c>
      <c r="C328" s="13" t="s">
        <v>30</v>
      </c>
      <c r="D328" s="14"/>
      <c r="E328" s="15">
        <v>6400</v>
      </c>
      <c r="F328" s="15">
        <v>300</v>
      </c>
      <c r="G328" s="15">
        <v>400</v>
      </c>
      <c r="H328" s="15">
        <f t="shared" si="34"/>
        <v>7100</v>
      </c>
      <c r="I328" s="15">
        <f t="shared" si="35"/>
        <v>0</v>
      </c>
      <c r="J328" s="16"/>
      <c r="K328" s="15">
        <v>400000</v>
      </c>
      <c r="L328" s="15">
        <f t="shared" si="30"/>
        <v>0</v>
      </c>
      <c r="M328" s="20"/>
      <c r="N328" s="20"/>
      <c r="O328" s="15">
        <f t="shared" si="31"/>
        <v>0</v>
      </c>
      <c r="P328" s="15">
        <f t="shared" si="32"/>
        <v>400000</v>
      </c>
      <c r="Q328" s="15">
        <f t="shared" si="33"/>
        <v>-400000</v>
      </c>
      <c r="R328" s="17">
        <v>1455</v>
      </c>
    </row>
    <row r="329" spans="1:18" ht="16.5" x14ac:dyDescent="0.25">
      <c r="A329" s="12">
        <v>1456</v>
      </c>
      <c r="B329" s="13" t="s">
        <v>62</v>
      </c>
      <c r="C329" s="13" t="s">
        <v>138</v>
      </c>
      <c r="D329" s="14"/>
      <c r="E329" s="15">
        <v>6400</v>
      </c>
      <c r="F329" s="15">
        <v>300</v>
      </c>
      <c r="G329" s="15">
        <v>400</v>
      </c>
      <c r="H329" s="15">
        <f t="shared" si="34"/>
        <v>7100</v>
      </c>
      <c r="I329" s="15">
        <f t="shared" si="35"/>
        <v>0</v>
      </c>
      <c r="J329" s="20"/>
      <c r="K329" s="15"/>
      <c r="L329" s="15">
        <f t="shared" si="30"/>
        <v>0</v>
      </c>
      <c r="M329" s="20"/>
      <c r="N329" s="20"/>
      <c r="O329" s="15">
        <f t="shared" si="31"/>
        <v>0</v>
      </c>
      <c r="P329" s="15">
        <f t="shared" si="32"/>
        <v>0</v>
      </c>
      <c r="Q329" s="15">
        <f t="shared" si="33"/>
        <v>0</v>
      </c>
      <c r="R329" s="17">
        <v>1456</v>
      </c>
    </row>
    <row r="330" spans="1:18" ht="16.5" x14ac:dyDescent="0.25">
      <c r="A330" s="12">
        <v>1457</v>
      </c>
      <c r="B330" s="13" t="s">
        <v>300</v>
      </c>
      <c r="C330" s="13" t="s">
        <v>30</v>
      </c>
      <c r="D330" s="14"/>
      <c r="E330" s="15">
        <v>6400</v>
      </c>
      <c r="F330" s="15">
        <v>300</v>
      </c>
      <c r="G330" s="15">
        <v>400</v>
      </c>
      <c r="H330" s="15">
        <f t="shared" si="34"/>
        <v>7100</v>
      </c>
      <c r="I330" s="15">
        <f t="shared" si="35"/>
        <v>0</v>
      </c>
      <c r="J330" s="16"/>
      <c r="K330" s="15"/>
      <c r="L330" s="15">
        <f t="shared" si="30"/>
        <v>0</v>
      </c>
      <c r="M330" s="16"/>
      <c r="N330" s="16"/>
      <c r="O330" s="15">
        <f t="shared" si="31"/>
        <v>0</v>
      </c>
      <c r="P330" s="15">
        <f t="shared" si="32"/>
        <v>0</v>
      </c>
      <c r="Q330" s="15">
        <f t="shared" si="33"/>
        <v>0</v>
      </c>
      <c r="R330" s="17">
        <v>1457</v>
      </c>
    </row>
    <row r="331" spans="1:18" ht="16.5" x14ac:dyDescent="0.25">
      <c r="A331" s="12">
        <v>1458</v>
      </c>
      <c r="B331" s="13" t="s">
        <v>179</v>
      </c>
      <c r="C331" s="13" t="s">
        <v>43</v>
      </c>
      <c r="D331" s="20"/>
      <c r="E331" s="15">
        <v>6400</v>
      </c>
      <c r="F331" s="15">
        <v>400</v>
      </c>
      <c r="G331" s="15">
        <v>400</v>
      </c>
      <c r="H331" s="15">
        <f t="shared" si="34"/>
        <v>7200</v>
      </c>
      <c r="I331" s="15">
        <f t="shared" si="35"/>
        <v>0</v>
      </c>
      <c r="J331" s="20"/>
      <c r="K331" s="15">
        <v>100000</v>
      </c>
      <c r="L331" s="15">
        <f t="shared" si="30"/>
        <v>0</v>
      </c>
      <c r="M331" s="16"/>
      <c r="N331" s="16"/>
      <c r="O331" s="15">
        <f t="shared" si="31"/>
        <v>0</v>
      </c>
      <c r="P331" s="15">
        <f t="shared" si="32"/>
        <v>100000</v>
      </c>
      <c r="Q331" s="15">
        <f t="shared" si="33"/>
        <v>-100000</v>
      </c>
      <c r="R331" s="17">
        <v>1458</v>
      </c>
    </row>
    <row r="332" spans="1:18" ht="16.5" x14ac:dyDescent="0.25">
      <c r="A332" s="12">
        <v>1459</v>
      </c>
      <c r="B332" s="13" t="s">
        <v>301</v>
      </c>
      <c r="C332" s="13" t="s">
        <v>43</v>
      </c>
      <c r="D332" s="20"/>
      <c r="E332" s="15">
        <v>6400</v>
      </c>
      <c r="F332" s="15">
        <v>300</v>
      </c>
      <c r="G332" s="15">
        <v>400</v>
      </c>
      <c r="H332" s="15">
        <f t="shared" si="34"/>
        <v>7100</v>
      </c>
      <c r="I332" s="15">
        <f t="shared" si="35"/>
        <v>0</v>
      </c>
      <c r="J332" s="20"/>
      <c r="K332" s="15"/>
      <c r="L332" s="15">
        <f t="shared" si="30"/>
        <v>0</v>
      </c>
      <c r="M332" s="16"/>
      <c r="N332" s="16"/>
      <c r="O332" s="15">
        <f t="shared" si="31"/>
        <v>0</v>
      </c>
      <c r="P332" s="15">
        <f t="shared" si="32"/>
        <v>0</v>
      </c>
      <c r="Q332" s="15">
        <f t="shared" si="33"/>
        <v>0</v>
      </c>
      <c r="R332" s="17">
        <v>1459</v>
      </c>
    </row>
    <row r="333" spans="1:18" ht="16.5" x14ac:dyDescent="0.25">
      <c r="A333" s="12">
        <v>1465</v>
      </c>
      <c r="B333" s="13" t="s">
        <v>302</v>
      </c>
      <c r="C333" s="13" t="s">
        <v>43</v>
      </c>
      <c r="D333" s="20"/>
      <c r="E333" s="15">
        <v>6400</v>
      </c>
      <c r="F333" s="15">
        <v>300</v>
      </c>
      <c r="G333" s="15">
        <v>400</v>
      </c>
      <c r="H333" s="15">
        <f t="shared" si="34"/>
        <v>7100</v>
      </c>
      <c r="I333" s="15">
        <f t="shared" si="35"/>
        <v>0</v>
      </c>
      <c r="J333" s="16"/>
      <c r="K333" s="15"/>
      <c r="L333" s="15">
        <f t="shared" si="30"/>
        <v>0</v>
      </c>
      <c r="M333" s="16"/>
      <c r="N333" s="16"/>
      <c r="O333" s="15">
        <f t="shared" si="31"/>
        <v>0</v>
      </c>
      <c r="P333" s="15">
        <f t="shared" si="32"/>
        <v>0</v>
      </c>
      <c r="Q333" s="15">
        <f t="shared" si="33"/>
        <v>0</v>
      </c>
      <c r="R333" s="17">
        <v>1465</v>
      </c>
    </row>
    <row r="334" spans="1:18" ht="16.5" x14ac:dyDescent="0.25">
      <c r="A334" s="12">
        <v>1467</v>
      </c>
      <c r="B334" s="13" t="s">
        <v>303</v>
      </c>
      <c r="C334" s="13" t="s">
        <v>82</v>
      </c>
      <c r="D334" s="14"/>
      <c r="E334" s="15">
        <v>6400</v>
      </c>
      <c r="F334" s="15">
        <v>300</v>
      </c>
      <c r="G334" s="15">
        <v>400</v>
      </c>
      <c r="H334" s="15">
        <f t="shared" si="34"/>
        <v>7100</v>
      </c>
      <c r="I334" s="15">
        <f t="shared" si="35"/>
        <v>0</v>
      </c>
      <c r="J334" s="16"/>
      <c r="K334" s="15"/>
      <c r="L334" s="15">
        <f t="shared" si="30"/>
        <v>0</v>
      </c>
      <c r="M334" s="20"/>
      <c r="N334" s="20"/>
      <c r="O334" s="15">
        <f t="shared" si="31"/>
        <v>0</v>
      </c>
      <c r="P334" s="15">
        <f t="shared" si="32"/>
        <v>0</v>
      </c>
      <c r="Q334" s="15">
        <f t="shared" si="33"/>
        <v>0</v>
      </c>
      <c r="R334" s="17">
        <v>1467</v>
      </c>
    </row>
    <row r="335" spans="1:18" ht="16.5" x14ac:dyDescent="0.25">
      <c r="A335" s="12">
        <v>1470</v>
      </c>
      <c r="B335" s="13" t="s">
        <v>304</v>
      </c>
      <c r="C335" s="13" t="s">
        <v>47</v>
      </c>
      <c r="D335" s="14"/>
      <c r="E335" s="15">
        <v>6400</v>
      </c>
      <c r="F335" s="15">
        <v>300</v>
      </c>
      <c r="G335" s="15">
        <v>400</v>
      </c>
      <c r="H335" s="15">
        <f t="shared" si="34"/>
        <v>7100</v>
      </c>
      <c r="I335" s="15">
        <f t="shared" si="35"/>
        <v>0</v>
      </c>
      <c r="J335" s="16"/>
      <c r="K335" s="15"/>
      <c r="L335" s="15">
        <f t="shared" si="30"/>
        <v>0</v>
      </c>
      <c r="M335" s="16"/>
      <c r="N335" s="16"/>
      <c r="O335" s="15">
        <f t="shared" si="31"/>
        <v>0</v>
      </c>
      <c r="P335" s="15">
        <f t="shared" si="32"/>
        <v>0</v>
      </c>
      <c r="Q335" s="15">
        <f t="shared" si="33"/>
        <v>0</v>
      </c>
      <c r="R335" s="17">
        <v>1470</v>
      </c>
    </row>
    <row r="336" spans="1:18" ht="16.5" x14ac:dyDescent="0.25">
      <c r="A336" s="12">
        <v>1471</v>
      </c>
      <c r="B336" s="13" t="s">
        <v>305</v>
      </c>
      <c r="C336" s="13" t="s">
        <v>21</v>
      </c>
      <c r="D336" s="14"/>
      <c r="E336" s="15">
        <v>6400</v>
      </c>
      <c r="F336" s="15">
        <v>300</v>
      </c>
      <c r="G336" s="15">
        <v>400</v>
      </c>
      <c r="H336" s="15">
        <f t="shared" si="34"/>
        <v>7100</v>
      </c>
      <c r="I336" s="15">
        <f t="shared" si="35"/>
        <v>0</v>
      </c>
      <c r="J336" s="20"/>
      <c r="K336" s="15"/>
      <c r="L336" s="15">
        <f t="shared" si="30"/>
        <v>0</v>
      </c>
      <c r="M336" s="16"/>
      <c r="N336" s="16"/>
      <c r="O336" s="15">
        <f t="shared" si="31"/>
        <v>0</v>
      </c>
      <c r="P336" s="15">
        <f t="shared" si="32"/>
        <v>0</v>
      </c>
      <c r="Q336" s="15">
        <f t="shared" si="33"/>
        <v>0</v>
      </c>
      <c r="R336" s="17">
        <v>1471</v>
      </c>
    </row>
    <row r="337" spans="1:18" ht="16.5" x14ac:dyDescent="0.25">
      <c r="A337" s="12">
        <v>1472</v>
      </c>
      <c r="B337" s="13" t="s">
        <v>306</v>
      </c>
      <c r="C337" s="13" t="s">
        <v>43</v>
      </c>
      <c r="D337" s="20"/>
      <c r="E337" s="15">
        <v>6400</v>
      </c>
      <c r="F337" s="15">
        <v>300</v>
      </c>
      <c r="G337" s="15">
        <v>400</v>
      </c>
      <c r="H337" s="15">
        <f t="shared" si="34"/>
        <v>7100</v>
      </c>
      <c r="I337" s="15">
        <f t="shared" si="35"/>
        <v>0</v>
      </c>
      <c r="J337" s="16"/>
      <c r="K337" s="15"/>
      <c r="L337" s="15">
        <f t="shared" si="30"/>
        <v>0</v>
      </c>
      <c r="M337" s="16"/>
      <c r="N337" s="16"/>
      <c r="O337" s="15">
        <f t="shared" si="31"/>
        <v>0</v>
      </c>
      <c r="P337" s="15">
        <f t="shared" si="32"/>
        <v>0</v>
      </c>
      <c r="Q337" s="15">
        <f t="shared" si="33"/>
        <v>0</v>
      </c>
      <c r="R337" s="17">
        <v>1472</v>
      </c>
    </row>
    <row r="338" spans="1:18" ht="16.5" x14ac:dyDescent="0.25">
      <c r="A338" s="12">
        <v>1473</v>
      </c>
      <c r="B338" s="13" t="s">
        <v>307</v>
      </c>
      <c r="C338" s="13" t="s">
        <v>25</v>
      </c>
      <c r="D338" s="16"/>
      <c r="E338" s="15">
        <v>6400</v>
      </c>
      <c r="F338" s="15">
        <v>300</v>
      </c>
      <c r="G338" s="15">
        <v>400</v>
      </c>
      <c r="H338" s="15">
        <f t="shared" si="34"/>
        <v>7100</v>
      </c>
      <c r="I338" s="15">
        <f t="shared" si="35"/>
        <v>0</v>
      </c>
      <c r="J338" s="16"/>
      <c r="K338" s="15"/>
      <c r="L338" s="15">
        <f t="shared" si="30"/>
        <v>0</v>
      </c>
      <c r="M338" s="16"/>
      <c r="N338" s="16"/>
      <c r="O338" s="15">
        <f t="shared" si="31"/>
        <v>0</v>
      </c>
      <c r="P338" s="15">
        <f t="shared" si="32"/>
        <v>0</v>
      </c>
      <c r="Q338" s="15">
        <f t="shared" si="33"/>
        <v>0</v>
      </c>
      <c r="R338" s="17">
        <v>1473</v>
      </c>
    </row>
    <row r="339" spans="1:18" ht="16.5" x14ac:dyDescent="0.25">
      <c r="A339" s="12">
        <v>1474</v>
      </c>
      <c r="B339" s="13" t="s">
        <v>131</v>
      </c>
      <c r="C339" s="13" t="s">
        <v>25</v>
      </c>
      <c r="D339" s="16">
        <v>158</v>
      </c>
      <c r="E339" s="15">
        <v>6400</v>
      </c>
      <c r="F339" s="15">
        <v>500</v>
      </c>
      <c r="G339" s="15">
        <v>400</v>
      </c>
      <c r="H339" s="15">
        <f t="shared" si="34"/>
        <v>7300</v>
      </c>
      <c r="I339" s="15">
        <f t="shared" si="35"/>
        <v>1153400</v>
      </c>
      <c r="J339" s="16">
        <v>200000</v>
      </c>
      <c r="K339" s="15">
        <v>400000</v>
      </c>
      <c r="L339" s="15">
        <f t="shared" si="30"/>
        <v>3160</v>
      </c>
      <c r="M339" s="20"/>
      <c r="N339" s="20"/>
      <c r="O339" s="15">
        <f t="shared" si="31"/>
        <v>39500</v>
      </c>
      <c r="P339" s="15">
        <f t="shared" si="32"/>
        <v>642660</v>
      </c>
      <c r="Q339" s="15">
        <f t="shared" si="33"/>
        <v>510740</v>
      </c>
      <c r="R339" s="17">
        <v>1474</v>
      </c>
    </row>
    <row r="340" spans="1:18" ht="16.5" x14ac:dyDescent="0.25">
      <c r="A340" s="12">
        <v>1476</v>
      </c>
      <c r="B340" s="13" t="s">
        <v>308</v>
      </c>
      <c r="C340" s="13" t="s">
        <v>25</v>
      </c>
      <c r="D340" s="16"/>
      <c r="E340" s="15">
        <v>6400</v>
      </c>
      <c r="F340" s="15">
        <v>300</v>
      </c>
      <c r="G340" s="15">
        <v>400</v>
      </c>
      <c r="H340" s="15">
        <f t="shared" si="34"/>
        <v>7100</v>
      </c>
      <c r="I340" s="15">
        <f t="shared" si="35"/>
        <v>0</v>
      </c>
      <c r="J340" s="16"/>
      <c r="K340" s="15"/>
      <c r="L340" s="15">
        <f t="shared" si="30"/>
        <v>0</v>
      </c>
      <c r="M340" s="16"/>
      <c r="N340" s="16"/>
      <c r="O340" s="15">
        <f t="shared" si="31"/>
        <v>0</v>
      </c>
      <c r="P340" s="15">
        <f t="shared" si="32"/>
        <v>0</v>
      </c>
      <c r="Q340" s="15">
        <f t="shared" si="33"/>
        <v>0</v>
      </c>
      <c r="R340" s="17">
        <v>1476</v>
      </c>
    </row>
    <row r="341" spans="1:18" ht="16.5" x14ac:dyDescent="0.25">
      <c r="A341" s="12">
        <v>1477</v>
      </c>
      <c r="B341" s="13" t="s">
        <v>112</v>
      </c>
      <c r="C341" s="13" t="s">
        <v>43</v>
      </c>
      <c r="D341" s="16"/>
      <c r="E341" s="15">
        <v>6400</v>
      </c>
      <c r="F341" s="15">
        <v>300</v>
      </c>
      <c r="G341" s="15">
        <v>400</v>
      </c>
      <c r="H341" s="15">
        <f t="shared" si="34"/>
        <v>7100</v>
      </c>
      <c r="I341" s="15">
        <f t="shared" si="35"/>
        <v>0</v>
      </c>
      <c r="J341" s="20"/>
      <c r="K341" s="15"/>
      <c r="L341" s="15">
        <f t="shared" si="30"/>
        <v>0</v>
      </c>
      <c r="M341" s="16"/>
      <c r="N341" s="16"/>
      <c r="O341" s="15">
        <f t="shared" si="31"/>
        <v>0</v>
      </c>
      <c r="P341" s="15">
        <f t="shared" si="32"/>
        <v>0</v>
      </c>
      <c r="Q341" s="15">
        <f t="shared" si="33"/>
        <v>0</v>
      </c>
      <c r="R341" s="17">
        <v>1477</v>
      </c>
    </row>
    <row r="342" spans="1:18" ht="16.5" x14ac:dyDescent="0.25">
      <c r="A342" s="12">
        <v>1480</v>
      </c>
      <c r="B342" s="13" t="s">
        <v>309</v>
      </c>
      <c r="C342" s="13" t="s">
        <v>43</v>
      </c>
      <c r="D342" s="20"/>
      <c r="E342" s="15">
        <v>6400</v>
      </c>
      <c r="F342" s="15">
        <v>300</v>
      </c>
      <c r="G342" s="15">
        <v>400</v>
      </c>
      <c r="H342" s="15">
        <f t="shared" si="34"/>
        <v>7100</v>
      </c>
      <c r="I342" s="15">
        <f t="shared" si="35"/>
        <v>0</v>
      </c>
      <c r="J342" s="16"/>
      <c r="K342" s="15"/>
      <c r="L342" s="15">
        <f t="shared" si="30"/>
        <v>0</v>
      </c>
      <c r="M342" s="20"/>
      <c r="N342" s="20"/>
      <c r="O342" s="15">
        <f t="shared" si="31"/>
        <v>0</v>
      </c>
      <c r="P342" s="15">
        <f t="shared" si="32"/>
        <v>0</v>
      </c>
      <c r="Q342" s="15">
        <f t="shared" si="33"/>
        <v>0</v>
      </c>
      <c r="R342" s="17">
        <v>1480</v>
      </c>
    </row>
    <row r="343" spans="1:18" ht="16.5" x14ac:dyDescent="0.25">
      <c r="A343" s="12">
        <v>1482</v>
      </c>
      <c r="B343" s="13" t="s">
        <v>310</v>
      </c>
      <c r="C343" s="13" t="s">
        <v>82</v>
      </c>
      <c r="D343" s="14"/>
      <c r="E343" s="15">
        <v>6400</v>
      </c>
      <c r="F343" s="15">
        <v>300</v>
      </c>
      <c r="G343" s="15">
        <v>400</v>
      </c>
      <c r="H343" s="15">
        <f t="shared" si="34"/>
        <v>7100</v>
      </c>
      <c r="I343" s="15">
        <f t="shared" si="35"/>
        <v>0</v>
      </c>
      <c r="J343" s="16"/>
      <c r="K343" s="15"/>
      <c r="L343" s="15">
        <f t="shared" si="30"/>
        <v>0</v>
      </c>
      <c r="M343" s="16"/>
      <c r="N343" s="16"/>
      <c r="O343" s="15">
        <f t="shared" si="31"/>
        <v>0</v>
      </c>
      <c r="P343" s="15">
        <f t="shared" si="32"/>
        <v>0</v>
      </c>
      <c r="Q343" s="15">
        <f t="shared" si="33"/>
        <v>0</v>
      </c>
      <c r="R343" s="17">
        <v>1482</v>
      </c>
    </row>
    <row r="344" spans="1:18" ht="16.5" x14ac:dyDescent="0.25">
      <c r="A344" s="12">
        <v>1484</v>
      </c>
      <c r="B344" s="13" t="s">
        <v>311</v>
      </c>
      <c r="C344" s="13" t="s">
        <v>82</v>
      </c>
      <c r="D344" s="14">
        <v>97</v>
      </c>
      <c r="E344" s="15">
        <v>6400</v>
      </c>
      <c r="F344" s="15">
        <v>600</v>
      </c>
      <c r="G344" s="15">
        <v>400</v>
      </c>
      <c r="H344" s="15">
        <f t="shared" si="34"/>
        <v>7400</v>
      </c>
      <c r="I344" s="15">
        <f t="shared" si="35"/>
        <v>717800</v>
      </c>
      <c r="J344" s="20"/>
      <c r="K344" s="15">
        <v>450000</v>
      </c>
      <c r="L344" s="15">
        <f t="shared" si="30"/>
        <v>1940</v>
      </c>
      <c r="M344" s="16"/>
      <c r="N344" s="16"/>
      <c r="O344" s="15">
        <f t="shared" si="31"/>
        <v>24250</v>
      </c>
      <c r="P344" s="15">
        <f t="shared" si="32"/>
        <v>476190</v>
      </c>
      <c r="Q344" s="15">
        <f t="shared" si="33"/>
        <v>241610</v>
      </c>
      <c r="R344" s="17">
        <v>1484</v>
      </c>
    </row>
    <row r="345" spans="1:18" ht="16.5" x14ac:dyDescent="0.25">
      <c r="A345" s="12">
        <v>1485</v>
      </c>
      <c r="B345" s="13" t="s">
        <v>312</v>
      </c>
      <c r="C345" s="13" t="s">
        <v>43</v>
      </c>
      <c r="D345" s="20"/>
      <c r="E345" s="15">
        <v>6400</v>
      </c>
      <c r="F345" s="15">
        <v>300</v>
      </c>
      <c r="G345" s="15">
        <v>400</v>
      </c>
      <c r="H345" s="15">
        <f t="shared" si="34"/>
        <v>7100</v>
      </c>
      <c r="I345" s="15">
        <f t="shared" si="35"/>
        <v>0</v>
      </c>
      <c r="J345" s="16"/>
      <c r="K345" s="15"/>
      <c r="L345" s="15">
        <f t="shared" si="30"/>
        <v>0</v>
      </c>
      <c r="M345" s="16"/>
      <c r="N345" s="16"/>
      <c r="O345" s="15">
        <f t="shared" si="31"/>
        <v>0</v>
      </c>
      <c r="P345" s="15">
        <f t="shared" si="32"/>
        <v>0</v>
      </c>
      <c r="Q345" s="15">
        <f t="shared" si="33"/>
        <v>0</v>
      </c>
      <c r="R345" s="17">
        <v>1485</v>
      </c>
    </row>
    <row r="346" spans="1:18" ht="16.5" x14ac:dyDescent="0.25">
      <c r="A346" s="12">
        <v>1486</v>
      </c>
      <c r="B346" s="13" t="s">
        <v>230</v>
      </c>
      <c r="C346" s="13" t="s">
        <v>36</v>
      </c>
      <c r="D346" s="14"/>
      <c r="E346" s="15">
        <v>6400</v>
      </c>
      <c r="F346" s="15">
        <v>300</v>
      </c>
      <c r="G346" s="15">
        <v>400</v>
      </c>
      <c r="H346" s="15">
        <f t="shared" si="34"/>
        <v>7100</v>
      </c>
      <c r="I346" s="15">
        <f t="shared" si="35"/>
        <v>0</v>
      </c>
      <c r="J346" s="16"/>
      <c r="K346" s="15"/>
      <c r="L346" s="15">
        <f t="shared" si="30"/>
        <v>0</v>
      </c>
      <c r="M346" s="16"/>
      <c r="N346" s="16"/>
      <c r="O346" s="15">
        <f t="shared" si="31"/>
        <v>0</v>
      </c>
      <c r="P346" s="15">
        <f t="shared" si="32"/>
        <v>0</v>
      </c>
      <c r="Q346" s="15">
        <f t="shared" si="33"/>
        <v>0</v>
      </c>
      <c r="R346" s="17">
        <v>1486</v>
      </c>
    </row>
    <row r="347" spans="1:18" ht="16.5" x14ac:dyDescent="0.25">
      <c r="A347" s="12">
        <v>1487</v>
      </c>
      <c r="B347" s="13" t="s">
        <v>313</v>
      </c>
      <c r="C347" s="13" t="s">
        <v>82</v>
      </c>
      <c r="D347" s="14"/>
      <c r="E347" s="15">
        <v>6400</v>
      </c>
      <c r="F347" s="15">
        <v>300</v>
      </c>
      <c r="G347" s="15">
        <v>400</v>
      </c>
      <c r="H347" s="15">
        <f t="shared" si="34"/>
        <v>7100</v>
      </c>
      <c r="I347" s="15">
        <f t="shared" si="35"/>
        <v>0</v>
      </c>
      <c r="J347" s="16"/>
      <c r="K347" s="15"/>
      <c r="L347" s="15">
        <f t="shared" si="30"/>
        <v>0</v>
      </c>
      <c r="M347" s="16"/>
      <c r="N347" s="16"/>
      <c r="O347" s="15">
        <f t="shared" si="31"/>
        <v>0</v>
      </c>
      <c r="P347" s="15">
        <f t="shared" si="32"/>
        <v>0</v>
      </c>
      <c r="Q347" s="15">
        <f t="shared" si="33"/>
        <v>0</v>
      </c>
      <c r="R347" s="17">
        <v>1487</v>
      </c>
    </row>
    <row r="348" spans="1:18" ht="16.5" x14ac:dyDescent="0.25">
      <c r="A348" s="12">
        <v>1488</v>
      </c>
      <c r="B348" s="13" t="s">
        <v>185</v>
      </c>
      <c r="C348" s="13" t="s">
        <v>25</v>
      </c>
      <c r="D348" s="16"/>
      <c r="E348" s="15">
        <v>6400</v>
      </c>
      <c r="F348" s="15">
        <v>300</v>
      </c>
      <c r="G348" s="15">
        <v>400</v>
      </c>
      <c r="H348" s="15">
        <f t="shared" si="34"/>
        <v>7100</v>
      </c>
      <c r="I348" s="15">
        <f t="shared" si="35"/>
        <v>0</v>
      </c>
      <c r="J348" s="16"/>
      <c r="K348" s="15"/>
      <c r="L348" s="15">
        <f t="shared" si="30"/>
        <v>0</v>
      </c>
      <c r="M348" s="16"/>
      <c r="N348" s="16"/>
      <c r="O348" s="15">
        <f t="shared" si="31"/>
        <v>0</v>
      </c>
      <c r="P348" s="15">
        <f t="shared" si="32"/>
        <v>0</v>
      </c>
      <c r="Q348" s="15">
        <f t="shared" si="33"/>
        <v>0</v>
      </c>
      <c r="R348" s="17">
        <v>1488</v>
      </c>
    </row>
    <row r="349" spans="1:18" ht="16.5" x14ac:dyDescent="0.25">
      <c r="A349" s="12">
        <v>1489</v>
      </c>
      <c r="B349" s="13" t="s">
        <v>204</v>
      </c>
      <c r="C349" s="13" t="s">
        <v>43</v>
      </c>
      <c r="D349" s="16"/>
      <c r="E349" s="15">
        <v>6400</v>
      </c>
      <c r="F349" s="15">
        <v>300</v>
      </c>
      <c r="G349" s="15">
        <v>400</v>
      </c>
      <c r="H349" s="15">
        <f t="shared" si="34"/>
        <v>7100</v>
      </c>
      <c r="I349" s="15">
        <f t="shared" si="35"/>
        <v>0</v>
      </c>
      <c r="J349" s="16"/>
      <c r="K349" s="15"/>
      <c r="L349" s="15">
        <f t="shared" si="30"/>
        <v>0</v>
      </c>
      <c r="M349" s="20"/>
      <c r="N349" s="20"/>
      <c r="O349" s="15">
        <f t="shared" si="31"/>
        <v>0</v>
      </c>
      <c r="P349" s="15">
        <f t="shared" si="32"/>
        <v>0</v>
      </c>
      <c r="Q349" s="15">
        <f t="shared" si="33"/>
        <v>0</v>
      </c>
      <c r="R349" s="17">
        <v>1489</v>
      </c>
    </row>
    <row r="350" spans="1:18" ht="16.5" x14ac:dyDescent="0.25">
      <c r="A350" s="12">
        <v>1490</v>
      </c>
      <c r="B350" s="13" t="s">
        <v>314</v>
      </c>
      <c r="C350" s="13" t="s">
        <v>43</v>
      </c>
      <c r="D350" s="16">
        <v>104</v>
      </c>
      <c r="E350" s="15">
        <v>6400</v>
      </c>
      <c r="F350" s="15">
        <v>500</v>
      </c>
      <c r="G350" s="15">
        <v>400</v>
      </c>
      <c r="H350" s="15">
        <f t="shared" si="34"/>
        <v>7300</v>
      </c>
      <c r="I350" s="15">
        <f t="shared" si="35"/>
        <v>759200</v>
      </c>
      <c r="J350" s="16"/>
      <c r="K350" s="15">
        <v>300000</v>
      </c>
      <c r="L350" s="15">
        <f t="shared" si="30"/>
        <v>2080</v>
      </c>
      <c r="M350" s="16"/>
      <c r="N350" s="16"/>
      <c r="O350" s="15">
        <f t="shared" si="31"/>
        <v>26000</v>
      </c>
      <c r="P350" s="15">
        <f t="shared" si="32"/>
        <v>328080</v>
      </c>
      <c r="Q350" s="15">
        <f t="shared" si="33"/>
        <v>431120</v>
      </c>
      <c r="R350" s="17">
        <v>1490</v>
      </c>
    </row>
    <row r="351" spans="1:18" ht="16.5" x14ac:dyDescent="0.25">
      <c r="A351" s="12">
        <v>1491</v>
      </c>
      <c r="B351" s="13" t="s">
        <v>315</v>
      </c>
      <c r="C351" s="13" t="s">
        <v>25</v>
      </c>
      <c r="D351" s="16"/>
      <c r="E351" s="15">
        <v>6400</v>
      </c>
      <c r="F351" s="15">
        <v>300</v>
      </c>
      <c r="G351" s="15">
        <v>400</v>
      </c>
      <c r="H351" s="15">
        <f t="shared" si="34"/>
        <v>7100</v>
      </c>
      <c r="I351" s="15">
        <f t="shared" si="35"/>
        <v>0</v>
      </c>
      <c r="J351" s="20"/>
      <c r="K351" s="15"/>
      <c r="L351" s="15">
        <f t="shared" si="30"/>
        <v>0</v>
      </c>
      <c r="M351" s="20"/>
      <c r="N351" s="20"/>
      <c r="O351" s="15">
        <f t="shared" si="31"/>
        <v>0</v>
      </c>
      <c r="P351" s="15">
        <f t="shared" si="32"/>
        <v>0</v>
      </c>
      <c r="Q351" s="15">
        <f t="shared" si="33"/>
        <v>0</v>
      </c>
      <c r="R351" s="17">
        <v>1491</v>
      </c>
    </row>
    <row r="352" spans="1:18" ht="16.5" x14ac:dyDescent="0.25">
      <c r="A352" s="12">
        <v>1493</v>
      </c>
      <c r="B352" s="13" t="s">
        <v>316</v>
      </c>
      <c r="C352" s="13" t="s">
        <v>21</v>
      </c>
      <c r="D352" s="19"/>
      <c r="E352" s="15">
        <v>6400</v>
      </c>
      <c r="F352" s="15">
        <v>300</v>
      </c>
      <c r="G352" s="15">
        <v>400</v>
      </c>
      <c r="H352" s="15">
        <f t="shared" si="34"/>
        <v>7100</v>
      </c>
      <c r="I352" s="15">
        <f t="shared" si="35"/>
        <v>0</v>
      </c>
      <c r="J352" s="16"/>
      <c r="K352" s="15"/>
      <c r="L352" s="15">
        <f t="shared" si="30"/>
        <v>0</v>
      </c>
      <c r="M352" s="20"/>
      <c r="N352" s="20"/>
      <c r="O352" s="15">
        <f t="shared" si="31"/>
        <v>0</v>
      </c>
      <c r="P352" s="15">
        <f t="shared" si="32"/>
        <v>0</v>
      </c>
      <c r="Q352" s="15">
        <f t="shared" si="33"/>
        <v>0</v>
      </c>
      <c r="R352" s="17">
        <v>1493</v>
      </c>
    </row>
    <row r="353" spans="1:18" ht="16.5" x14ac:dyDescent="0.25">
      <c r="A353" s="12">
        <v>1495</v>
      </c>
      <c r="B353" s="13" t="s">
        <v>317</v>
      </c>
      <c r="C353" s="13" t="s">
        <v>30</v>
      </c>
      <c r="D353" s="14">
        <v>248</v>
      </c>
      <c r="E353" s="15">
        <v>6400</v>
      </c>
      <c r="F353" s="15">
        <v>600</v>
      </c>
      <c r="G353" s="15">
        <v>400</v>
      </c>
      <c r="H353" s="15">
        <f t="shared" si="34"/>
        <v>7400</v>
      </c>
      <c r="I353" s="15">
        <f t="shared" si="35"/>
        <v>1835200</v>
      </c>
      <c r="J353" s="20"/>
      <c r="K353" s="15">
        <v>400000</v>
      </c>
      <c r="L353" s="15">
        <f t="shared" si="30"/>
        <v>4960</v>
      </c>
      <c r="M353" s="20"/>
      <c r="N353" s="20"/>
      <c r="O353" s="15">
        <f t="shared" si="31"/>
        <v>62000</v>
      </c>
      <c r="P353" s="15">
        <f t="shared" si="32"/>
        <v>466960</v>
      </c>
      <c r="Q353" s="15">
        <f t="shared" si="33"/>
        <v>1368240</v>
      </c>
      <c r="R353" s="17">
        <v>1495</v>
      </c>
    </row>
    <row r="354" spans="1:18" ht="16.5" x14ac:dyDescent="0.25">
      <c r="A354" s="12">
        <v>1496</v>
      </c>
      <c r="B354" s="13" t="s">
        <v>318</v>
      </c>
      <c r="C354" s="13" t="s">
        <v>25</v>
      </c>
      <c r="D354" s="20"/>
      <c r="E354" s="15">
        <v>6400</v>
      </c>
      <c r="F354" s="15">
        <v>300</v>
      </c>
      <c r="G354" s="15">
        <v>400</v>
      </c>
      <c r="H354" s="15">
        <f t="shared" si="34"/>
        <v>7100</v>
      </c>
      <c r="I354" s="15">
        <f t="shared" si="35"/>
        <v>0</v>
      </c>
      <c r="J354" s="20"/>
      <c r="K354" s="15"/>
      <c r="L354" s="15">
        <f t="shared" si="30"/>
        <v>0</v>
      </c>
      <c r="M354" s="20"/>
      <c r="N354" s="20"/>
      <c r="O354" s="15">
        <f t="shared" si="31"/>
        <v>0</v>
      </c>
      <c r="P354" s="15">
        <f t="shared" si="32"/>
        <v>0</v>
      </c>
      <c r="Q354" s="15">
        <f t="shared" si="33"/>
        <v>0</v>
      </c>
      <c r="R354" s="17">
        <v>1496</v>
      </c>
    </row>
    <row r="355" spans="1:18" ht="16.5" x14ac:dyDescent="0.25">
      <c r="A355" s="12">
        <v>1497</v>
      </c>
      <c r="B355" s="13" t="s">
        <v>319</v>
      </c>
      <c r="C355" s="13" t="s">
        <v>25</v>
      </c>
      <c r="D355" s="20"/>
      <c r="E355" s="15">
        <v>6400</v>
      </c>
      <c r="F355" s="15">
        <v>300</v>
      </c>
      <c r="G355" s="15">
        <v>400</v>
      </c>
      <c r="H355" s="15">
        <f t="shared" si="34"/>
        <v>7100</v>
      </c>
      <c r="I355" s="15">
        <f t="shared" si="35"/>
        <v>0</v>
      </c>
      <c r="J355" s="20"/>
      <c r="K355" s="15"/>
      <c r="L355" s="15">
        <f t="shared" si="30"/>
        <v>0</v>
      </c>
      <c r="M355" s="16"/>
      <c r="N355" s="16"/>
      <c r="O355" s="15">
        <f t="shared" si="31"/>
        <v>0</v>
      </c>
      <c r="P355" s="15">
        <f t="shared" si="32"/>
        <v>0</v>
      </c>
      <c r="Q355" s="15">
        <f t="shared" si="33"/>
        <v>0</v>
      </c>
      <c r="R355" s="17">
        <v>1497</v>
      </c>
    </row>
    <row r="356" spans="1:18" ht="16.5" x14ac:dyDescent="0.25">
      <c r="A356" s="12">
        <v>1499</v>
      </c>
      <c r="B356" s="13" t="s">
        <v>320</v>
      </c>
      <c r="C356" s="13" t="s">
        <v>25</v>
      </c>
      <c r="D356" s="20"/>
      <c r="E356" s="15">
        <v>6400</v>
      </c>
      <c r="F356" s="15">
        <v>400</v>
      </c>
      <c r="G356" s="15">
        <v>400</v>
      </c>
      <c r="H356" s="15">
        <f t="shared" si="34"/>
        <v>7200</v>
      </c>
      <c r="I356" s="15">
        <f t="shared" si="35"/>
        <v>0</v>
      </c>
      <c r="J356" s="20"/>
      <c r="K356" s="15"/>
      <c r="L356" s="15">
        <f t="shared" si="30"/>
        <v>0</v>
      </c>
      <c r="M356" s="16"/>
      <c r="N356" s="16"/>
      <c r="O356" s="15">
        <f t="shared" si="31"/>
        <v>0</v>
      </c>
      <c r="P356" s="15">
        <f t="shared" si="32"/>
        <v>0</v>
      </c>
      <c r="Q356" s="15">
        <f t="shared" si="33"/>
        <v>0</v>
      </c>
      <c r="R356" s="17">
        <v>1499</v>
      </c>
    </row>
    <row r="357" spans="1:18" ht="16.5" x14ac:dyDescent="0.25">
      <c r="A357" s="12">
        <v>1500</v>
      </c>
      <c r="B357" s="13" t="s">
        <v>321</v>
      </c>
      <c r="C357" s="13" t="s">
        <v>54</v>
      </c>
      <c r="D357" s="19"/>
      <c r="E357" s="15">
        <v>6400</v>
      </c>
      <c r="F357" s="15">
        <v>300</v>
      </c>
      <c r="G357" s="15">
        <v>400</v>
      </c>
      <c r="H357" s="15">
        <f t="shared" si="34"/>
        <v>7100</v>
      </c>
      <c r="I357" s="15">
        <f t="shared" si="35"/>
        <v>0</v>
      </c>
      <c r="J357" s="16"/>
      <c r="K357" s="15"/>
      <c r="L357" s="15">
        <f t="shared" si="30"/>
        <v>0</v>
      </c>
      <c r="M357" s="16"/>
      <c r="N357" s="16"/>
      <c r="O357" s="15">
        <f t="shared" si="31"/>
        <v>0</v>
      </c>
      <c r="P357" s="15">
        <f t="shared" si="32"/>
        <v>0</v>
      </c>
      <c r="Q357" s="15">
        <f t="shared" si="33"/>
        <v>0</v>
      </c>
      <c r="R357" s="17">
        <v>1500</v>
      </c>
    </row>
    <row r="358" spans="1:18" ht="16.5" x14ac:dyDescent="0.25">
      <c r="A358" s="12">
        <v>1502</v>
      </c>
      <c r="B358" s="13" t="s">
        <v>322</v>
      </c>
      <c r="C358" s="13" t="s">
        <v>25</v>
      </c>
      <c r="D358" s="16"/>
      <c r="E358" s="15">
        <v>6400</v>
      </c>
      <c r="F358" s="15">
        <v>300</v>
      </c>
      <c r="G358" s="15">
        <v>400</v>
      </c>
      <c r="H358" s="15">
        <f t="shared" si="34"/>
        <v>7100</v>
      </c>
      <c r="I358" s="15">
        <f t="shared" si="35"/>
        <v>0</v>
      </c>
      <c r="J358" s="16"/>
      <c r="K358" s="15"/>
      <c r="L358" s="15">
        <f t="shared" si="30"/>
        <v>0</v>
      </c>
      <c r="M358" s="16"/>
      <c r="N358" s="16"/>
      <c r="O358" s="15">
        <f t="shared" si="31"/>
        <v>0</v>
      </c>
      <c r="P358" s="15">
        <f t="shared" si="32"/>
        <v>0</v>
      </c>
      <c r="Q358" s="15">
        <f t="shared" si="33"/>
        <v>0</v>
      </c>
      <c r="R358" s="17">
        <v>1502</v>
      </c>
    </row>
    <row r="359" spans="1:18" ht="16.5" x14ac:dyDescent="0.25">
      <c r="A359" s="12">
        <v>1503</v>
      </c>
      <c r="B359" s="13" t="s">
        <v>323</v>
      </c>
      <c r="C359" s="13" t="s">
        <v>21</v>
      </c>
      <c r="D359" s="14"/>
      <c r="E359" s="15">
        <v>6400</v>
      </c>
      <c r="F359" s="15">
        <v>300</v>
      </c>
      <c r="G359" s="15">
        <v>400</v>
      </c>
      <c r="H359" s="15">
        <f t="shared" si="34"/>
        <v>7100</v>
      </c>
      <c r="I359" s="15">
        <f t="shared" si="35"/>
        <v>0</v>
      </c>
      <c r="J359" s="16"/>
      <c r="K359" s="15"/>
      <c r="L359" s="15">
        <f t="shared" si="30"/>
        <v>0</v>
      </c>
      <c r="M359" s="16"/>
      <c r="N359" s="16"/>
      <c r="O359" s="15">
        <f t="shared" si="31"/>
        <v>0</v>
      </c>
      <c r="P359" s="15">
        <f t="shared" si="32"/>
        <v>0</v>
      </c>
      <c r="Q359" s="15">
        <f t="shared" si="33"/>
        <v>0</v>
      </c>
      <c r="R359" s="17">
        <v>1503</v>
      </c>
    </row>
    <row r="360" spans="1:18" ht="16.5" x14ac:dyDescent="0.25">
      <c r="A360" s="12">
        <v>1504</v>
      </c>
      <c r="B360" s="13" t="s">
        <v>324</v>
      </c>
      <c r="C360" s="13" t="s">
        <v>43</v>
      </c>
      <c r="D360" s="16"/>
      <c r="E360" s="15">
        <v>6400</v>
      </c>
      <c r="F360" s="15">
        <v>300</v>
      </c>
      <c r="G360" s="15">
        <v>400</v>
      </c>
      <c r="H360" s="15">
        <f t="shared" si="34"/>
        <v>7100</v>
      </c>
      <c r="I360" s="15">
        <f t="shared" si="35"/>
        <v>0</v>
      </c>
      <c r="J360" s="16"/>
      <c r="K360" s="15"/>
      <c r="L360" s="15">
        <f t="shared" si="30"/>
        <v>0</v>
      </c>
      <c r="M360" s="20"/>
      <c r="N360" s="20"/>
      <c r="O360" s="15">
        <f t="shared" si="31"/>
        <v>0</v>
      </c>
      <c r="P360" s="15">
        <f t="shared" si="32"/>
        <v>0</v>
      </c>
      <c r="Q360" s="15">
        <f t="shared" si="33"/>
        <v>0</v>
      </c>
      <c r="R360" s="17">
        <v>1504</v>
      </c>
    </row>
    <row r="361" spans="1:18" ht="16.5" x14ac:dyDescent="0.25">
      <c r="A361" s="12">
        <v>1505</v>
      </c>
      <c r="B361" s="13" t="s">
        <v>325</v>
      </c>
      <c r="C361" s="13" t="s">
        <v>25</v>
      </c>
      <c r="D361" s="16"/>
      <c r="E361" s="15">
        <v>6400</v>
      </c>
      <c r="F361" s="15">
        <v>300</v>
      </c>
      <c r="G361" s="15">
        <v>400</v>
      </c>
      <c r="H361" s="15">
        <f t="shared" si="34"/>
        <v>7100</v>
      </c>
      <c r="I361" s="15">
        <f t="shared" si="35"/>
        <v>0</v>
      </c>
      <c r="J361" s="16"/>
      <c r="K361" s="15"/>
      <c r="L361" s="15"/>
      <c r="M361" s="20"/>
      <c r="N361" s="20"/>
      <c r="O361" s="15">
        <f t="shared" si="31"/>
        <v>0</v>
      </c>
      <c r="P361" s="15">
        <f t="shared" si="32"/>
        <v>0</v>
      </c>
      <c r="Q361" s="15">
        <f t="shared" si="33"/>
        <v>0</v>
      </c>
      <c r="R361" s="17">
        <v>1505</v>
      </c>
    </row>
    <row r="362" spans="1:18" ht="16.5" x14ac:dyDescent="0.25">
      <c r="A362" s="12">
        <v>1506</v>
      </c>
      <c r="B362" s="13" t="s">
        <v>326</v>
      </c>
      <c r="C362" s="13" t="s">
        <v>30</v>
      </c>
      <c r="D362" s="14">
        <v>92</v>
      </c>
      <c r="E362" s="15">
        <v>6400</v>
      </c>
      <c r="F362" s="15">
        <v>500</v>
      </c>
      <c r="G362" s="15">
        <v>400</v>
      </c>
      <c r="H362" s="15">
        <f t="shared" si="34"/>
        <v>7300</v>
      </c>
      <c r="I362" s="15">
        <f t="shared" si="35"/>
        <v>671600</v>
      </c>
      <c r="J362" s="20"/>
      <c r="K362" s="15">
        <v>400000</v>
      </c>
      <c r="L362" s="15">
        <f t="shared" si="30"/>
        <v>1840</v>
      </c>
      <c r="M362" s="16"/>
      <c r="N362" s="16"/>
      <c r="O362" s="15">
        <f t="shared" si="31"/>
        <v>23000</v>
      </c>
      <c r="P362" s="15">
        <f t="shared" si="32"/>
        <v>424840</v>
      </c>
      <c r="Q362" s="15">
        <f t="shared" si="33"/>
        <v>246760</v>
      </c>
      <c r="R362" s="17">
        <v>1506</v>
      </c>
    </row>
    <row r="363" spans="1:18" ht="16.5" x14ac:dyDescent="0.25">
      <c r="A363" s="12">
        <v>1507</v>
      </c>
      <c r="B363" s="13" t="s">
        <v>327</v>
      </c>
      <c r="C363" s="13" t="s">
        <v>25</v>
      </c>
      <c r="D363" s="20"/>
      <c r="E363" s="15">
        <v>6400</v>
      </c>
      <c r="F363" s="15">
        <v>400</v>
      </c>
      <c r="G363" s="15">
        <v>400</v>
      </c>
      <c r="H363" s="15">
        <f t="shared" si="34"/>
        <v>7200</v>
      </c>
      <c r="I363" s="15">
        <f t="shared" si="35"/>
        <v>0</v>
      </c>
      <c r="J363" s="20"/>
      <c r="K363" s="15"/>
      <c r="L363" s="15">
        <f t="shared" si="30"/>
        <v>0</v>
      </c>
      <c r="M363" s="16"/>
      <c r="N363" s="16"/>
      <c r="O363" s="15">
        <f t="shared" si="31"/>
        <v>0</v>
      </c>
      <c r="P363" s="15">
        <f t="shared" si="32"/>
        <v>0</v>
      </c>
      <c r="Q363" s="15">
        <f t="shared" si="33"/>
        <v>0</v>
      </c>
      <c r="R363" s="17">
        <v>1507</v>
      </c>
    </row>
    <row r="364" spans="1:18" ht="16.5" x14ac:dyDescent="0.25">
      <c r="A364" s="12">
        <v>1508</v>
      </c>
      <c r="B364" s="13" t="s">
        <v>304</v>
      </c>
      <c r="C364" s="13" t="s">
        <v>21</v>
      </c>
      <c r="D364" s="19"/>
      <c r="E364" s="15">
        <v>6400</v>
      </c>
      <c r="F364" s="15">
        <v>300</v>
      </c>
      <c r="G364" s="15">
        <v>400</v>
      </c>
      <c r="H364" s="15">
        <f t="shared" si="34"/>
        <v>7100</v>
      </c>
      <c r="I364" s="15">
        <f t="shared" si="35"/>
        <v>0</v>
      </c>
      <c r="J364" s="16"/>
      <c r="K364" s="15"/>
      <c r="L364" s="15">
        <f t="shared" si="30"/>
        <v>0</v>
      </c>
      <c r="M364" s="16"/>
      <c r="N364" s="16"/>
      <c r="O364" s="15">
        <f t="shared" si="31"/>
        <v>0</v>
      </c>
      <c r="P364" s="15">
        <f t="shared" si="32"/>
        <v>0</v>
      </c>
      <c r="Q364" s="15">
        <f t="shared" si="33"/>
        <v>0</v>
      </c>
      <c r="R364" s="17">
        <v>1508</v>
      </c>
    </row>
    <row r="365" spans="1:18" ht="16.5" x14ac:dyDescent="0.25">
      <c r="A365" s="12">
        <v>1509</v>
      </c>
      <c r="B365" s="13" t="s">
        <v>328</v>
      </c>
      <c r="C365" s="13" t="s">
        <v>30</v>
      </c>
      <c r="D365" s="14">
        <v>82</v>
      </c>
      <c r="E365" s="15">
        <v>6400</v>
      </c>
      <c r="F365" s="15">
        <v>500</v>
      </c>
      <c r="G365" s="15">
        <v>400</v>
      </c>
      <c r="H365" s="15">
        <f t="shared" si="34"/>
        <v>7300</v>
      </c>
      <c r="I365" s="15">
        <f t="shared" si="35"/>
        <v>598600</v>
      </c>
      <c r="J365" s="16"/>
      <c r="K365" s="15">
        <v>600000</v>
      </c>
      <c r="L365" s="15">
        <f t="shared" si="30"/>
        <v>1640</v>
      </c>
      <c r="M365" s="20"/>
      <c r="N365" s="20"/>
      <c r="O365" s="15">
        <f t="shared" si="31"/>
        <v>20500</v>
      </c>
      <c r="P365" s="15">
        <f t="shared" si="32"/>
        <v>622140</v>
      </c>
      <c r="Q365" s="15">
        <f t="shared" si="33"/>
        <v>-23540</v>
      </c>
      <c r="R365" s="17">
        <v>1509</v>
      </c>
    </row>
    <row r="366" spans="1:18" ht="16.5" x14ac:dyDescent="0.25">
      <c r="A366" s="12">
        <v>1512</v>
      </c>
      <c r="B366" s="13" t="s">
        <v>329</v>
      </c>
      <c r="C366" s="13" t="s">
        <v>25</v>
      </c>
      <c r="D366" s="16"/>
      <c r="E366" s="15">
        <v>6400</v>
      </c>
      <c r="F366" s="15">
        <v>300</v>
      </c>
      <c r="G366" s="15">
        <v>400</v>
      </c>
      <c r="H366" s="15">
        <f t="shared" si="34"/>
        <v>7100</v>
      </c>
      <c r="I366" s="15">
        <f t="shared" si="35"/>
        <v>0</v>
      </c>
      <c r="J366" s="16"/>
      <c r="K366" s="15"/>
      <c r="L366" s="15">
        <f t="shared" si="30"/>
        <v>0</v>
      </c>
      <c r="M366" s="16"/>
      <c r="N366" s="16"/>
      <c r="O366" s="15">
        <f t="shared" si="31"/>
        <v>0</v>
      </c>
      <c r="P366" s="15">
        <f t="shared" si="32"/>
        <v>0</v>
      </c>
      <c r="Q366" s="15">
        <f t="shared" si="33"/>
        <v>0</v>
      </c>
      <c r="R366" s="17">
        <v>1512</v>
      </c>
    </row>
    <row r="367" spans="1:18" ht="16.5" x14ac:dyDescent="0.25">
      <c r="A367" s="12">
        <v>1513</v>
      </c>
      <c r="B367" s="13" t="s">
        <v>330</v>
      </c>
      <c r="C367" s="13" t="s">
        <v>54</v>
      </c>
      <c r="D367" s="14"/>
      <c r="E367" s="15">
        <v>6400</v>
      </c>
      <c r="F367" s="15">
        <v>400</v>
      </c>
      <c r="G367" s="15">
        <v>400</v>
      </c>
      <c r="H367" s="15">
        <f t="shared" si="34"/>
        <v>7200</v>
      </c>
      <c r="I367" s="15">
        <f t="shared" si="35"/>
        <v>0</v>
      </c>
      <c r="J367" s="20"/>
      <c r="K367" s="15"/>
      <c r="L367" s="15">
        <f t="shared" si="30"/>
        <v>0</v>
      </c>
      <c r="M367" s="20"/>
      <c r="N367" s="20"/>
      <c r="O367" s="15">
        <f t="shared" si="31"/>
        <v>0</v>
      </c>
      <c r="P367" s="15">
        <f t="shared" si="32"/>
        <v>0</v>
      </c>
      <c r="Q367" s="15">
        <f t="shared" si="33"/>
        <v>0</v>
      </c>
      <c r="R367" s="17">
        <v>1513</v>
      </c>
    </row>
    <row r="368" spans="1:18" ht="16.5" x14ac:dyDescent="0.25">
      <c r="A368" s="12">
        <v>1514</v>
      </c>
      <c r="B368" s="13" t="s">
        <v>331</v>
      </c>
      <c r="C368" s="13" t="s">
        <v>30</v>
      </c>
      <c r="D368" s="19">
        <v>83</v>
      </c>
      <c r="E368" s="15">
        <v>6400</v>
      </c>
      <c r="F368" s="15">
        <v>500</v>
      </c>
      <c r="G368" s="15">
        <v>400</v>
      </c>
      <c r="H368" s="15">
        <f t="shared" si="34"/>
        <v>7300</v>
      </c>
      <c r="I368" s="15">
        <f t="shared" si="35"/>
        <v>605900</v>
      </c>
      <c r="J368" s="16"/>
      <c r="K368" s="15">
        <v>200000</v>
      </c>
      <c r="L368" s="15">
        <f t="shared" si="30"/>
        <v>1660</v>
      </c>
      <c r="M368" s="16"/>
      <c r="N368" s="16"/>
      <c r="O368" s="15">
        <f t="shared" si="31"/>
        <v>20750</v>
      </c>
      <c r="P368" s="15">
        <f t="shared" si="32"/>
        <v>222410</v>
      </c>
      <c r="Q368" s="15">
        <f t="shared" si="33"/>
        <v>383490</v>
      </c>
      <c r="R368" s="17">
        <v>1514</v>
      </c>
    </row>
    <row r="369" spans="1:18" ht="16.5" x14ac:dyDescent="0.25">
      <c r="A369" s="12">
        <v>1515</v>
      </c>
      <c r="B369" s="13" t="s">
        <v>332</v>
      </c>
      <c r="C369" s="13" t="s">
        <v>43</v>
      </c>
      <c r="D369" s="16"/>
      <c r="E369" s="15">
        <v>6400</v>
      </c>
      <c r="F369" s="15">
        <v>300</v>
      </c>
      <c r="G369" s="15">
        <v>400</v>
      </c>
      <c r="H369" s="15">
        <f t="shared" si="34"/>
        <v>7100</v>
      </c>
      <c r="I369" s="15">
        <f t="shared" si="35"/>
        <v>0</v>
      </c>
      <c r="J369" s="20"/>
      <c r="K369" s="15"/>
      <c r="L369" s="15">
        <f t="shared" si="30"/>
        <v>0</v>
      </c>
      <c r="M369" s="20"/>
      <c r="N369" s="20"/>
      <c r="O369" s="15">
        <f t="shared" si="31"/>
        <v>0</v>
      </c>
      <c r="P369" s="15">
        <f t="shared" si="32"/>
        <v>0</v>
      </c>
      <c r="Q369" s="15">
        <f t="shared" si="33"/>
        <v>0</v>
      </c>
      <c r="R369" s="17">
        <v>1515</v>
      </c>
    </row>
    <row r="370" spans="1:18" ht="16.5" x14ac:dyDescent="0.25">
      <c r="A370" s="12">
        <v>1516</v>
      </c>
      <c r="B370" s="13" t="s">
        <v>333</v>
      </c>
      <c r="C370" s="13" t="s">
        <v>25</v>
      </c>
      <c r="D370" s="20"/>
      <c r="E370" s="15">
        <v>6400</v>
      </c>
      <c r="F370" s="15">
        <v>300</v>
      </c>
      <c r="G370" s="15">
        <v>400</v>
      </c>
      <c r="H370" s="15">
        <f t="shared" si="34"/>
        <v>7100</v>
      </c>
      <c r="I370" s="15">
        <f t="shared" si="35"/>
        <v>0</v>
      </c>
      <c r="J370" s="16"/>
      <c r="K370" s="15"/>
      <c r="L370" s="15">
        <f t="shared" si="30"/>
        <v>0</v>
      </c>
      <c r="M370" s="16"/>
      <c r="N370" s="16"/>
      <c r="O370" s="15">
        <f t="shared" si="31"/>
        <v>0</v>
      </c>
      <c r="P370" s="15">
        <f t="shared" si="32"/>
        <v>0</v>
      </c>
      <c r="Q370" s="15">
        <f t="shared" si="33"/>
        <v>0</v>
      </c>
      <c r="R370" s="17">
        <v>1516</v>
      </c>
    </row>
    <row r="371" spans="1:18" ht="16.5" x14ac:dyDescent="0.25">
      <c r="A371" s="12">
        <v>1517</v>
      </c>
      <c r="B371" s="13" t="s">
        <v>275</v>
      </c>
      <c r="C371" s="13" t="s">
        <v>25</v>
      </c>
      <c r="D371" s="16"/>
      <c r="E371" s="15">
        <v>6400</v>
      </c>
      <c r="F371" s="15">
        <v>300</v>
      </c>
      <c r="G371" s="15">
        <v>400</v>
      </c>
      <c r="H371" s="15">
        <f t="shared" si="34"/>
        <v>7100</v>
      </c>
      <c r="I371" s="15">
        <f t="shared" si="35"/>
        <v>0</v>
      </c>
      <c r="J371" s="20"/>
      <c r="K371" s="15"/>
      <c r="L371" s="15">
        <f t="shared" si="30"/>
        <v>0</v>
      </c>
      <c r="M371" s="16"/>
      <c r="N371" s="16"/>
      <c r="O371" s="15">
        <f t="shared" si="31"/>
        <v>0</v>
      </c>
      <c r="P371" s="15">
        <f t="shared" si="32"/>
        <v>0</v>
      </c>
      <c r="Q371" s="15">
        <f t="shared" si="33"/>
        <v>0</v>
      </c>
      <c r="R371" s="17">
        <v>1517</v>
      </c>
    </row>
    <row r="372" spans="1:18" ht="16.5" x14ac:dyDescent="0.25">
      <c r="A372" s="12">
        <v>1518</v>
      </c>
      <c r="B372" s="13" t="s">
        <v>239</v>
      </c>
      <c r="C372" s="13" t="s">
        <v>25</v>
      </c>
      <c r="D372" s="20"/>
      <c r="E372" s="15">
        <v>6400</v>
      </c>
      <c r="F372" s="15">
        <v>400</v>
      </c>
      <c r="G372" s="15">
        <v>400</v>
      </c>
      <c r="H372" s="15">
        <f t="shared" si="34"/>
        <v>7200</v>
      </c>
      <c r="I372" s="15">
        <f t="shared" si="35"/>
        <v>0</v>
      </c>
      <c r="J372" s="16"/>
      <c r="K372" s="15"/>
      <c r="L372" s="15">
        <f t="shared" si="30"/>
        <v>0</v>
      </c>
      <c r="M372" s="16"/>
      <c r="N372" s="16"/>
      <c r="O372" s="15">
        <f t="shared" si="31"/>
        <v>0</v>
      </c>
      <c r="P372" s="15">
        <f t="shared" si="32"/>
        <v>0</v>
      </c>
      <c r="Q372" s="15">
        <f t="shared" si="33"/>
        <v>0</v>
      </c>
      <c r="R372" s="17">
        <v>1518</v>
      </c>
    </row>
    <row r="373" spans="1:18" ht="16.5" x14ac:dyDescent="0.25">
      <c r="A373" s="12">
        <v>1519</v>
      </c>
      <c r="B373" s="13" t="s">
        <v>334</v>
      </c>
      <c r="C373" s="13" t="s">
        <v>16</v>
      </c>
      <c r="D373" s="14">
        <v>41</v>
      </c>
      <c r="E373" s="15">
        <v>6400</v>
      </c>
      <c r="F373" s="15">
        <v>500</v>
      </c>
      <c r="G373" s="15">
        <v>400</v>
      </c>
      <c r="H373" s="15">
        <f t="shared" si="34"/>
        <v>7300</v>
      </c>
      <c r="I373" s="15">
        <f t="shared" si="35"/>
        <v>299300</v>
      </c>
      <c r="J373" s="16"/>
      <c r="K373" s="15">
        <v>600000</v>
      </c>
      <c r="L373" s="15">
        <f t="shared" si="30"/>
        <v>820</v>
      </c>
      <c r="M373" s="16"/>
      <c r="N373" s="16"/>
      <c r="O373" s="15">
        <f t="shared" si="31"/>
        <v>10250</v>
      </c>
      <c r="P373" s="15">
        <f t="shared" si="32"/>
        <v>611070</v>
      </c>
      <c r="Q373" s="15">
        <f t="shared" si="33"/>
        <v>-311770</v>
      </c>
      <c r="R373" s="17">
        <v>1519</v>
      </c>
    </row>
    <row r="374" spans="1:18" ht="16.5" x14ac:dyDescent="0.25">
      <c r="A374" s="12">
        <v>1520</v>
      </c>
      <c r="B374" s="13" t="s">
        <v>335</v>
      </c>
      <c r="C374" s="13" t="s">
        <v>21</v>
      </c>
      <c r="D374" s="20"/>
      <c r="E374" s="15">
        <v>6400</v>
      </c>
      <c r="F374" s="15">
        <v>300</v>
      </c>
      <c r="G374" s="15">
        <v>400</v>
      </c>
      <c r="H374" s="15">
        <f t="shared" si="34"/>
        <v>7100</v>
      </c>
      <c r="I374" s="15">
        <f t="shared" si="35"/>
        <v>0</v>
      </c>
      <c r="J374" s="16"/>
      <c r="K374" s="15"/>
      <c r="L374" s="15">
        <f t="shared" si="30"/>
        <v>0</v>
      </c>
      <c r="M374" s="16"/>
      <c r="N374" s="16"/>
      <c r="O374" s="15">
        <f t="shared" si="31"/>
        <v>0</v>
      </c>
      <c r="P374" s="15">
        <f t="shared" si="32"/>
        <v>0</v>
      </c>
      <c r="Q374" s="15">
        <f t="shared" si="33"/>
        <v>0</v>
      </c>
      <c r="R374" s="17">
        <v>1520</v>
      </c>
    </row>
    <row r="375" spans="1:18" ht="16.5" x14ac:dyDescent="0.25">
      <c r="A375" s="12">
        <v>1521</v>
      </c>
      <c r="B375" s="13" t="s">
        <v>336</v>
      </c>
      <c r="C375" s="13" t="s">
        <v>36</v>
      </c>
      <c r="D375" s="14"/>
      <c r="E375" s="15">
        <v>6400</v>
      </c>
      <c r="F375" s="15">
        <v>400</v>
      </c>
      <c r="G375" s="15">
        <v>400</v>
      </c>
      <c r="H375" s="15">
        <f t="shared" si="34"/>
        <v>7200</v>
      </c>
      <c r="I375" s="15">
        <f t="shared" si="35"/>
        <v>0</v>
      </c>
      <c r="J375" s="16"/>
      <c r="K375" s="15"/>
      <c r="L375" s="15">
        <f t="shared" si="30"/>
        <v>0</v>
      </c>
      <c r="M375" s="16"/>
      <c r="N375" s="16"/>
      <c r="O375" s="15">
        <f t="shared" si="31"/>
        <v>0</v>
      </c>
      <c r="P375" s="15">
        <f t="shared" si="32"/>
        <v>0</v>
      </c>
      <c r="Q375" s="15">
        <f t="shared" si="33"/>
        <v>0</v>
      </c>
      <c r="R375" s="17">
        <v>1521</v>
      </c>
    </row>
    <row r="376" spans="1:18" ht="16.5" x14ac:dyDescent="0.25">
      <c r="A376" s="12">
        <v>1522</v>
      </c>
      <c r="B376" s="13" t="s">
        <v>337</v>
      </c>
      <c r="C376" s="13" t="s">
        <v>25</v>
      </c>
      <c r="D376" s="16"/>
      <c r="E376" s="15">
        <v>6400</v>
      </c>
      <c r="F376" s="15">
        <v>300</v>
      </c>
      <c r="G376" s="15">
        <v>400</v>
      </c>
      <c r="H376" s="15">
        <f t="shared" si="34"/>
        <v>7100</v>
      </c>
      <c r="I376" s="15">
        <f t="shared" si="35"/>
        <v>0</v>
      </c>
      <c r="J376" s="16"/>
      <c r="K376" s="15"/>
      <c r="L376" s="15">
        <f t="shared" si="30"/>
        <v>0</v>
      </c>
      <c r="M376" s="16"/>
      <c r="N376" s="16"/>
      <c r="O376" s="15">
        <f t="shared" si="31"/>
        <v>0</v>
      </c>
      <c r="P376" s="15">
        <f t="shared" si="32"/>
        <v>0</v>
      </c>
      <c r="Q376" s="15">
        <f t="shared" si="33"/>
        <v>0</v>
      </c>
      <c r="R376" s="17">
        <v>1522</v>
      </c>
    </row>
    <row r="377" spans="1:18" ht="16.5" x14ac:dyDescent="0.25">
      <c r="A377" s="12">
        <v>1523</v>
      </c>
      <c r="B377" s="13" t="s">
        <v>338</v>
      </c>
      <c r="C377" s="13" t="s">
        <v>36</v>
      </c>
      <c r="D377" s="14"/>
      <c r="E377" s="15">
        <v>6400</v>
      </c>
      <c r="F377" s="15">
        <v>300</v>
      </c>
      <c r="G377" s="15">
        <v>400</v>
      </c>
      <c r="H377" s="15">
        <f t="shared" si="34"/>
        <v>7100</v>
      </c>
      <c r="I377" s="15">
        <f t="shared" si="35"/>
        <v>0</v>
      </c>
      <c r="J377" s="16"/>
      <c r="K377" s="15"/>
      <c r="L377" s="15">
        <f t="shared" si="30"/>
        <v>0</v>
      </c>
      <c r="M377" s="20"/>
      <c r="N377" s="20"/>
      <c r="O377" s="15">
        <f t="shared" si="31"/>
        <v>0</v>
      </c>
      <c r="P377" s="15">
        <f t="shared" si="32"/>
        <v>0</v>
      </c>
      <c r="Q377" s="15">
        <f t="shared" si="33"/>
        <v>0</v>
      </c>
      <c r="R377" s="17">
        <v>1523</v>
      </c>
    </row>
    <row r="378" spans="1:18" ht="16.5" x14ac:dyDescent="0.25">
      <c r="A378" s="12">
        <v>1524</v>
      </c>
      <c r="B378" s="13" t="s">
        <v>339</v>
      </c>
      <c r="C378" s="13" t="s">
        <v>425</v>
      </c>
      <c r="D378" s="14">
        <v>94</v>
      </c>
      <c r="E378" s="15">
        <v>6400</v>
      </c>
      <c r="F378" s="15">
        <v>400</v>
      </c>
      <c r="G378" s="15">
        <v>400</v>
      </c>
      <c r="H378" s="15">
        <f t="shared" si="34"/>
        <v>7200</v>
      </c>
      <c r="I378" s="15">
        <f t="shared" si="35"/>
        <v>676800</v>
      </c>
      <c r="J378" s="16"/>
      <c r="K378" s="15"/>
      <c r="L378" s="15">
        <f t="shared" si="30"/>
        <v>1880</v>
      </c>
      <c r="M378" s="16"/>
      <c r="N378" s="16"/>
      <c r="O378" s="15">
        <f t="shared" si="31"/>
        <v>23500</v>
      </c>
      <c r="P378" s="15">
        <f t="shared" si="32"/>
        <v>25380</v>
      </c>
      <c r="Q378" s="15">
        <f t="shared" si="33"/>
        <v>651420</v>
      </c>
      <c r="R378" s="17">
        <v>1524</v>
      </c>
    </row>
    <row r="379" spans="1:18" ht="16.5" x14ac:dyDescent="0.25">
      <c r="A379" s="12">
        <v>1525</v>
      </c>
      <c r="B379" s="13" t="s">
        <v>340</v>
      </c>
      <c r="C379" s="13" t="s">
        <v>30</v>
      </c>
      <c r="D379" s="14"/>
      <c r="E379" s="15">
        <v>6400</v>
      </c>
      <c r="F379" s="15">
        <v>400</v>
      </c>
      <c r="G379" s="15">
        <v>400</v>
      </c>
      <c r="H379" s="15">
        <f t="shared" si="34"/>
        <v>7200</v>
      </c>
      <c r="I379" s="15">
        <f t="shared" si="35"/>
        <v>0</v>
      </c>
      <c r="J379" s="20"/>
      <c r="K379" s="15"/>
      <c r="L379" s="15">
        <f t="shared" si="30"/>
        <v>0</v>
      </c>
      <c r="M379" s="20"/>
      <c r="N379" s="20"/>
      <c r="O379" s="15">
        <f t="shared" si="31"/>
        <v>0</v>
      </c>
      <c r="P379" s="15">
        <f t="shared" si="32"/>
        <v>0</v>
      </c>
      <c r="Q379" s="15">
        <f t="shared" si="33"/>
        <v>0</v>
      </c>
      <c r="R379" s="17">
        <v>1525</v>
      </c>
    </row>
    <row r="380" spans="1:18" ht="16.5" x14ac:dyDescent="0.25">
      <c r="A380" s="12">
        <v>1526</v>
      </c>
      <c r="B380" s="13" t="s">
        <v>341</v>
      </c>
      <c r="C380" s="13" t="s">
        <v>43</v>
      </c>
      <c r="D380" s="20"/>
      <c r="E380" s="15">
        <v>6400</v>
      </c>
      <c r="F380" s="15">
        <v>300</v>
      </c>
      <c r="G380" s="15">
        <v>400</v>
      </c>
      <c r="H380" s="15">
        <f t="shared" si="34"/>
        <v>7100</v>
      </c>
      <c r="I380" s="15">
        <f t="shared" si="35"/>
        <v>0</v>
      </c>
      <c r="J380" s="16"/>
      <c r="K380" s="15"/>
      <c r="L380" s="15">
        <f t="shared" si="30"/>
        <v>0</v>
      </c>
      <c r="M380" s="20"/>
      <c r="N380" s="20"/>
      <c r="O380" s="15">
        <f t="shared" si="31"/>
        <v>0</v>
      </c>
      <c r="P380" s="15">
        <f t="shared" si="32"/>
        <v>0</v>
      </c>
      <c r="Q380" s="15">
        <f t="shared" si="33"/>
        <v>0</v>
      </c>
      <c r="R380" s="17">
        <v>1526</v>
      </c>
    </row>
    <row r="381" spans="1:18" ht="16.5" x14ac:dyDescent="0.25">
      <c r="A381" s="12">
        <v>1527</v>
      </c>
      <c r="B381" s="13" t="s">
        <v>342</v>
      </c>
      <c r="C381" s="13" t="s">
        <v>43</v>
      </c>
      <c r="D381" s="16"/>
      <c r="E381" s="15">
        <v>6400</v>
      </c>
      <c r="F381" s="15">
        <v>300</v>
      </c>
      <c r="G381" s="15">
        <v>400</v>
      </c>
      <c r="H381" s="15">
        <f t="shared" si="34"/>
        <v>7100</v>
      </c>
      <c r="I381" s="15">
        <f t="shared" si="35"/>
        <v>0</v>
      </c>
      <c r="J381" s="20"/>
      <c r="K381" s="15"/>
      <c r="L381" s="15">
        <f t="shared" si="30"/>
        <v>0</v>
      </c>
      <c r="M381" s="20"/>
      <c r="N381" s="20"/>
      <c r="O381" s="15">
        <f t="shared" si="31"/>
        <v>0</v>
      </c>
      <c r="P381" s="15">
        <f t="shared" si="32"/>
        <v>0</v>
      </c>
      <c r="Q381" s="15">
        <f t="shared" si="33"/>
        <v>0</v>
      </c>
      <c r="R381" s="17">
        <v>1527</v>
      </c>
    </row>
    <row r="382" spans="1:18" ht="16.5" x14ac:dyDescent="0.25">
      <c r="A382" s="12">
        <v>1528</v>
      </c>
      <c r="B382" s="13" t="s">
        <v>343</v>
      </c>
      <c r="C382" s="13" t="s">
        <v>36</v>
      </c>
      <c r="D382" s="19"/>
      <c r="E382" s="15">
        <v>6400</v>
      </c>
      <c r="F382" s="15">
        <v>300</v>
      </c>
      <c r="G382" s="15">
        <v>400</v>
      </c>
      <c r="H382" s="15">
        <f t="shared" si="34"/>
        <v>7100</v>
      </c>
      <c r="I382" s="15">
        <f t="shared" si="35"/>
        <v>0</v>
      </c>
      <c r="J382" s="20"/>
      <c r="K382" s="15"/>
      <c r="L382" s="15">
        <f t="shared" si="30"/>
        <v>0</v>
      </c>
      <c r="M382" s="20"/>
      <c r="N382" s="20"/>
      <c r="O382" s="15">
        <f t="shared" si="31"/>
        <v>0</v>
      </c>
      <c r="P382" s="15">
        <f t="shared" si="32"/>
        <v>0</v>
      </c>
      <c r="Q382" s="15">
        <f t="shared" si="33"/>
        <v>0</v>
      </c>
      <c r="R382" s="17">
        <v>1528</v>
      </c>
    </row>
    <row r="383" spans="1:18" ht="16.5" x14ac:dyDescent="0.25">
      <c r="A383" s="12">
        <v>1529</v>
      </c>
      <c r="B383" s="13" t="s">
        <v>344</v>
      </c>
      <c r="C383" s="13" t="s">
        <v>36</v>
      </c>
      <c r="D383" s="19"/>
      <c r="E383" s="15">
        <v>6400</v>
      </c>
      <c r="F383" s="15">
        <v>300</v>
      </c>
      <c r="G383" s="15">
        <v>400</v>
      </c>
      <c r="H383" s="15">
        <f t="shared" si="34"/>
        <v>7100</v>
      </c>
      <c r="I383" s="15">
        <f t="shared" si="35"/>
        <v>0</v>
      </c>
      <c r="J383" s="20"/>
      <c r="K383" s="15"/>
      <c r="L383" s="15">
        <f t="shared" si="30"/>
        <v>0</v>
      </c>
      <c r="M383" s="20"/>
      <c r="N383" s="20"/>
      <c r="O383" s="15">
        <f t="shared" si="31"/>
        <v>0</v>
      </c>
      <c r="P383" s="15">
        <f t="shared" si="32"/>
        <v>0</v>
      </c>
      <c r="Q383" s="15">
        <f t="shared" si="33"/>
        <v>0</v>
      </c>
      <c r="R383" s="17">
        <v>1529</v>
      </c>
    </row>
    <row r="384" spans="1:18" ht="16.5" x14ac:dyDescent="0.25">
      <c r="A384" s="12">
        <v>1530</v>
      </c>
      <c r="B384" s="13" t="s">
        <v>345</v>
      </c>
      <c r="C384" s="13" t="s">
        <v>36</v>
      </c>
      <c r="D384" s="19"/>
      <c r="E384" s="15">
        <v>6400</v>
      </c>
      <c r="F384" s="15">
        <v>300</v>
      </c>
      <c r="G384" s="15">
        <v>400</v>
      </c>
      <c r="H384" s="15">
        <v>6300</v>
      </c>
      <c r="I384" s="15">
        <f t="shared" si="35"/>
        <v>0</v>
      </c>
      <c r="J384" s="20"/>
      <c r="K384" s="15"/>
      <c r="L384" s="15">
        <f t="shared" si="30"/>
        <v>0</v>
      </c>
      <c r="M384" s="16"/>
      <c r="N384" s="16"/>
      <c r="O384" s="15">
        <f t="shared" si="31"/>
        <v>0</v>
      </c>
      <c r="P384" s="15">
        <f t="shared" si="32"/>
        <v>0</v>
      </c>
      <c r="Q384" s="15">
        <f t="shared" si="33"/>
        <v>0</v>
      </c>
      <c r="R384" s="17">
        <v>1530</v>
      </c>
    </row>
    <row r="385" spans="1:18" ht="16.5" x14ac:dyDescent="0.25">
      <c r="A385" s="12">
        <v>1531</v>
      </c>
      <c r="B385" s="13" t="s">
        <v>346</v>
      </c>
      <c r="C385" s="13" t="s">
        <v>36</v>
      </c>
      <c r="D385" s="19"/>
      <c r="E385" s="15">
        <v>6400</v>
      </c>
      <c r="F385" s="15">
        <v>300</v>
      </c>
      <c r="G385" s="15">
        <v>400</v>
      </c>
      <c r="H385" s="15">
        <f t="shared" si="34"/>
        <v>7100</v>
      </c>
      <c r="I385" s="15">
        <f t="shared" si="35"/>
        <v>0</v>
      </c>
      <c r="J385" s="20"/>
      <c r="K385" s="15"/>
      <c r="L385" s="15">
        <f t="shared" si="30"/>
        <v>0</v>
      </c>
      <c r="M385" s="16"/>
      <c r="N385" s="16"/>
      <c r="O385" s="15">
        <f t="shared" si="31"/>
        <v>0</v>
      </c>
      <c r="P385" s="15">
        <f t="shared" si="32"/>
        <v>0</v>
      </c>
      <c r="Q385" s="15">
        <f t="shared" si="33"/>
        <v>0</v>
      </c>
      <c r="R385" s="17">
        <v>1531</v>
      </c>
    </row>
    <row r="386" spans="1:18" ht="16.5" x14ac:dyDescent="0.25">
      <c r="A386" s="12">
        <v>1532</v>
      </c>
      <c r="B386" s="13" t="s">
        <v>347</v>
      </c>
      <c r="C386" s="13" t="s">
        <v>36</v>
      </c>
      <c r="D386" s="19"/>
      <c r="E386" s="15">
        <v>6400</v>
      </c>
      <c r="F386" s="15">
        <v>300</v>
      </c>
      <c r="G386" s="15">
        <v>400</v>
      </c>
      <c r="H386" s="15">
        <f t="shared" si="34"/>
        <v>7100</v>
      </c>
      <c r="I386" s="15">
        <f t="shared" si="35"/>
        <v>0</v>
      </c>
      <c r="J386" s="16"/>
      <c r="K386" s="15"/>
      <c r="L386" s="15">
        <f t="shared" si="30"/>
        <v>0</v>
      </c>
      <c r="M386" s="16"/>
      <c r="N386" s="16"/>
      <c r="O386" s="15">
        <f t="shared" si="31"/>
        <v>0</v>
      </c>
      <c r="P386" s="15">
        <f t="shared" si="32"/>
        <v>0</v>
      </c>
      <c r="Q386" s="15">
        <f t="shared" si="33"/>
        <v>0</v>
      </c>
      <c r="R386" s="17">
        <v>1532</v>
      </c>
    </row>
    <row r="387" spans="1:18" ht="16.5" x14ac:dyDescent="0.25">
      <c r="A387" s="12">
        <v>1533</v>
      </c>
      <c r="B387" s="13" t="s">
        <v>198</v>
      </c>
      <c r="C387" s="13" t="s">
        <v>25</v>
      </c>
      <c r="D387" s="16">
        <v>125</v>
      </c>
      <c r="E387" s="15">
        <v>6400</v>
      </c>
      <c r="F387" s="15">
        <v>400</v>
      </c>
      <c r="G387" s="15">
        <v>400</v>
      </c>
      <c r="H387" s="15">
        <f t="shared" si="34"/>
        <v>7200</v>
      </c>
      <c r="I387" s="15">
        <f t="shared" si="35"/>
        <v>900000</v>
      </c>
      <c r="J387" s="16"/>
      <c r="K387" s="15">
        <v>200000</v>
      </c>
      <c r="L387" s="15">
        <f t="shared" si="30"/>
        <v>2500</v>
      </c>
      <c r="M387" s="16"/>
      <c r="N387" s="16"/>
      <c r="O387" s="15">
        <f t="shared" si="31"/>
        <v>31250</v>
      </c>
      <c r="P387" s="15">
        <f t="shared" si="32"/>
        <v>233750</v>
      </c>
      <c r="Q387" s="15">
        <f t="shared" si="33"/>
        <v>666250</v>
      </c>
      <c r="R387" s="17">
        <v>1533</v>
      </c>
    </row>
    <row r="388" spans="1:18" ht="16.5" x14ac:dyDescent="0.25">
      <c r="A388" s="12">
        <v>1534</v>
      </c>
      <c r="B388" s="13" t="s">
        <v>348</v>
      </c>
      <c r="C388" s="13" t="s">
        <v>36</v>
      </c>
      <c r="D388" s="14"/>
      <c r="E388" s="15">
        <v>6400</v>
      </c>
      <c r="F388" s="15">
        <v>300</v>
      </c>
      <c r="G388" s="15">
        <v>400</v>
      </c>
      <c r="H388" s="15">
        <f t="shared" si="34"/>
        <v>7100</v>
      </c>
      <c r="I388" s="15">
        <f t="shared" si="35"/>
        <v>0</v>
      </c>
      <c r="J388" s="16"/>
      <c r="K388" s="15"/>
      <c r="L388" s="15">
        <f t="shared" si="30"/>
        <v>0</v>
      </c>
      <c r="M388" s="20"/>
      <c r="N388" s="20"/>
      <c r="O388" s="15">
        <f t="shared" si="31"/>
        <v>0</v>
      </c>
      <c r="P388" s="15">
        <f t="shared" si="32"/>
        <v>0</v>
      </c>
      <c r="Q388" s="15">
        <f t="shared" si="33"/>
        <v>0</v>
      </c>
      <c r="R388" s="17">
        <v>1534</v>
      </c>
    </row>
    <row r="389" spans="1:18" ht="16.5" x14ac:dyDescent="0.25">
      <c r="A389" s="12">
        <v>1535</v>
      </c>
      <c r="B389" s="13" t="s">
        <v>136</v>
      </c>
      <c r="C389" s="13" t="s">
        <v>47</v>
      </c>
      <c r="D389" s="14"/>
      <c r="E389" s="15">
        <v>6400</v>
      </c>
      <c r="F389" s="15">
        <v>300</v>
      </c>
      <c r="G389" s="15">
        <v>400</v>
      </c>
      <c r="H389" s="15">
        <f t="shared" si="34"/>
        <v>7100</v>
      </c>
      <c r="I389" s="15">
        <f t="shared" si="35"/>
        <v>0</v>
      </c>
      <c r="J389" s="16"/>
      <c r="K389" s="15"/>
      <c r="L389" s="15">
        <f t="shared" ref="L389:L452" si="36">D389*20</f>
        <v>0</v>
      </c>
      <c r="M389" s="16"/>
      <c r="N389" s="16"/>
      <c r="O389" s="15">
        <f t="shared" ref="O389:O452" si="37">250*D389</f>
        <v>0</v>
      </c>
      <c r="P389" s="15">
        <f t="shared" ref="P389:P452" si="38">SUM(J389:O389)</f>
        <v>0</v>
      </c>
      <c r="Q389" s="15">
        <f t="shared" ref="Q389:Q452" si="39">I389-P389</f>
        <v>0</v>
      </c>
      <c r="R389" s="17">
        <v>1535</v>
      </c>
    </row>
    <row r="390" spans="1:18" ht="16.5" x14ac:dyDescent="0.25">
      <c r="A390" s="12">
        <v>1536</v>
      </c>
      <c r="B390" s="13" t="s">
        <v>349</v>
      </c>
      <c r="C390" s="13" t="s">
        <v>36</v>
      </c>
      <c r="D390" s="16"/>
      <c r="E390" s="15">
        <v>6400</v>
      </c>
      <c r="F390" s="15">
        <v>400</v>
      </c>
      <c r="G390" s="15">
        <v>400</v>
      </c>
      <c r="H390" s="15">
        <f t="shared" ref="H390:H453" si="40">SUM(E390:G390)</f>
        <v>7200</v>
      </c>
      <c r="I390" s="15">
        <f t="shared" ref="I390:I453" si="41">H390*D390</f>
        <v>0</v>
      </c>
      <c r="J390" s="20"/>
      <c r="K390" s="15"/>
      <c r="L390" s="15">
        <f t="shared" si="36"/>
        <v>0</v>
      </c>
      <c r="M390" s="16"/>
      <c r="N390" s="16"/>
      <c r="O390" s="15">
        <f t="shared" si="37"/>
        <v>0</v>
      </c>
      <c r="P390" s="15">
        <f t="shared" si="38"/>
        <v>0</v>
      </c>
      <c r="Q390" s="15">
        <f t="shared" si="39"/>
        <v>0</v>
      </c>
      <c r="R390" s="17">
        <v>1536</v>
      </c>
    </row>
    <row r="391" spans="1:18" ht="16.5" x14ac:dyDescent="0.25">
      <c r="A391" s="12">
        <v>1537</v>
      </c>
      <c r="B391" s="13" t="s">
        <v>350</v>
      </c>
      <c r="C391" s="13" t="s">
        <v>54</v>
      </c>
      <c r="D391" s="19"/>
      <c r="E391" s="15">
        <v>6400</v>
      </c>
      <c r="F391" s="15">
        <v>400</v>
      </c>
      <c r="G391" s="15">
        <v>400</v>
      </c>
      <c r="H391" s="15">
        <f t="shared" si="40"/>
        <v>7200</v>
      </c>
      <c r="I391" s="15">
        <f t="shared" si="41"/>
        <v>0</v>
      </c>
      <c r="J391" s="16"/>
      <c r="K391" s="15"/>
      <c r="L391" s="15">
        <f t="shared" si="36"/>
        <v>0</v>
      </c>
      <c r="M391" s="16"/>
      <c r="N391" s="16"/>
      <c r="O391" s="15">
        <f t="shared" si="37"/>
        <v>0</v>
      </c>
      <c r="P391" s="15">
        <f t="shared" si="38"/>
        <v>0</v>
      </c>
      <c r="Q391" s="15">
        <f t="shared" si="39"/>
        <v>0</v>
      </c>
      <c r="R391" s="17">
        <v>1537</v>
      </c>
    </row>
    <row r="392" spans="1:18" ht="16.5" x14ac:dyDescent="0.25">
      <c r="A392" s="12">
        <v>1538</v>
      </c>
      <c r="B392" s="13" t="s">
        <v>351</v>
      </c>
      <c r="C392" s="13" t="s">
        <v>43</v>
      </c>
      <c r="D392" s="16">
        <v>132</v>
      </c>
      <c r="E392" s="15">
        <v>6400</v>
      </c>
      <c r="F392" s="15">
        <v>600</v>
      </c>
      <c r="G392" s="15">
        <v>400</v>
      </c>
      <c r="H392" s="15">
        <f t="shared" si="40"/>
        <v>7400</v>
      </c>
      <c r="I392" s="15">
        <f t="shared" si="41"/>
        <v>976800</v>
      </c>
      <c r="J392" s="16"/>
      <c r="K392" s="15">
        <v>600000</v>
      </c>
      <c r="L392" s="15">
        <f t="shared" si="36"/>
        <v>2640</v>
      </c>
      <c r="M392" s="16"/>
      <c r="N392" s="16"/>
      <c r="O392" s="15">
        <f t="shared" si="37"/>
        <v>33000</v>
      </c>
      <c r="P392" s="15">
        <f t="shared" si="38"/>
        <v>635640</v>
      </c>
      <c r="Q392" s="15">
        <f t="shared" si="39"/>
        <v>341160</v>
      </c>
      <c r="R392" s="17">
        <v>1538</v>
      </c>
    </row>
    <row r="393" spans="1:18" ht="16.5" x14ac:dyDescent="0.25">
      <c r="A393" s="12">
        <v>1540</v>
      </c>
      <c r="B393" s="13" t="s">
        <v>352</v>
      </c>
      <c r="C393" s="13" t="s">
        <v>25</v>
      </c>
      <c r="D393" s="16"/>
      <c r="E393" s="15">
        <v>6400</v>
      </c>
      <c r="F393" s="15">
        <v>400</v>
      </c>
      <c r="G393" s="15">
        <v>400</v>
      </c>
      <c r="H393" s="15">
        <f t="shared" si="40"/>
        <v>7200</v>
      </c>
      <c r="I393" s="15">
        <f t="shared" si="41"/>
        <v>0</v>
      </c>
      <c r="J393" s="16"/>
      <c r="K393" s="15"/>
      <c r="L393" s="15">
        <f t="shared" si="36"/>
        <v>0</v>
      </c>
      <c r="M393" s="16"/>
      <c r="N393" s="16"/>
      <c r="O393" s="15">
        <f t="shared" si="37"/>
        <v>0</v>
      </c>
      <c r="P393" s="15">
        <f t="shared" si="38"/>
        <v>0</v>
      </c>
      <c r="Q393" s="15">
        <f t="shared" si="39"/>
        <v>0</v>
      </c>
      <c r="R393" s="17">
        <v>1540</v>
      </c>
    </row>
    <row r="394" spans="1:18" ht="16.5" x14ac:dyDescent="0.25">
      <c r="A394" s="12">
        <v>1542</v>
      </c>
      <c r="B394" s="13" t="s">
        <v>214</v>
      </c>
      <c r="C394" s="13" t="s">
        <v>25</v>
      </c>
      <c r="D394" s="16">
        <v>64</v>
      </c>
      <c r="E394" s="15">
        <v>6400</v>
      </c>
      <c r="F394" s="15">
        <v>500</v>
      </c>
      <c r="G394" s="15">
        <v>400</v>
      </c>
      <c r="H394" s="15">
        <f t="shared" si="40"/>
        <v>7300</v>
      </c>
      <c r="I394" s="15">
        <f t="shared" si="41"/>
        <v>467200</v>
      </c>
      <c r="J394" s="16"/>
      <c r="K394" s="15">
        <v>200000</v>
      </c>
      <c r="L394" s="15">
        <f t="shared" si="36"/>
        <v>1280</v>
      </c>
      <c r="M394" s="16"/>
      <c r="N394" s="16"/>
      <c r="O394" s="15">
        <f t="shared" si="37"/>
        <v>16000</v>
      </c>
      <c r="P394" s="15">
        <f t="shared" si="38"/>
        <v>217280</v>
      </c>
      <c r="Q394" s="15">
        <f t="shared" si="39"/>
        <v>249920</v>
      </c>
      <c r="R394" s="17">
        <v>1542</v>
      </c>
    </row>
    <row r="395" spans="1:18" ht="16.5" x14ac:dyDescent="0.25">
      <c r="A395" s="12">
        <v>1543</v>
      </c>
      <c r="B395" s="13" t="s">
        <v>353</v>
      </c>
      <c r="C395" s="13" t="s">
        <v>82</v>
      </c>
      <c r="D395" s="16">
        <v>237</v>
      </c>
      <c r="E395" s="15">
        <v>6400</v>
      </c>
      <c r="F395" s="15">
        <v>600</v>
      </c>
      <c r="G395" s="15">
        <v>400</v>
      </c>
      <c r="H395" s="15">
        <f t="shared" si="40"/>
        <v>7400</v>
      </c>
      <c r="I395" s="15">
        <f t="shared" si="41"/>
        <v>1753800</v>
      </c>
      <c r="J395" s="16"/>
      <c r="K395" s="15">
        <v>400000</v>
      </c>
      <c r="L395" s="15">
        <f t="shared" si="36"/>
        <v>4740</v>
      </c>
      <c r="M395" s="16"/>
      <c r="N395" s="16"/>
      <c r="O395" s="15">
        <f t="shared" si="37"/>
        <v>59250</v>
      </c>
      <c r="P395" s="15">
        <f t="shared" si="38"/>
        <v>463990</v>
      </c>
      <c r="Q395" s="15">
        <f t="shared" si="39"/>
        <v>1289810</v>
      </c>
      <c r="R395" s="17">
        <v>1543</v>
      </c>
    </row>
    <row r="396" spans="1:18" ht="16.5" x14ac:dyDescent="0.25">
      <c r="A396" s="12">
        <v>1544</v>
      </c>
      <c r="B396" s="13" t="s">
        <v>354</v>
      </c>
      <c r="C396" s="13" t="s">
        <v>188</v>
      </c>
      <c r="D396" s="16">
        <v>166</v>
      </c>
      <c r="E396" s="15">
        <v>6400</v>
      </c>
      <c r="F396" s="15">
        <v>500</v>
      </c>
      <c r="G396" s="15">
        <v>400</v>
      </c>
      <c r="H396" s="15">
        <f t="shared" si="40"/>
        <v>7300</v>
      </c>
      <c r="I396" s="15">
        <f t="shared" si="41"/>
        <v>1211800</v>
      </c>
      <c r="J396" s="16"/>
      <c r="K396" s="15"/>
      <c r="L396" s="15">
        <f t="shared" si="36"/>
        <v>3320</v>
      </c>
      <c r="M396" s="16"/>
      <c r="N396" s="16"/>
      <c r="O396" s="15">
        <f t="shared" si="37"/>
        <v>41500</v>
      </c>
      <c r="P396" s="15">
        <f t="shared" si="38"/>
        <v>44820</v>
      </c>
      <c r="Q396" s="15">
        <f t="shared" si="39"/>
        <v>1166980</v>
      </c>
      <c r="R396" s="17">
        <v>1544</v>
      </c>
    </row>
    <row r="397" spans="1:18" ht="16.5" x14ac:dyDescent="0.25">
      <c r="A397" s="12">
        <v>1545</v>
      </c>
      <c r="B397" s="13" t="s">
        <v>355</v>
      </c>
      <c r="C397" s="13" t="s">
        <v>43</v>
      </c>
      <c r="D397" s="16"/>
      <c r="E397" s="15">
        <v>6400</v>
      </c>
      <c r="F397" s="15">
        <v>300</v>
      </c>
      <c r="G397" s="15">
        <v>400</v>
      </c>
      <c r="H397" s="15">
        <f t="shared" si="40"/>
        <v>7100</v>
      </c>
      <c r="I397" s="15">
        <f t="shared" si="41"/>
        <v>0</v>
      </c>
      <c r="J397" s="16"/>
      <c r="K397" s="15"/>
      <c r="L397" s="15">
        <f t="shared" si="36"/>
        <v>0</v>
      </c>
      <c r="M397" s="16"/>
      <c r="N397" s="16"/>
      <c r="O397" s="15">
        <f t="shared" si="37"/>
        <v>0</v>
      </c>
      <c r="P397" s="15">
        <f t="shared" si="38"/>
        <v>0</v>
      </c>
      <c r="Q397" s="15">
        <f t="shared" si="39"/>
        <v>0</v>
      </c>
      <c r="R397" s="17">
        <v>1545</v>
      </c>
    </row>
    <row r="398" spans="1:18" ht="16.5" x14ac:dyDescent="0.25">
      <c r="A398" s="12">
        <v>1547</v>
      </c>
      <c r="B398" s="13" t="s">
        <v>356</v>
      </c>
      <c r="C398" s="13" t="s">
        <v>47</v>
      </c>
      <c r="D398" s="16"/>
      <c r="E398" s="15">
        <v>6400</v>
      </c>
      <c r="F398" s="15">
        <v>400</v>
      </c>
      <c r="G398" s="15">
        <v>400</v>
      </c>
      <c r="H398" s="15">
        <f t="shared" si="40"/>
        <v>7200</v>
      </c>
      <c r="I398" s="15">
        <f t="shared" si="41"/>
        <v>0</v>
      </c>
      <c r="J398" s="16"/>
      <c r="K398" s="15"/>
      <c r="L398" s="15">
        <f t="shared" si="36"/>
        <v>0</v>
      </c>
      <c r="M398" s="16"/>
      <c r="N398" s="16"/>
      <c r="O398" s="15">
        <f t="shared" si="37"/>
        <v>0</v>
      </c>
      <c r="P398" s="15">
        <f t="shared" si="38"/>
        <v>0</v>
      </c>
      <c r="Q398" s="15">
        <f t="shared" si="39"/>
        <v>0</v>
      </c>
      <c r="R398" s="17">
        <v>1547</v>
      </c>
    </row>
    <row r="399" spans="1:18" ht="16.5" x14ac:dyDescent="0.25">
      <c r="A399" s="12">
        <v>1548</v>
      </c>
      <c r="B399" s="13" t="s">
        <v>357</v>
      </c>
      <c r="C399" s="13" t="s">
        <v>25</v>
      </c>
      <c r="D399" s="16"/>
      <c r="E399" s="15">
        <v>6400</v>
      </c>
      <c r="F399" s="15">
        <v>300</v>
      </c>
      <c r="G399" s="15">
        <v>400</v>
      </c>
      <c r="H399" s="15">
        <f t="shared" si="40"/>
        <v>7100</v>
      </c>
      <c r="I399" s="15">
        <f t="shared" si="41"/>
        <v>0</v>
      </c>
      <c r="J399" s="15"/>
      <c r="K399" s="15"/>
      <c r="L399" s="15">
        <f t="shared" si="36"/>
        <v>0</v>
      </c>
      <c r="M399" s="16"/>
      <c r="N399" s="16"/>
      <c r="O399" s="15">
        <f t="shared" si="37"/>
        <v>0</v>
      </c>
      <c r="P399" s="15">
        <f t="shared" si="38"/>
        <v>0</v>
      </c>
      <c r="Q399" s="15">
        <f t="shared" si="39"/>
        <v>0</v>
      </c>
      <c r="R399" s="17">
        <v>1548</v>
      </c>
    </row>
    <row r="400" spans="1:18" ht="16.5" x14ac:dyDescent="0.25">
      <c r="A400" s="12">
        <v>1549</v>
      </c>
      <c r="B400" s="13" t="s">
        <v>358</v>
      </c>
      <c r="C400" s="13" t="s">
        <v>25</v>
      </c>
      <c r="D400" s="16">
        <v>134</v>
      </c>
      <c r="E400" s="15">
        <v>6400</v>
      </c>
      <c r="F400" s="15">
        <v>400</v>
      </c>
      <c r="G400" s="15">
        <v>400</v>
      </c>
      <c r="H400" s="15">
        <f t="shared" si="40"/>
        <v>7200</v>
      </c>
      <c r="I400" s="15">
        <f t="shared" si="41"/>
        <v>964800</v>
      </c>
      <c r="J400" s="16"/>
      <c r="K400" s="15">
        <v>100000</v>
      </c>
      <c r="L400" s="15">
        <f t="shared" si="36"/>
        <v>2680</v>
      </c>
      <c r="M400" s="16"/>
      <c r="N400" s="16"/>
      <c r="O400" s="15">
        <f t="shared" si="37"/>
        <v>33500</v>
      </c>
      <c r="P400" s="15">
        <f t="shared" si="38"/>
        <v>136180</v>
      </c>
      <c r="Q400" s="15">
        <f t="shared" si="39"/>
        <v>828620</v>
      </c>
      <c r="R400" s="17">
        <v>1549</v>
      </c>
    </row>
    <row r="401" spans="1:18" ht="16.5" x14ac:dyDescent="0.25">
      <c r="A401" s="12">
        <v>1551</v>
      </c>
      <c r="B401" s="13" t="s">
        <v>359</v>
      </c>
      <c r="C401" s="13" t="s">
        <v>360</v>
      </c>
      <c r="D401" s="16"/>
      <c r="E401" s="15">
        <v>6400</v>
      </c>
      <c r="F401" s="15">
        <v>300</v>
      </c>
      <c r="G401" s="15">
        <v>400</v>
      </c>
      <c r="H401" s="15">
        <f t="shared" si="40"/>
        <v>7100</v>
      </c>
      <c r="I401" s="15">
        <f t="shared" si="41"/>
        <v>0</v>
      </c>
      <c r="J401" s="16"/>
      <c r="K401" s="15"/>
      <c r="L401" s="15">
        <f t="shared" si="36"/>
        <v>0</v>
      </c>
      <c r="M401" s="16"/>
      <c r="N401" s="16"/>
      <c r="O401" s="15">
        <f t="shared" si="37"/>
        <v>0</v>
      </c>
      <c r="P401" s="15">
        <f t="shared" si="38"/>
        <v>0</v>
      </c>
      <c r="Q401" s="15">
        <f t="shared" si="39"/>
        <v>0</v>
      </c>
      <c r="R401" s="17">
        <v>1551</v>
      </c>
    </row>
    <row r="402" spans="1:18" ht="16.5" x14ac:dyDescent="0.25">
      <c r="A402" s="12">
        <v>1552</v>
      </c>
      <c r="B402" s="13" t="s">
        <v>361</v>
      </c>
      <c r="C402" s="13" t="s">
        <v>25</v>
      </c>
      <c r="D402" s="16"/>
      <c r="E402" s="15">
        <v>6400</v>
      </c>
      <c r="F402" s="15">
        <v>300</v>
      </c>
      <c r="G402" s="15">
        <v>400</v>
      </c>
      <c r="H402" s="15">
        <f t="shared" si="40"/>
        <v>7100</v>
      </c>
      <c r="I402" s="15">
        <f t="shared" si="41"/>
        <v>0</v>
      </c>
      <c r="J402" s="16"/>
      <c r="K402" s="15"/>
      <c r="L402" s="15">
        <f t="shared" si="36"/>
        <v>0</v>
      </c>
      <c r="M402" s="16"/>
      <c r="N402" s="16"/>
      <c r="O402" s="15">
        <f t="shared" si="37"/>
        <v>0</v>
      </c>
      <c r="P402" s="15">
        <f t="shared" si="38"/>
        <v>0</v>
      </c>
      <c r="Q402" s="15">
        <f t="shared" si="39"/>
        <v>0</v>
      </c>
      <c r="R402" s="17">
        <v>1552</v>
      </c>
    </row>
    <row r="403" spans="1:18" ht="16.5" x14ac:dyDescent="0.25">
      <c r="A403" s="12">
        <v>1570</v>
      </c>
      <c r="B403" s="13" t="s">
        <v>50</v>
      </c>
      <c r="C403" s="13" t="s">
        <v>25</v>
      </c>
      <c r="D403" s="16"/>
      <c r="E403" s="15">
        <v>6400</v>
      </c>
      <c r="F403" s="15">
        <v>300</v>
      </c>
      <c r="G403" s="15">
        <v>400</v>
      </c>
      <c r="H403" s="15">
        <f t="shared" si="40"/>
        <v>7100</v>
      </c>
      <c r="I403" s="15">
        <f t="shared" si="41"/>
        <v>0</v>
      </c>
      <c r="J403" s="16"/>
      <c r="K403" s="15"/>
      <c r="L403" s="15">
        <f t="shared" si="36"/>
        <v>0</v>
      </c>
      <c r="M403" s="16"/>
      <c r="N403" s="16"/>
      <c r="O403" s="15">
        <f t="shared" si="37"/>
        <v>0</v>
      </c>
      <c r="P403" s="15">
        <f t="shared" si="38"/>
        <v>0</v>
      </c>
      <c r="Q403" s="15">
        <f t="shared" si="39"/>
        <v>0</v>
      </c>
      <c r="R403" s="17">
        <v>1570</v>
      </c>
    </row>
    <row r="404" spans="1:18" ht="16.5" x14ac:dyDescent="0.25">
      <c r="A404" s="12">
        <v>1571</v>
      </c>
      <c r="B404" s="13" t="s">
        <v>362</v>
      </c>
      <c r="C404" s="13" t="s">
        <v>25</v>
      </c>
      <c r="D404" s="16"/>
      <c r="E404" s="15">
        <v>6400</v>
      </c>
      <c r="F404" s="15">
        <v>400</v>
      </c>
      <c r="G404" s="15">
        <v>400</v>
      </c>
      <c r="H404" s="15">
        <f t="shared" si="40"/>
        <v>7200</v>
      </c>
      <c r="I404" s="15">
        <f t="shared" si="41"/>
        <v>0</v>
      </c>
      <c r="J404" s="16"/>
      <c r="K404" s="15"/>
      <c r="L404" s="15">
        <f t="shared" si="36"/>
        <v>0</v>
      </c>
      <c r="M404" s="16"/>
      <c r="N404" s="16"/>
      <c r="O404" s="15">
        <f t="shared" si="37"/>
        <v>0</v>
      </c>
      <c r="P404" s="15">
        <f t="shared" si="38"/>
        <v>0</v>
      </c>
      <c r="Q404" s="15">
        <f t="shared" si="39"/>
        <v>0</v>
      </c>
      <c r="R404" s="17">
        <v>1571</v>
      </c>
    </row>
    <row r="405" spans="1:18" ht="16.5" x14ac:dyDescent="0.25">
      <c r="A405" s="12">
        <v>1572</v>
      </c>
      <c r="B405" s="13" t="s">
        <v>363</v>
      </c>
      <c r="C405" s="13" t="s">
        <v>25</v>
      </c>
      <c r="D405" s="16">
        <v>259</v>
      </c>
      <c r="E405" s="15">
        <v>6400</v>
      </c>
      <c r="F405" s="15">
        <v>500</v>
      </c>
      <c r="G405" s="15">
        <v>400</v>
      </c>
      <c r="H405" s="15">
        <f t="shared" si="40"/>
        <v>7300</v>
      </c>
      <c r="I405" s="15">
        <f t="shared" si="41"/>
        <v>1890700</v>
      </c>
      <c r="J405" s="16"/>
      <c r="K405" s="15">
        <v>400000</v>
      </c>
      <c r="L405" s="15">
        <f t="shared" si="36"/>
        <v>5180</v>
      </c>
      <c r="M405" s="16"/>
      <c r="N405" s="16"/>
      <c r="O405" s="15">
        <f t="shared" si="37"/>
        <v>64750</v>
      </c>
      <c r="P405" s="15">
        <f t="shared" si="38"/>
        <v>469930</v>
      </c>
      <c r="Q405" s="15">
        <f t="shared" si="39"/>
        <v>1420770</v>
      </c>
      <c r="R405" s="17">
        <v>1572</v>
      </c>
    </row>
    <row r="406" spans="1:18" ht="16.5" x14ac:dyDescent="0.25">
      <c r="A406" s="12">
        <v>1573</v>
      </c>
      <c r="B406" s="13" t="s">
        <v>229</v>
      </c>
      <c r="C406" s="13" t="s">
        <v>36</v>
      </c>
      <c r="D406" s="16">
        <v>179</v>
      </c>
      <c r="E406" s="15">
        <v>6400</v>
      </c>
      <c r="F406" s="15">
        <v>400</v>
      </c>
      <c r="G406" s="15">
        <v>400</v>
      </c>
      <c r="H406" s="15">
        <f t="shared" si="40"/>
        <v>7200</v>
      </c>
      <c r="I406" s="15">
        <f t="shared" si="41"/>
        <v>1288800</v>
      </c>
      <c r="J406" s="16"/>
      <c r="K406" s="15"/>
      <c r="L406" s="15">
        <f t="shared" si="36"/>
        <v>3580</v>
      </c>
      <c r="M406" s="16"/>
      <c r="N406" s="16"/>
      <c r="O406" s="15">
        <f t="shared" si="37"/>
        <v>44750</v>
      </c>
      <c r="P406" s="15">
        <f t="shared" si="38"/>
        <v>48330</v>
      </c>
      <c r="Q406" s="15">
        <f t="shared" si="39"/>
        <v>1240470</v>
      </c>
      <c r="R406" s="17">
        <v>1573</v>
      </c>
    </row>
    <row r="407" spans="1:18" ht="16.5" x14ac:dyDescent="0.25">
      <c r="A407" s="12">
        <v>1574</v>
      </c>
      <c r="B407" s="13" t="s">
        <v>364</v>
      </c>
      <c r="C407" s="13" t="s">
        <v>36</v>
      </c>
      <c r="D407" s="16"/>
      <c r="E407" s="15">
        <v>6400</v>
      </c>
      <c r="F407" s="15">
        <v>300</v>
      </c>
      <c r="G407" s="15">
        <v>400</v>
      </c>
      <c r="H407" s="15">
        <f t="shared" si="40"/>
        <v>7100</v>
      </c>
      <c r="I407" s="15">
        <f t="shared" si="41"/>
        <v>0</v>
      </c>
      <c r="J407" s="16"/>
      <c r="K407" s="15"/>
      <c r="L407" s="15">
        <f t="shared" si="36"/>
        <v>0</v>
      </c>
      <c r="M407" s="16"/>
      <c r="N407" s="16"/>
      <c r="O407" s="15">
        <f t="shared" si="37"/>
        <v>0</v>
      </c>
      <c r="P407" s="15">
        <f t="shared" si="38"/>
        <v>0</v>
      </c>
      <c r="Q407" s="15">
        <f t="shared" si="39"/>
        <v>0</v>
      </c>
      <c r="R407" s="17">
        <v>1574</v>
      </c>
    </row>
    <row r="408" spans="1:18" ht="16.5" x14ac:dyDescent="0.25">
      <c r="A408" s="12">
        <v>1575</v>
      </c>
      <c r="B408" s="13" t="s">
        <v>365</v>
      </c>
      <c r="C408" s="13" t="s">
        <v>30</v>
      </c>
      <c r="D408" s="16"/>
      <c r="E408" s="15">
        <v>6400</v>
      </c>
      <c r="F408" s="15">
        <v>300</v>
      </c>
      <c r="G408" s="15">
        <v>400</v>
      </c>
      <c r="H408" s="15">
        <f t="shared" si="40"/>
        <v>7100</v>
      </c>
      <c r="I408" s="15">
        <f t="shared" si="41"/>
        <v>0</v>
      </c>
      <c r="J408" s="16"/>
      <c r="K408" s="15"/>
      <c r="L408" s="15">
        <f t="shared" si="36"/>
        <v>0</v>
      </c>
      <c r="M408" s="16"/>
      <c r="N408" s="16"/>
      <c r="O408" s="15">
        <f t="shared" si="37"/>
        <v>0</v>
      </c>
      <c r="P408" s="15">
        <f t="shared" si="38"/>
        <v>0</v>
      </c>
      <c r="Q408" s="15">
        <f t="shared" si="39"/>
        <v>0</v>
      </c>
      <c r="R408" s="17">
        <v>1575</v>
      </c>
    </row>
    <row r="409" spans="1:18" ht="16.5" x14ac:dyDescent="0.25">
      <c r="A409" s="12">
        <v>1576</v>
      </c>
      <c r="B409" s="13" t="s">
        <v>366</v>
      </c>
      <c r="C409" s="13" t="s">
        <v>25</v>
      </c>
      <c r="D409" s="16">
        <v>125</v>
      </c>
      <c r="E409" s="15">
        <v>6400</v>
      </c>
      <c r="F409" s="15">
        <v>400</v>
      </c>
      <c r="G409" s="15">
        <v>400</v>
      </c>
      <c r="H409" s="15">
        <f t="shared" si="40"/>
        <v>7200</v>
      </c>
      <c r="I409" s="15">
        <f t="shared" si="41"/>
        <v>900000</v>
      </c>
      <c r="J409" s="16"/>
      <c r="K409" s="15">
        <v>200000</v>
      </c>
      <c r="L409" s="15">
        <f t="shared" si="36"/>
        <v>2500</v>
      </c>
      <c r="M409" s="16"/>
      <c r="N409" s="16"/>
      <c r="O409" s="15">
        <f t="shared" si="37"/>
        <v>31250</v>
      </c>
      <c r="P409" s="15">
        <f t="shared" si="38"/>
        <v>233750</v>
      </c>
      <c r="Q409" s="15">
        <f t="shared" si="39"/>
        <v>666250</v>
      </c>
      <c r="R409" s="17">
        <v>1576</v>
      </c>
    </row>
    <row r="410" spans="1:18" ht="16.5" x14ac:dyDescent="0.25">
      <c r="A410" s="12">
        <v>1577</v>
      </c>
      <c r="B410" s="13" t="s">
        <v>101</v>
      </c>
      <c r="C410" s="13" t="s">
        <v>47</v>
      </c>
      <c r="D410" s="16">
        <v>312</v>
      </c>
      <c r="E410" s="15">
        <v>6400</v>
      </c>
      <c r="F410" s="15">
        <v>600</v>
      </c>
      <c r="G410" s="15">
        <v>400</v>
      </c>
      <c r="H410" s="15">
        <f t="shared" si="40"/>
        <v>7400</v>
      </c>
      <c r="I410" s="15">
        <f t="shared" si="41"/>
        <v>2308800</v>
      </c>
      <c r="J410" s="16"/>
      <c r="K410" s="15">
        <v>1000000</v>
      </c>
      <c r="L410" s="15">
        <f t="shared" si="36"/>
        <v>6240</v>
      </c>
      <c r="M410" s="16"/>
      <c r="N410" s="16"/>
      <c r="O410" s="15">
        <f t="shared" si="37"/>
        <v>78000</v>
      </c>
      <c r="P410" s="15">
        <f t="shared" si="38"/>
        <v>1084240</v>
      </c>
      <c r="Q410" s="15">
        <f t="shared" si="39"/>
        <v>1224560</v>
      </c>
      <c r="R410" s="17">
        <v>1577</v>
      </c>
    </row>
    <row r="411" spans="1:18" ht="16.5" x14ac:dyDescent="0.25">
      <c r="A411" s="12">
        <v>1578</v>
      </c>
      <c r="B411" s="13" t="s">
        <v>215</v>
      </c>
      <c r="C411" s="13" t="s">
        <v>17</v>
      </c>
      <c r="D411" s="29"/>
      <c r="E411" s="15">
        <v>6400</v>
      </c>
      <c r="F411" s="15">
        <v>300</v>
      </c>
      <c r="G411" s="15">
        <v>400</v>
      </c>
      <c r="H411" s="15">
        <f t="shared" si="40"/>
        <v>7100</v>
      </c>
      <c r="I411" s="15">
        <f t="shared" si="41"/>
        <v>0</v>
      </c>
      <c r="J411" s="33"/>
      <c r="K411" s="15"/>
      <c r="L411" s="15">
        <f t="shared" si="36"/>
        <v>0</v>
      </c>
      <c r="M411" s="16"/>
      <c r="N411" s="16"/>
      <c r="O411" s="15">
        <f t="shared" si="37"/>
        <v>0</v>
      </c>
      <c r="P411" s="15">
        <f t="shared" si="38"/>
        <v>0</v>
      </c>
      <c r="Q411" s="15">
        <f t="shared" si="39"/>
        <v>0</v>
      </c>
      <c r="R411" s="17">
        <v>1578</v>
      </c>
    </row>
    <row r="412" spans="1:18" ht="16.5" x14ac:dyDescent="0.25">
      <c r="A412" s="12">
        <v>1579</v>
      </c>
      <c r="B412" s="13" t="s">
        <v>367</v>
      </c>
      <c r="C412" s="13" t="s">
        <v>25</v>
      </c>
      <c r="D412" s="16"/>
      <c r="E412" s="15">
        <v>6400</v>
      </c>
      <c r="F412" s="15">
        <v>300</v>
      </c>
      <c r="G412" s="15">
        <v>400</v>
      </c>
      <c r="H412" s="15">
        <f t="shared" si="40"/>
        <v>7100</v>
      </c>
      <c r="I412" s="15">
        <f t="shared" si="41"/>
        <v>0</v>
      </c>
      <c r="J412" s="16"/>
      <c r="K412" s="15"/>
      <c r="L412" s="15">
        <f t="shared" si="36"/>
        <v>0</v>
      </c>
      <c r="M412" s="16"/>
      <c r="N412" s="16"/>
      <c r="O412" s="15">
        <f t="shared" si="37"/>
        <v>0</v>
      </c>
      <c r="P412" s="15">
        <f t="shared" si="38"/>
        <v>0</v>
      </c>
      <c r="Q412" s="15">
        <f t="shared" si="39"/>
        <v>0</v>
      </c>
      <c r="R412" s="17">
        <v>1579</v>
      </c>
    </row>
    <row r="413" spans="1:18" ht="16.5" x14ac:dyDescent="0.25">
      <c r="A413" s="12">
        <v>1580</v>
      </c>
      <c r="B413" s="13" t="s">
        <v>365</v>
      </c>
      <c r="C413" s="13" t="s">
        <v>17</v>
      </c>
      <c r="D413" s="16"/>
      <c r="E413" s="15">
        <v>6400</v>
      </c>
      <c r="F413" s="15">
        <v>300</v>
      </c>
      <c r="G413" s="15">
        <v>400</v>
      </c>
      <c r="H413" s="15">
        <f t="shared" si="40"/>
        <v>7100</v>
      </c>
      <c r="I413" s="15">
        <f t="shared" si="41"/>
        <v>0</v>
      </c>
      <c r="J413" s="16"/>
      <c r="K413" s="15"/>
      <c r="L413" s="15">
        <f t="shared" si="36"/>
        <v>0</v>
      </c>
      <c r="M413" s="16"/>
      <c r="N413" s="16"/>
      <c r="O413" s="15">
        <f t="shared" si="37"/>
        <v>0</v>
      </c>
      <c r="P413" s="15">
        <f t="shared" si="38"/>
        <v>0</v>
      </c>
      <c r="Q413" s="15">
        <f t="shared" si="39"/>
        <v>0</v>
      </c>
      <c r="R413" s="17">
        <v>1580</v>
      </c>
    </row>
    <row r="414" spans="1:18" ht="16.5" x14ac:dyDescent="0.25">
      <c r="A414" s="12">
        <v>1581</v>
      </c>
      <c r="B414" s="13" t="s">
        <v>368</v>
      </c>
      <c r="C414" s="13" t="s">
        <v>30</v>
      </c>
      <c r="D414" s="16"/>
      <c r="E414" s="15">
        <v>6400</v>
      </c>
      <c r="F414" s="15">
        <v>400</v>
      </c>
      <c r="G414" s="15">
        <v>400</v>
      </c>
      <c r="H414" s="15">
        <f t="shared" si="40"/>
        <v>7200</v>
      </c>
      <c r="I414" s="15">
        <f t="shared" si="41"/>
        <v>0</v>
      </c>
      <c r="J414" s="16"/>
      <c r="K414" s="15"/>
      <c r="L414" s="15">
        <f t="shared" si="36"/>
        <v>0</v>
      </c>
      <c r="M414" s="16"/>
      <c r="N414" s="16"/>
      <c r="O414" s="15">
        <f t="shared" si="37"/>
        <v>0</v>
      </c>
      <c r="P414" s="15">
        <f t="shared" si="38"/>
        <v>0</v>
      </c>
      <c r="Q414" s="15">
        <f t="shared" si="39"/>
        <v>0</v>
      </c>
      <c r="R414" s="17">
        <v>1581</v>
      </c>
    </row>
    <row r="415" spans="1:18" ht="16.5" x14ac:dyDescent="0.25">
      <c r="A415" s="12">
        <v>1582</v>
      </c>
      <c r="B415" s="13" t="s">
        <v>232</v>
      </c>
      <c r="C415" s="13" t="s">
        <v>16</v>
      </c>
      <c r="D415" s="16"/>
      <c r="E415" s="15">
        <v>6400</v>
      </c>
      <c r="F415" s="15">
        <v>300</v>
      </c>
      <c r="G415" s="15">
        <v>400</v>
      </c>
      <c r="H415" s="15">
        <f t="shared" si="40"/>
        <v>7100</v>
      </c>
      <c r="I415" s="15">
        <f t="shared" si="41"/>
        <v>0</v>
      </c>
      <c r="J415" s="16"/>
      <c r="K415" s="15"/>
      <c r="L415" s="15">
        <f t="shared" si="36"/>
        <v>0</v>
      </c>
      <c r="M415" s="16"/>
      <c r="N415" s="16"/>
      <c r="O415" s="15">
        <f t="shared" si="37"/>
        <v>0</v>
      </c>
      <c r="P415" s="15">
        <f t="shared" si="38"/>
        <v>0</v>
      </c>
      <c r="Q415" s="15">
        <f t="shared" si="39"/>
        <v>0</v>
      </c>
      <c r="R415" s="17">
        <v>1582</v>
      </c>
    </row>
    <row r="416" spans="1:18" ht="16.5" x14ac:dyDescent="0.25">
      <c r="A416" s="12">
        <v>1584</v>
      </c>
      <c r="B416" s="13" t="s">
        <v>369</v>
      </c>
      <c r="C416" s="13" t="s">
        <v>21</v>
      </c>
      <c r="D416" s="20"/>
      <c r="E416" s="15">
        <v>6400</v>
      </c>
      <c r="F416" s="15">
        <v>400</v>
      </c>
      <c r="G416" s="15">
        <v>400</v>
      </c>
      <c r="H416" s="15">
        <f t="shared" si="40"/>
        <v>7200</v>
      </c>
      <c r="I416" s="15">
        <f t="shared" si="41"/>
        <v>0</v>
      </c>
      <c r="J416" s="16"/>
      <c r="K416" s="15"/>
      <c r="L416" s="15">
        <f t="shared" si="36"/>
        <v>0</v>
      </c>
      <c r="M416" s="16"/>
      <c r="N416" s="16"/>
      <c r="O416" s="15">
        <f t="shared" si="37"/>
        <v>0</v>
      </c>
      <c r="P416" s="15">
        <f t="shared" si="38"/>
        <v>0</v>
      </c>
      <c r="Q416" s="15">
        <f t="shared" si="39"/>
        <v>0</v>
      </c>
      <c r="R416" s="17">
        <v>1584</v>
      </c>
    </row>
    <row r="417" spans="1:18" ht="16.5" x14ac:dyDescent="0.25">
      <c r="A417" s="12">
        <v>1585</v>
      </c>
      <c r="B417" s="13" t="s">
        <v>370</v>
      </c>
      <c r="C417" s="13" t="s">
        <v>25</v>
      </c>
      <c r="D417" s="20"/>
      <c r="E417" s="15">
        <v>6400</v>
      </c>
      <c r="F417" s="15">
        <v>300</v>
      </c>
      <c r="G417" s="15">
        <v>400</v>
      </c>
      <c r="H417" s="15">
        <f t="shared" si="40"/>
        <v>7100</v>
      </c>
      <c r="I417" s="15">
        <f t="shared" si="41"/>
        <v>0</v>
      </c>
      <c r="J417" s="16"/>
      <c r="K417" s="15"/>
      <c r="L417" s="15">
        <f t="shared" si="36"/>
        <v>0</v>
      </c>
      <c r="M417" s="16"/>
      <c r="N417" s="16"/>
      <c r="O417" s="15">
        <f t="shared" si="37"/>
        <v>0</v>
      </c>
      <c r="P417" s="15">
        <f t="shared" si="38"/>
        <v>0</v>
      </c>
      <c r="Q417" s="15">
        <f t="shared" si="39"/>
        <v>0</v>
      </c>
      <c r="R417" s="17">
        <v>1585</v>
      </c>
    </row>
    <row r="418" spans="1:18" ht="16.5" x14ac:dyDescent="0.25">
      <c r="A418" s="12">
        <v>1586</v>
      </c>
      <c r="B418" s="13" t="s">
        <v>371</v>
      </c>
      <c r="C418" s="13" t="s">
        <v>17</v>
      </c>
      <c r="D418" s="20"/>
      <c r="E418" s="15">
        <v>6400</v>
      </c>
      <c r="F418" s="15">
        <v>300</v>
      </c>
      <c r="G418" s="15">
        <v>400</v>
      </c>
      <c r="H418" s="15">
        <f t="shared" si="40"/>
        <v>7100</v>
      </c>
      <c r="I418" s="15">
        <f t="shared" si="41"/>
        <v>0</v>
      </c>
      <c r="J418" s="16"/>
      <c r="K418" s="15"/>
      <c r="L418" s="15">
        <f t="shared" si="36"/>
        <v>0</v>
      </c>
      <c r="M418" s="16"/>
      <c r="N418" s="16"/>
      <c r="O418" s="15">
        <f t="shared" si="37"/>
        <v>0</v>
      </c>
      <c r="P418" s="15">
        <f t="shared" si="38"/>
        <v>0</v>
      </c>
      <c r="Q418" s="15">
        <f t="shared" si="39"/>
        <v>0</v>
      </c>
      <c r="R418" s="17">
        <v>1586</v>
      </c>
    </row>
    <row r="419" spans="1:18" ht="16.5" x14ac:dyDescent="0.25">
      <c r="A419" s="12">
        <v>1587</v>
      </c>
      <c r="B419" s="13" t="s">
        <v>372</v>
      </c>
      <c r="C419" s="13" t="s">
        <v>36</v>
      </c>
      <c r="D419" s="20">
        <v>359</v>
      </c>
      <c r="E419" s="15">
        <v>6400</v>
      </c>
      <c r="F419" s="15">
        <v>500</v>
      </c>
      <c r="G419" s="15">
        <v>400</v>
      </c>
      <c r="H419" s="15">
        <f t="shared" si="40"/>
        <v>7300</v>
      </c>
      <c r="I419" s="15">
        <f t="shared" si="41"/>
        <v>2620700</v>
      </c>
      <c r="J419" s="20"/>
      <c r="K419" s="20"/>
      <c r="L419" s="15">
        <f t="shared" si="36"/>
        <v>7180</v>
      </c>
      <c r="M419" s="16"/>
      <c r="N419" s="16"/>
      <c r="O419" s="15">
        <f t="shared" si="37"/>
        <v>89750</v>
      </c>
      <c r="P419" s="15">
        <f t="shared" si="38"/>
        <v>96930</v>
      </c>
      <c r="Q419" s="15">
        <f t="shared" si="39"/>
        <v>2523770</v>
      </c>
      <c r="R419" s="17">
        <v>1587</v>
      </c>
    </row>
    <row r="420" spans="1:18" ht="16.5" x14ac:dyDescent="0.25">
      <c r="A420" s="12">
        <v>1588</v>
      </c>
      <c r="B420" s="13" t="s">
        <v>373</v>
      </c>
      <c r="C420" s="13" t="s">
        <v>25</v>
      </c>
      <c r="D420" s="20"/>
      <c r="E420" s="15">
        <v>6400</v>
      </c>
      <c r="F420" s="15">
        <v>300</v>
      </c>
      <c r="G420" s="15">
        <v>400</v>
      </c>
      <c r="H420" s="15">
        <f t="shared" si="40"/>
        <v>7100</v>
      </c>
      <c r="I420" s="15">
        <f t="shared" si="41"/>
        <v>0</v>
      </c>
      <c r="J420" s="16"/>
      <c r="K420" s="15"/>
      <c r="L420" s="15">
        <f t="shared" si="36"/>
        <v>0</v>
      </c>
      <c r="M420" s="16"/>
      <c r="N420" s="16"/>
      <c r="O420" s="15">
        <f t="shared" si="37"/>
        <v>0</v>
      </c>
      <c r="P420" s="15">
        <f t="shared" si="38"/>
        <v>0</v>
      </c>
      <c r="Q420" s="15">
        <f t="shared" si="39"/>
        <v>0</v>
      </c>
      <c r="R420" s="17">
        <v>1588</v>
      </c>
    </row>
    <row r="421" spans="1:18" ht="16.5" x14ac:dyDescent="0.25">
      <c r="A421" s="12">
        <v>1589</v>
      </c>
      <c r="B421" s="13" t="s">
        <v>374</v>
      </c>
      <c r="C421" s="13" t="s">
        <v>82</v>
      </c>
      <c r="D421" s="20">
        <v>215</v>
      </c>
      <c r="E421" s="15">
        <v>6400</v>
      </c>
      <c r="F421" s="15">
        <v>500</v>
      </c>
      <c r="G421" s="15">
        <v>400</v>
      </c>
      <c r="H421" s="15">
        <f t="shared" si="40"/>
        <v>7300</v>
      </c>
      <c r="I421" s="15">
        <f t="shared" si="41"/>
        <v>1569500</v>
      </c>
      <c r="J421" s="16"/>
      <c r="K421" s="15"/>
      <c r="L421" s="15">
        <f t="shared" si="36"/>
        <v>4300</v>
      </c>
      <c r="M421" s="16"/>
      <c r="N421" s="16"/>
      <c r="O421" s="15">
        <f t="shared" si="37"/>
        <v>53750</v>
      </c>
      <c r="P421" s="15">
        <f t="shared" si="38"/>
        <v>58050</v>
      </c>
      <c r="Q421" s="15">
        <f t="shared" si="39"/>
        <v>1511450</v>
      </c>
      <c r="R421" s="17">
        <v>1589</v>
      </c>
    </row>
    <row r="422" spans="1:18" ht="16.5" x14ac:dyDescent="0.25">
      <c r="A422" s="12">
        <v>1590</v>
      </c>
      <c r="B422" s="13" t="s">
        <v>375</v>
      </c>
      <c r="C422" s="13" t="s">
        <v>376</v>
      </c>
      <c r="D422" s="20"/>
      <c r="E422" s="15">
        <v>6400</v>
      </c>
      <c r="F422" s="15">
        <v>400</v>
      </c>
      <c r="G422" s="15">
        <v>400</v>
      </c>
      <c r="H422" s="15">
        <f t="shared" si="40"/>
        <v>7200</v>
      </c>
      <c r="I422" s="15">
        <f t="shared" si="41"/>
        <v>0</v>
      </c>
      <c r="J422" s="16"/>
      <c r="K422" s="15"/>
      <c r="L422" s="15">
        <f t="shared" si="36"/>
        <v>0</v>
      </c>
      <c r="M422" s="16"/>
      <c r="N422" s="16"/>
      <c r="O422" s="15">
        <f t="shared" si="37"/>
        <v>0</v>
      </c>
      <c r="P422" s="15">
        <f t="shared" si="38"/>
        <v>0</v>
      </c>
      <c r="Q422" s="15">
        <f t="shared" si="39"/>
        <v>0</v>
      </c>
      <c r="R422" s="17">
        <v>1590</v>
      </c>
    </row>
    <row r="423" spans="1:18" ht="16.5" x14ac:dyDescent="0.25">
      <c r="A423" s="12">
        <v>1591</v>
      </c>
      <c r="B423" s="13" t="s">
        <v>332</v>
      </c>
      <c r="C423" s="13" t="s">
        <v>47</v>
      </c>
      <c r="D423" s="20"/>
      <c r="E423" s="15">
        <v>6400</v>
      </c>
      <c r="F423" s="15">
        <v>300</v>
      </c>
      <c r="G423" s="15">
        <v>400</v>
      </c>
      <c r="H423" s="15">
        <f t="shared" si="40"/>
        <v>7100</v>
      </c>
      <c r="I423" s="15">
        <f t="shared" si="41"/>
        <v>0</v>
      </c>
      <c r="J423" s="16"/>
      <c r="K423" s="15"/>
      <c r="L423" s="15">
        <f t="shared" si="36"/>
        <v>0</v>
      </c>
      <c r="M423" s="16"/>
      <c r="N423" s="16"/>
      <c r="O423" s="15">
        <f t="shared" si="37"/>
        <v>0</v>
      </c>
      <c r="P423" s="15">
        <f t="shared" si="38"/>
        <v>0</v>
      </c>
      <c r="Q423" s="15">
        <f t="shared" si="39"/>
        <v>0</v>
      </c>
      <c r="R423" s="17">
        <v>1591</v>
      </c>
    </row>
    <row r="424" spans="1:18" ht="16.5" x14ac:dyDescent="0.25">
      <c r="A424" s="12">
        <v>1592</v>
      </c>
      <c r="B424" s="13" t="s">
        <v>18</v>
      </c>
      <c r="C424" s="13" t="s">
        <v>376</v>
      </c>
      <c r="D424" s="20"/>
      <c r="E424" s="15">
        <v>6400</v>
      </c>
      <c r="F424" s="15">
        <v>400</v>
      </c>
      <c r="G424" s="15">
        <v>400</v>
      </c>
      <c r="H424" s="15">
        <f t="shared" si="40"/>
        <v>7200</v>
      </c>
      <c r="I424" s="15">
        <f t="shared" si="41"/>
        <v>0</v>
      </c>
      <c r="J424" s="16"/>
      <c r="K424" s="15">
        <v>100000</v>
      </c>
      <c r="L424" s="15">
        <f t="shared" si="36"/>
        <v>0</v>
      </c>
      <c r="M424" s="16"/>
      <c r="N424" s="16"/>
      <c r="O424" s="15">
        <f t="shared" si="37"/>
        <v>0</v>
      </c>
      <c r="P424" s="15">
        <f t="shared" si="38"/>
        <v>100000</v>
      </c>
      <c r="Q424" s="15">
        <f t="shared" si="39"/>
        <v>-100000</v>
      </c>
      <c r="R424" s="17">
        <v>1592</v>
      </c>
    </row>
    <row r="425" spans="1:18" ht="16.5" x14ac:dyDescent="0.25">
      <c r="A425" s="12">
        <v>1594</v>
      </c>
      <c r="B425" s="13" t="s">
        <v>377</v>
      </c>
      <c r="C425" s="13" t="s">
        <v>36</v>
      </c>
      <c r="D425" s="20">
        <v>379</v>
      </c>
      <c r="E425" s="15">
        <v>6400</v>
      </c>
      <c r="F425" s="15">
        <v>500</v>
      </c>
      <c r="G425" s="15">
        <v>400</v>
      </c>
      <c r="H425" s="15">
        <f t="shared" si="40"/>
        <v>7300</v>
      </c>
      <c r="I425" s="15">
        <f t="shared" si="41"/>
        <v>2766700</v>
      </c>
      <c r="J425" s="16"/>
      <c r="K425" s="15"/>
      <c r="L425" s="15">
        <f t="shared" si="36"/>
        <v>7580</v>
      </c>
      <c r="M425" s="16"/>
      <c r="N425" s="16"/>
      <c r="O425" s="15">
        <f t="shared" si="37"/>
        <v>94750</v>
      </c>
      <c r="P425" s="15">
        <f t="shared" si="38"/>
        <v>102330</v>
      </c>
      <c r="Q425" s="15">
        <f t="shared" si="39"/>
        <v>2664370</v>
      </c>
      <c r="R425" s="17">
        <v>1594</v>
      </c>
    </row>
    <row r="426" spans="1:18" ht="16.5" x14ac:dyDescent="0.25">
      <c r="A426" s="12">
        <v>1595</v>
      </c>
      <c r="B426" s="13" t="s">
        <v>378</v>
      </c>
      <c r="C426" s="13" t="s">
        <v>43</v>
      </c>
      <c r="D426" s="20"/>
      <c r="E426" s="15">
        <v>6400</v>
      </c>
      <c r="F426" s="15">
        <v>300</v>
      </c>
      <c r="G426" s="15">
        <v>400</v>
      </c>
      <c r="H426" s="15">
        <f t="shared" si="40"/>
        <v>7100</v>
      </c>
      <c r="I426" s="15">
        <f t="shared" si="41"/>
        <v>0</v>
      </c>
      <c r="J426" s="16"/>
      <c r="K426" s="15"/>
      <c r="L426" s="15">
        <f t="shared" si="36"/>
        <v>0</v>
      </c>
      <c r="M426" s="16"/>
      <c r="N426" s="16"/>
      <c r="O426" s="15">
        <f t="shared" si="37"/>
        <v>0</v>
      </c>
      <c r="P426" s="15">
        <f t="shared" si="38"/>
        <v>0</v>
      </c>
      <c r="Q426" s="15">
        <f t="shared" si="39"/>
        <v>0</v>
      </c>
      <c r="R426" s="17">
        <v>1595</v>
      </c>
    </row>
    <row r="427" spans="1:18" ht="16.5" x14ac:dyDescent="0.25">
      <c r="A427" s="12">
        <v>1596</v>
      </c>
      <c r="B427" s="13" t="s">
        <v>379</v>
      </c>
      <c r="C427" s="13" t="s">
        <v>36</v>
      </c>
      <c r="D427" s="20">
        <v>459</v>
      </c>
      <c r="E427" s="15">
        <v>6400</v>
      </c>
      <c r="F427" s="15">
        <v>400</v>
      </c>
      <c r="G427" s="15">
        <v>400</v>
      </c>
      <c r="H427" s="15">
        <f t="shared" si="40"/>
        <v>7200</v>
      </c>
      <c r="I427" s="15">
        <f t="shared" si="41"/>
        <v>3304800</v>
      </c>
      <c r="J427" s="16"/>
      <c r="K427" s="15"/>
      <c r="L427" s="15">
        <f t="shared" si="36"/>
        <v>9180</v>
      </c>
      <c r="M427" s="16"/>
      <c r="N427" s="16"/>
      <c r="O427" s="15">
        <f t="shared" si="37"/>
        <v>114750</v>
      </c>
      <c r="P427" s="15">
        <f t="shared" si="38"/>
        <v>123930</v>
      </c>
      <c r="Q427" s="15">
        <f t="shared" si="39"/>
        <v>3180870</v>
      </c>
      <c r="R427" s="17">
        <v>1596</v>
      </c>
    </row>
    <row r="428" spans="1:18" ht="16.5" x14ac:dyDescent="0.25">
      <c r="A428" s="12">
        <v>1597</v>
      </c>
      <c r="B428" s="13" t="s">
        <v>380</v>
      </c>
      <c r="C428" s="13" t="s">
        <v>16</v>
      </c>
      <c r="D428" s="20"/>
      <c r="E428" s="15">
        <v>6400</v>
      </c>
      <c r="F428" s="15">
        <v>300</v>
      </c>
      <c r="G428" s="15">
        <v>400</v>
      </c>
      <c r="H428" s="15">
        <f t="shared" si="40"/>
        <v>7100</v>
      </c>
      <c r="I428" s="15">
        <f t="shared" si="41"/>
        <v>0</v>
      </c>
      <c r="J428" s="16"/>
      <c r="K428" s="15"/>
      <c r="L428" s="15">
        <f t="shared" si="36"/>
        <v>0</v>
      </c>
      <c r="M428" s="16"/>
      <c r="N428" s="16"/>
      <c r="O428" s="15">
        <f t="shared" si="37"/>
        <v>0</v>
      </c>
      <c r="P428" s="15">
        <f t="shared" si="38"/>
        <v>0</v>
      </c>
      <c r="Q428" s="15">
        <f t="shared" si="39"/>
        <v>0</v>
      </c>
      <c r="R428" s="17">
        <v>1597</v>
      </c>
    </row>
    <row r="429" spans="1:18" ht="16.5" x14ac:dyDescent="0.25">
      <c r="A429" s="12">
        <v>1598</v>
      </c>
      <c r="B429" s="13" t="s">
        <v>381</v>
      </c>
      <c r="C429" s="13" t="s">
        <v>30</v>
      </c>
      <c r="D429" s="20"/>
      <c r="E429" s="15">
        <v>6400</v>
      </c>
      <c r="F429" s="15">
        <v>400</v>
      </c>
      <c r="G429" s="15">
        <v>400</v>
      </c>
      <c r="H429" s="15">
        <f t="shared" si="40"/>
        <v>7200</v>
      </c>
      <c r="I429" s="15">
        <f t="shared" si="41"/>
        <v>0</v>
      </c>
      <c r="J429" s="16"/>
      <c r="K429" s="15">
        <v>400000</v>
      </c>
      <c r="L429" s="15">
        <f t="shared" si="36"/>
        <v>0</v>
      </c>
      <c r="M429" s="16"/>
      <c r="N429" s="16"/>
      <c r="O429" s="15">
        <f t="shared" si="37"/>
        <v>0</v>
      </c>
      <c r="P429" s="15">
        <f t="shared" si="38"/>
        <v>400000</v>
      </c>
      <c r="Q429" s="15">
        <f t="shared" si="39"/>
        <v>-400000</v>
      </c>
      <c r="R429" s="17">
        <v>1598</v>
      </c>
    </row>
    <row r="430" spans="1:18" ht="16.5" x14ac:dyDescent="0.25">
      <c r="A430" s="12">
        <v>1599</v>
      </c>
      <c r="B430" s="13" t="s">
        <v>426</v>
      </c>
      <c r="C430" s="13" t="s">
        <v>36</v>
      </c>
      <c r="D430" s="20"/>
      <c r="E430" s="15">
        <v>6400</v>
      </c>
      <c r="F430" s="15">
        <v>300</v>
      </c>
      <c r="G430" s="15">
        <v>400</v>
      </c>
      <c r="H430" s="15">
        <f t="shared" si="40"/>
        <v>7100</v>
      </c>
      <c r="I430" s="15">
        <f t="shared" si="41"/>
        <v>0</v>
      </c>
      <c r="J430" s="16"/>
      <c r="K430" s="15"/>
      <c r="L430" s="15">
        <f t="shared" si="36"/>
        <v>0</v>
      </c>
      <c r="M430" s="16"/>
      <c r="N430" s="16"/>
      <c r="O430" s="15">
        <f t="shared" si="37"/>
        <v>0</v>
      </c>
      <c r="P430" s="15">
        <f t="shared" si="38"/>
        <v>0</v>
      </c>
      <c r="Q430" s="15">
        <f t="shared" si="39"/>
        <v>0</v>
      </c>
      <c r="R430" s="17">
        <v>1599</v>
      </c>
    </row>
    <row r="431" spans="1:18" ht="16.5" x14ac:dyDescent="0.25">
      <c r="A431" s="12">
        <v>1600</v>
      </c>
      <c r="B431" s="13"/>
      <c r="C431" s="13" t="s">
        <v>47</v>
      </c>
      <c r="D431" s="20"/>
      <c r="E431" s="15">
        <v>6400</v>
      </c>
      <c r="F431" s="15">
        <v>300</v>
      </c>
      <c r="G431" s="15">
        <v>400</v>
      </c>
      <c r="H431" s="15">
        <f t="shared" si="40"/>
        <v>7100</v>
      </c>
      <c r="I431" s="15">
        <f t="shared" si="41"/>
        <v>0</v>
      </c>
      <c r="J431" s="16"/>
      <c r="K431" s="15"/>
      <c r="L431" s="15">
        <f t="shared" si="36"/>
        <v>0</v>
      </c>
      <c r="M431" s="16"/>
      <c r="N431" s="16"/>
      <c r="O431" s="15">
        <f t="shared" si="37"/>
        <v>0</v>
      </c>
      <c r="P431" s="15">
        <f t="shared" si="38"/>
        <v>0</v>
      </c>
      <c r="Q431" s="15">
        <f t="shared" si="39"/>
        <v>0</v>
      </c>
      <c r="R431" s="17">
        <v>1600</v>
      </c>
    </row>
    <row r="432" spans="1:18" ht="16.5" x14ac:dyDescent="0.25">
      <c r="A432" s="12">
        <v>1601</v>
      </c>
      <c r="B432" s="13" t="s">
        <v>424</v>
      </c>
      <c r="C432" s="13" t="s">
        <v>54</v>
      </c>
      <c r="D432" s="20"/>
      <c r="E432" s="15">
        <v>6400</v>
      </c>
      <c r="F432" s="15">
        <v>400</v>
      </c>
      <c r="G432" s="15">
        <v>400</v>
      </c>
      <c r="H432" s="15">
        <f t="shared" si="40"/>
        <v>7200</v>
      </c>
      <c r="I432" s="15">
        <f t="shared" si="41"/>
        <v>0</v>
      </c>
      <c r="J432" s="16"/>
      <c r="K432" s="15"/>
      <c r="L432" s="15">
        <f t="shared" si="36"/>
        <v>0</v>
      </c>
      <c r="M432" s="16"/>
      <c r="N432" s="16"/>
      <c r="O432" s="15">
        <f t="shared" si="37"/>
        <v>0</v>
      </c>
      <c r="P432" s="15">
        <f t="shared" si="38"/>
        <v>0</v>
      </c>
      <c r="Q432" s="15">
        <f t="shared" si="39"/>
        <v>0</v>
      </c>
      <c r="R432" s="17">
        <v>1601</v>
      </c>
    </row>
    <row r="433" spans="1:18" ht="16.5" x14ac:dyDescent="0.25">
      <c r="A433" s="12">
        <v>1602</v>
      </c>
      <c r="B433" s="13" t="s">
        <v>453</v>
      </c>
      <c r="C433" s="13"/>
      <c r="D433" s="20"/>
      <c r="E433" s="15">
        <v>6400</v>
      </c>
      <c r="F433" s="15">
        <v>300</v>
      </c>
      <c r="G433" s="15">
        <v>400</v>
      </c>
      <c r="H433" s="15"/>
      <c r="I433" s="15"/>
      <c r="J433" s="16"/>
      <c r="K433" s="15"/>
      <c r="L433" s="15"/>
      <c r="M433" s="16"/>
      <c r="N433" s="16"/>
      <c r="O433" s="15">
        <f t="shared" si="37"/>
        <v>0</v>
      </c>
      <c r="P433" s="15">
        <f t="shared" si="38"/>
        <v>0</v>
      </c>
      <c r="Q433" s="15">
        <f t="shared" si="39"/>
        <v>0</v>
      </c>
      <c r="R433" s="17">
        <v>1602</v>
      </c>
    </row>
    <row r="434" spans="1:18" ht="16.5" x14ac:dyDescent="0.25">
      <c r="A434" s="12">
        <v>1603</v>
      </c>
      <c r="B434" s="13" t="s">
        <v>382</v>
      </c>
      <c r="C434" s="13" t="s">
        <v>43</v>
      </c>
      <c r="D434" s="20">
        <v>96</v>
      </c>
      <c r="E434" s="15">
        <v>6400</v>
      </c>
      <c r="F434" s="15">
        <v>400</v>
      </c>
      <c r="G434" s="15">
        <v>400</v>
      </c>
      <c r="H434" s="15">
        <f t="shared" ref="H434" si="42">SUM(E434:G434)</f>
        <v>7200</v>
      </c>
      <c r="I434" s="15">
        <f t="shared" ref="I434" si="43">H434*D434</f>
        <v>691200</v>
      </c>
      <c r="J434" s="16"/>
      <c r="K434" s="15">
        <v>600000</v>
      </c>
      <c r="L434" s="15">
        <f t="shared" ref="L434" si="44">D434*20</f>
        <v>1920</v>
      </c>
      <c r="M434" s="16"/>
      <c r="N434" s="16"/>
      <c r="O434" s="15">
        <f t="shared" ref="O434" si="45">250*D434</f>
        <v>24000</v>
      </c>
      <c r="P434" s="15">
        <f t="shared" ref="P434" si="46">SUM(J434:O434)</f>
        <v>625920</v>
      </c>
      <c r="Q434" s="15">
        <f t="shared" ref="Q434" si="47">I434-P434</f>
        <v>65280</v>
      </c>
      <c r="R434" s="17">
        <v>1603</v>
      </c>
    </row>
    <row r="435" spans="1:18" ht="16.5" x14ac:dyDescent="0.25">
      <c r="A435" s="12">
        <v>1604</v>
      </c>
      <c r="B435" s="13" t="s">
        <v>383</v>
      </c>
      <c r="C435" s="13" t="s">
        <v>186</v>
      </c>
      <c r="D435" s="20"/>
      <c r="E435" s="15">
        <v>6400</v>
      </c>
      <c r="F435" s="15">
        <v>300</v>
      </c>
      <c r="G435" s="15">
        <v>400</v>
      </c>
      <c r="H435" s="15">
        <f t="shared" si="40"/>
        <v>7100</v>
      </c>
      <c r="I435" s="15">
        <f t="shared" si="41"/>
        <v>0</v>
      </c>
      <c r="J435" s="16"/>
      <c r="K435" s="15"/>
      <c r="L435" s="15">
        <f t="shared" si="36"/>
        <v>0</v>
      </c>
      <c r="M435" s="16"/>
      <c r="N435" s="16"/>
      <c r="O435" s="15">
        <f t="shared" si="37"/>
        <v>0</v>
      </c>
      <c r="P435" s="15">
        <f t="shared" si="38"/>
        <v>0</v>
      </c>
      <c r="Q435" s="15">
        <f t="shared" si="39"/>
        <v>0</v>
      </c>
      <c r="R435" s="17">
        <v>1604</v>
      </c>
    </row>
    <row r="436" spans="1:18" ht="16.5" x14ac:dyDescent="0.25">
      <c r="A436" s="12">
        <v>1605</v>
      </c>
      <c r="B436" s="34" t="s">
        <v>384</v>
      </c>
      <c r="C436" s="13" t="s">
        <v>186</v>
      </c>
      <c r="D436" s="20"/>
      <c r="E436" s="15">
        <v>6400</v>
      </c>
      <c r="F436" s="15">
        <v>300</v>
      </c>
      <c r="G436" s="15">
        <v>400</v>
      </c>
      <c r="H436" s="15">
        <f t="shared" si="40"/>
        <v>7100</v>
      </c>
      <c r="I436" s="15">
        <f t="shared" si="41"/>
        <v>0</v>
      </c>
      <c r="J436" s="16"/>
      <c r="K436" s="15"/>
      <c r="L436" s="15">
        <f t="shared" si="36"/>
        <v>0</v>
      </c>
      <c r="M436" s="16"/>
      <c r="N436" s="16"/>
      <c r="O436" s="15">
        <f t="shared" si="37"/>
        <v>0</v>
      </c>
      <c r="P436" s="15">
        <f t="shared" si="38"/>
        <v>0</v>
      </c>
      <c r="Q436" s="15">
        <f t="shared" si="39"/>
        <v>0</v>
      </c>
      <c r="R436" s="17">
        <v>1605</v>
      </c>
    </row>
    <row r="437" spans="1:18" ht="16.5" x14ac:dyDescent="0.25">
      <c r="A437" s="12">
        <v>1606</v>
      </c>
      <c r="B437" s="13" t="s">
        <v>385</v>
      </c>
      <c r="C437" s="13" t="s">
        <v>43</v>
      </c>
      <c r="D437" s="20">
        <v>49</v>
      </c>
      <c r="E437" s="15">
        <v>6400</v>
      </c>
      <c r="F437" s="15">
        <v>500</v>
      </c>
      <c r="G437" s="15">
        <v>400</v>
      </c>
      <c r="H437" s="15">
        <f t="shared" si="40"/>
        <v>7300</v>
      </c>
      <c r="I437" s="15">
        <f t="shared" si="41"/>
        <v>357700</v>
      </c>
      <c r="J437" s="16"/>
      <c r="K437" s="15">
        <v>200000</v>
      </c>
      <c r="L437" s="15">
        <f t="shared" si="36"/>
        <v>980</v>
      </c>
      <c r="M437" s="16"/>
      <c r="N437" s="16"/>
      <c r="O437" s="15">
        <f t="shared" si="37"/>
        <v>12250</v>
      </c>
      <c r="P437" s="15">
        <f t="shared" si="38"/>
        <v>213230</v>
      </c>
      <c r="Q437" s="15">
        <f t="shared" si="39"/>
        <v>144470</v>
      </c>
      <c r="R437" s="17">
        <v>1606</v>
      </c>
    </row>
    <row r="438" spans="1:18" ht="16.5" x14ac:dyDescent="0.25">
      <c r="A438" s="12">
        <v>1607</v>
      </c>
      <c r="B438" s="13" t="s">
        <v>410</v>
      </c>
      <c r="C438" s="13" t="s">
        <v>25</v>
      </c>
      <c r="D438" s="20"/>
      <c r="E438" s="15">
        <v>6400</v>
      </c>
      <c r="F438" s="15">
        <v>300</v>
      </c>
      <c r="G438" s="15">
        <v>400</v>
      </c>
      <c r="H438" s="15">
        <f t="shared" si="40"/>
        <v>7100</v>
      </c>
      <c r="I438" s="15">
        <f t="shared" si="41"/>
        <v>0</v>
      </c>
      <c r="J438" s="16"/>
      <c r="K438" s="15"/>
      <c r="L438" s="15">
        <f t="shared" si="36"/>
        <v>0</v>
      </c>
      <c r="M438" s="16"/>
      <c r="N438" s="16"/>
      <c r="O438" s="15">
        <f t="shared" si="37"/>
        <v>0</v>
      </c>
      <c r="P438" s="15">
        <f t="shared" si="38"/>
        <v>0</v>
      </c>
      <c r="Q438" s="15">
        <f t="shared" si="39"/>
        <v>0</v>
      </c>
      <c r="R438" s="17">
        <v>1607</v>
      </c>
    </row>
    <row r="439" spans="1:18" ht="16.5" x14ac:dyDescent="0.25">
      <c r="A439" s="12">
        <v>1608</v>
      </c>
      <c r="B439" s="13"/>
      <c r="C439" s="13"/>
      <c r="D439" s="20"/>
      <c r="E439" s="15">
        <v>6400</v>
      </c>
      <c r="F439" s="15">
        <v>500</v>
      </c>
      <c r="G439" s="15">
        <v>400</v>
      </c>
      <c r="H439" s="15">
        <f t="shared" si="40"/>
        <v>7300</v>
      </c>
      <c r="I439" s="15">
        <f t="shared" si="41"/>
        <v>0</v>
      </c>
      <c r="J439" s="16"/>
      <c r="K439" s="15"/>
      <c r="L439" s="15">
        <f t="shared" si="36"/>
        <v>0</v>
      </c>
      <c r="M439" s="16"/>
      <c r="N439" s="16"/>
      <c r="O439" s="15">
        <f t="shared" si="37"/>
        <v>0</v>
      </c>
      <c r="P439" s="15">
        <f t="shared" si="38"/>
        <v>0</v>
      </c>
      <c r="Q439" s="15">
        <f t="shared" si="39"/>
        <v>0</v>
      </c>
      <c r="R439" s="17">
        <v>1608</v>
      </c>
    </row>
    <row r="440" spans="1:18" ht="16.5" x14ac:dyDescent="0.25">
      <c r="A440" s="12">
        <v>1609</v>
      </c>
      <c r="B440" s="13" t="s">
        <v>386</v>
      </c>
      <c r="C440" s="13" t="s">
        <v>43</v>
      </c>
      <c r="D440" s="20"/>
      <c r="E440" s="15">
        <v>6400</v>
      </c>
      <c r="F440" s="15">
        <v>400</v>
      </c>
      <c r="G440" s="15">
        <v>400</v>
      </c>
      <c r="H440" s="15">
        <f t="shared" si="40"/>
        <v>7200</v>
      </c>
      <c r="I440" s="15">
        <f t="shared" si="41"/>
        <v>0</v>
      </c>
      <c r="J440" s="16"/>
      <c r="K440" s="15"/>
      <c r="L440" s="15">
        <f t="shared" si="36"/>
        <v>0</v>
      </c>
      <c r="M440" s="16"/>
      <c r="N440" s="16"/>
      <c r="O440" s="15">
        <f t="shared" si="37"/>
        <v>0</v>
      </c>
      <c r="P440" s="15">
        <f t="shared" si="38"/>
        <v>0</v>
      </c>
      <c r="Q440" s="15">
        <f t="shared" si="39"/>
        <v>0</v>
      </c>
      <c r="R440" s="17">
        <v>1609</v>
      </c>
    </row>
    <row r="441" spans="1:18" ht="16.5" x14ac:dyDescent="0.25">
      <c r="A441" s="12">
        <v>1610</v>
      </c>
      <c r="B441" s="13" t="s">
        <v>379</v>
      </c>
      <c r="C441" s="13" t="s">
        <v>25</v>
      </c>
      <c r="D441" s="20"/>
      <c r="E441" s="15">
        <v>6400</v>
      </c>
      <c r="F441" s="15">
        <v>400</v>
      </c>
      <c r="G441" s="15">
        <v>400</v>
      </c>
      <c r="H441" s="15">
        <f t="shared" si="40"/>
        <v>7200</v>
      </c>
      <c r="I441" s="15">
        <f t="shared" si="41"/>
        <v>0</v>
      </c>
      <c r="J441" s="16"/>
      <c r="K441" s="15"/>
      <c r="L441" s="15">
        <f t="shared" si="36"/>
        <v>0</v>
      </c>
      <c r="M441" s="16"/>
      <c r="N441" s="16"/>
      <c r="O441" s="15">
        <f t="shared" si="37"/>
        <v>0</v>
      </c>
      <c r="P441" s="15">
        <f t="shared" si="38"/>
        <v>0</v>
      </c>
      <c r="Q441" s="15">
        <f t="shared" si="39"/>
        <v>0</v>
      </c>
      <c r="R441" s="17">
        <v>1610</v>
      </c>
    </row>
    <row r="442" spans="1:18" ht="16.5" x14ac:dyDescent="0.25">
      <c r="A442" s="12">
        <v>1611</v>
      </c>
      <c r="B442" s="13" t="s">
        <v>252</v>
      </c>
      <c r="C442" s="13"/>
      <c r="D442" s="20"/>
      <c r="E442" s="15">
        <v>6400</v>
      </c>
      <c r="F442" s="15">
        <v>400</v>
      </c>
      <c r="G442" s="15">
        <v>400</v>
      </c>
      <c r="H442" s="15">
        <f t="shared" si="40"/>
        <v>7200</v>
      </c>
      <c r="I442" s="15">
        <f t="shared" si="41"/>
        <v>0</v>
      </c>
      <c r="J442" s="16"/>
      <c r="K442" s="15"/>
      <c r="L442" s="15">
        <f t="shared" si="36"/>
        <v>0</v>
      </c>
      <c r="M442" s="16"/>
      <c r="N442" s="16"/>
      <c r="O442" s="15">
        <f t="shared" si="37"/>
        <v>0</v>
      </c>
      <c r="P442" s="15">
        <f t="shared" si="38"/>
        <v>0</v>
      </c>
      <c r="Q442" s="15">
        <f t="shared" si="39"/>
        <v>0</v>
      </c>
      <c r="R442" s="17">
        <v>1611</v>
      </c>
    </row>
    <row r="443" spans="1:18" ht="16.5" x14ac:dyDescent="0.25">
      <c r="A443" s="12">
        <v>1612</v>
      </c>
      <c r="B443" s="13" t="s">
        <v>387</v>
      </c>
      <c r="C443" s="13" t="s">
        <v>19</v>
      </c>
      <c r="D443" s="20"/>
      <c r="E443" s="15">
        <v>6400</v>
      </c>
      <c r="F443" s="15">
        <v>300</v>
      </c>
      <c r="G443" s="15">
        <v>400</v>
      </c>
      <c r="H443" s="15">
        <f t="shared" si="40"/>
        <v>7100</v>
      </c>
      <c r="I443" s="15">
        <f t="shared" si="41"/>
        <v>0</v>
      </c>
      <c r="J443" s="16"/>
      <c r="K443" s="15"/>
      <c r="L443" s="15">
        <f t="shared" si="36"/>
        <v>0</v>
      </c>
      <c r="M443" s="16"/>
      <c r="N443" s="16"/>
      <c r="O443" s="15">
        <f t="shared" si="37"/>
        <v>0</v>
      </c>
      <c r="P443" s="15">
        <f t="shared" si="38"/>
        <v>0</v>
      </c>
      <c r="Q443" s="15">
        <f t="shared" si="39"/>
        <v>0</v>
      </c>
      <c r="R443" s="17">
        <v>1612</v>
      </c>
    </row>
    <row r="444" spans="1:18" ht="16.5" x14ac:dyDescent="0.25">
      <c r="A444" s="12">
        <v>1613</v>
      </c>
      <c r="B444" s="13" t="s">
        <v>388</v>
      </c>
      <c r="C444" s="13" t="s">
        <v>43</v>
      </c>
      <c r="D444" s="20">
        <v>184</v>
      </c>
      <c r="E444" s="15">
        <v>6400</v>
      </c>
      <c r="F444" s="15">
        <v>600</v>
      </c>
      <c r="G444" s="15">
        <v>400</v>
      </c>
      <c r="H444" s="15">
        <f t="shared" si="40"/>
        <v>7400</v>
      </c>
      <c r="I444" s="15">
        <f t="shared" si="41"/>
        <v>1361600</v>
      </c>
      <c r="J444" s="16"/>
      <c r="K444" s="15">
        <v>200000</v>
      </c>
      <c r="L444" s="15">
        <f t="shared" si="36"/>
        <v>3680</v>
      </c>
      <c r="M444" s="16"/>
      <c r="N444" s="16"/>
      <c r="O444" s="15">
        <f t="shared" si="37"/>
        <v>46000</v>
      </c>
      <c r="P444" s="15">
        <f t="shared" si="38"/>
        <v>249680</v>
      </c>
      <c r="Q444" s="15">
        <f t="shared" si="39"/>
        <v>1111920</v>
      </c>
      <c r="R444" s="17">
        <v>1613</v>
      </c>
    </row>
    <row r="445" spans="1:18" ht="16.5" x14ac:dyDescent="0.25">
      <c r="A445" s="12">
        <v>1614</v>
      </c>
      <c r="B445" s="13" t="s">
        <v>389</v>
      </c>
      <c r="C445" s="13" t="s">
        <v>184</v>
      </c>
      <c r="D445" s="20"/>
      <c r="E445" s="15">
        <v>6400</v>
      </c>
      <c r="F445" s="15">
        <v>400</v>
      </c>
      <c r="G445" s="15">
        <v>400</v>
      </c>
      <c r="H445" s="15">
        <f t="shared" si="40"/>
        <v>7200</v>
      </c>
      <c r="I445" s="15">
        <f t="shared" si="41"/>
        <v>0</v>
      </c>
      <c r="J445" s="14"/>
      <c r="K445" s="15"/>
      <c r="L445" s="15">
        <f t="shared" si="36"/>
        <v>0</v>
      </c>
      <c r="M445" s="16"/>
      <c r="N445" s="16"/>
      <c r="O445" s="15">
        <f t="shared" si="37"/>
        <v>0</v>
      </c>
      <c r="P445" s="15">
        <f t="shared" si="38"/>
        <v>0</v>
      </c>
      <c r="Q445" s="15">
        <f t="shared" si="39"/>
        <v>0</v>
      </c>
      <c r="R445" s="17">
        <v>1614</v>
      </c>
    </row>
    <row r="446" spans="1:18" ht="16.5" x14ac:dyDescent="0.25">
      <c r="A446" s="12">
        <v>1615</v>
      </c>
      <c r="B446" s="13" t="s">
        <v>411</v>
      </c>
      <c r="C446" s="13" t="s">
        <v>30</v>
      </c>
      <c r="D446" s="20"/>
      <c r="E446" s="15">
        <v>6400</v>
      </c>
      <c r="F446" s="15">
        <v>400</v>
      </c>
      <c r="G446" s="15">
        <v>400</v>
      </c>
      <c r="H446" s="15">
        <f t="shared" si="40"/>
        <v>7200</v>
      </c>
      <c r="I446" s="15">
        <f t="shared" si="41"/>
        <v>0</v>
      </c>
      <c r="J446" s="16"/>
      <c r="K446" s="15"/>
      <c r="L446" s="15">
        <f t="shared" si="36"/>
        <v>0</v>
      </c>
      <c r="M446" s="16"/>
      <c r="N446" s="16"/>
      <c r="O446" s="15">
        <f t="shared" si="37"/>
        <v>0</v>
      </c>
      <c r="P446" s="15">
        <f t="shared" si="38"/>
        <v>0</v>
      </c>
      <c r="Q446" s="15">
        <f t="shared" si="39"/>
        <v>0</v>
      </c>
      <c r="R446" s="17">
        <v>1615</v>
      </c>
    </row>
    <row r="447" spans="1:18" ht="16.5" x14ac:dyDescent="0.25">
      <c r="A447" s="12">
        <v>1616</v>
      </c>
      <c r="B447" s="13" t="s">
        <v>177</v>
      </c>
      <c r="C447" s="13" t="s">
        <v>30</v>
      </c>
      <c r="D447" s="20">
        <v>85</v>
      </c>
      <c r="E447" s="15">
        <v>6400</v>
      </c>
      <c r="F447" s="15">
        <v>600</v>
      </c>
      <c r="G447" s="15">
        <v>400</v>
      </c>
      <c r="H447" s="15">
        <f t="shared" si="40"/>
        <v>7400</v>
      </c>
      <c r="I447" s="15">
        <f t="shared" si="41"/>
        <v>629000</v>
      </c>
      <c r="J447" s="16"/>
      <c r="K447" s="15">
        <v>400000</v>
      </c>
      <c r="L447" s="15">
        <f t="shared" si="36"/>
        <v>1700</v>
      </c>
      <c r="M447" s="16"/>
      <c r="N447" s="16"/>
      <c r="O447" s="15">
        <f t="shared" si="37"/>
        <v>21250</v>
      </c>
      <c r="P447" s="15">
        <f t="shared" si="38"/>
        <v>422950</v>
      </c>
      <c r="Q447" s="15">
        <f t="shared" si="39"/>
        <v>206050</v>
      </c>
      <c r="R447" s="17">
        <v>1616</v>
      </c>
    </row>
    <row r="448" spans="1:18" ht="16.5" x14ac:dyDescent="0.25">
      <c r="A448" s="12">
        <v>1617</v>
      </c>
      <c r="B448" s="13"/>
      <c r="C448" s="13" t="s">
        <v>36</v>
      </c>
      <c r="D448" s="20"/>
      <c r="E448" s="15">
        <v>6400</v>
      </c>
      <c r="F448" s="15">
        <v>300</v>
      </c>
      <c r="G448" s="15">
        <v>400</v>
      </c>
      <c r="H448" s="15">
        <f t="shared" si="40"/>
        <v>7100</v>
      </c>
      <c r="I448" s="15">
        <f t="shared" si="41"/>
        <v>0</v>
      </c>
      <c r="J448" s="16"/>
      <c r="K448" s="15"/>
      <c r="L448" s="15">
        <f t="shared" si="36"/>
        <v>0</v>
      </c>
      <c r="M448" s="16"/>
      <c r="N448" s="16"/>
      <c r="O448" s="15">
        <f t="shared" si="37"/>
        <v>0</v>
      </c>
      <c r="P448" s="15">
        <f t="shared" si="38"/>
        <v>0</v>
      </c>
      <c r="Q448" s="15">
        <f t="shared" si="39"/>
        <v>0</v>
      </c>
      <c r="R448" s="17">
        <v>1617</v>
      </c>
    </row>
    <row r="449" spans="1:18" ht="16.5" x14ac:dyDescent="0.25">
      <c r="A449" s="12">
        <v>1618</v>
      </c>
      <c r="B449" s="13" t="s">
        <v>365</v>
      </c>
      <c r="C449" s="13" t="s">
        <v>30</v>
      </c>
      <c r="D449" s="20">
        <v>127</v>
      </c>
      <c r="E449" s="15">
        <v>6400</v>
      </c>
      <c r="F449" s="15">
        <v>600</v>
      </c>
      <c r="G449" s="15">
        <v>400</v>
      </c>
      <c r="H449" s="15">
        <f t="shared" si="40"/>
        <v>7400</v>
      </c>
      <c r="I449" s="15">
        <f t="shared" si="41"/>
        <v>939800</v>
      </c>
      <c r="J449" s="16"/>
      <c r="K449" s="15">
        <v>200000</v>
      </c>
      <c r="L449" s="15">
        <f t="shared" si="36"/>
        <v>2540</v>
      </c>
      <c r="M449" s="16"/>
      <c r="N449" s="16"/>
      <c r="O449" s="15">
        <f t="shared" si="37"/>
        <v>31750</v>
      </c>
      <c r="P449" s="15">
        <f t="shared" si="38"/>
        <v>234290</v>
      </c>
      <c r="Q449" s="15">
        <f t="shared" si="39"/>
        <v>705510</v>
      </c>
      <c r="R449" s="17">
        <v>1618</v>
      </c>
    </row>
    <row r="450" spans="1:18" ht="16.5" x14ac:dyDescent="0.25">
      <c r="A450" s="12">
        <v>1619</v>
      </c>
      <c r="B450" s="13" t="s">
        <v>409</v>
      </c>
      <c r="C450" s="13" t="s">
        <v>30</v>
      </c>
      <c r="D450" s="20"/>
      <c r="E450" s="15">
        <v>6400</v>
      </c>
      <c r="F450" s="15">
        <v>300</v>
      </c>
      <c r="G450" s="15">
        <v>400</v>
      </c>
      <c r="H450" s="15">
        <f t="shared" si="40"/>
        <v>7100</v>
      </c>
      <c r="I450" s="15">
        <f t="shared" si="41"/>
        <v>0</v>
      </c>
      <c r="J450" s="16"/>
      <c r="K450" s="15"/>
      <c r="L450" s="15">
        <f t="shared" si="36"/>
        <v>0</v>
      </c>
      <c r="M450" s="16"/>
      <c r="N450" s="16"/>
      <c r="O450" s="15">
        <f t="shared" si="37"/>
        <v>0</v>
      </c>
      <c r="P450" s="15">
        <f t="shared" si="38"/>
        <v>0</v>
      </c>
      <c r="Q450" s="15">
        <f t="shared" si="39"/>
        <v>0</v>
      </c>
      <c r="R450" s="17">
        <v>1619</v>
      </c>
    </row>
    <row r="451" spans="1:18" ht="16.5" x14ac:dyDescent="0.25">
      <c r="A451" s="12">
        <v>1620</v>
      </c>
      <c r="B451" s="13" t="s">
        <v>452</v>
      </c>
      <c r="C451" s="13" t="s">
        <v>25</v>
      </c>
      <c r="D451" s="20">
        <v>106</v>
      </c>
      <c r="E451" s="15">
        <v>6400</v>
      </c>
      <c r="F451" s="15">
        <v>400</v>
      </c>
      <c r="G451" s="15">
        <v>400</v>
      </c>
      <c r="H451" s="15">
        <f t="shared" si="40"/>
        <v>7200</v>
      </c>
      <c r="I451" s="15">
        <f t="shared" si="41"/>
        <v>763200</v>
      </c>
      <c r="J451" s="16"/>
      <c r="K451" s="15">
        <v>400000</v>
      </c>
      <c r="L451" s="15">
        <f t="shared" si="36"/>
        <v>2120</v>
      </c>
      <c r="M451" s="16"/>
      <c r="N451" s="16"/>
      <c r="O451" s="15">
        <f t="shared" si="37"/>
        <v>26500</v>
      </c>
      <c r="P451" s="15">
        <f t="shared" si="38"/>
        <v>428620</v>
      </c>
      <c r="Q451" s="15">
        <f t="shared" si="39"/>
        <v>334580</v>
      </c>
      <c r="R451" s="17">
        <v>1620</v>
      </c>
    </row>
    <row r="452" spans="1:18" ht="16.5" x14ac:dyDescent="0.25">
      <c r="A452" s="12">
        <v>1621</v>
      </c>
      <c r="B452" s="13" t="s">
        <v>408</v>
      </c>
      <c r="C452" s="13" t="s">
        <v>82</v>
      </c>
      <c r="D452" s="20">
        <v>80</v>
      </c>
      <c r="E452" s="15">
        <v>6400</v>
      </c>
      <c r="F452" s="15">
        <v>400</v>
      </c>
      <c r="G452" s="15">
        <v>400</v>
      </c>
      <c r="H452" s="15">
        <f t="shared" si="40"/>
        <v>7200</v>
      </c>
      <c r="I452" s="15">
        <f t="shared" si="41"/>
        <v>576000</v>
      </c>
      <c r="J452" s="16"/>
      <c r="K452" s="15"/>
      <c r="L452" s="15">
        <f t="shared" si="36"/>
        <v>1600</v>
      </c>
      <c r="M452" s="16"/>
      <c r="N452" s="16"/>
      <c r="O452" s="15">
        <f t="shared" si="37"/>
        <v>20000</v>
      </c>
      <c r="P452" s="15">
        <f t="shared" si="38"/>
        <v>21600</v>
      </c>
      <c r="Q452" s="15">
        <f t="shared" si="39"/>
        <v>554400</v>
      </c>
      <c r="R452" s="17">
        <v>1621</v>
      </c>
    </row>
    <row r="453" spans="1:18" ht="16.5" x14ac:dyDescent="0.25">
      <c r="A453" s="12">
        <v>1622</v>
      </c>
      <c r="B453" s="13" t="s">
        <v>412</v>
      </c>
      <c r="C453" s="13" t="s">
        <v>54</v>
      </c>
      <c r="D453" s="20"/>
      <c r="E453" s="15">
        <v>6400</v>
      </c>
      <c r="F453" s="15">
        <v>300</v>
      </c>
      <c r="G453" s="15">
        <v>400</v>
      </c>
      <c r="H453" s="15">
        <f t="shared" si="40"/>
        <v>7100</v>
      </c>
      <c r="I453" s="15">
        <f t="shared" si="41"/>
        <v>0</v>
      </c>
      <c r="J453" s="16"/>
      <c r="K453" s="15"/>
      <c r="L453" s="15">
        <f t="shared" ref="L453:L474" si="48">D453*20</f>
        <v>0</v>
      </c>
      <c r="M453" s="16"/>
      <c r="N453" s="16"/>
      <c r="O453" s="15">
        <f t="shared" ref="O453:O474" si="49">250*D453</f>
        <v>0</v>
      </c>
      <c r="P453" s="15">
        <f t="shared" ref="P453:P474" si="50">SUM(J453:O453)</f>
        <v>0</v>
      </c>
      <c r="Q453" s="15">
        <f t="shared" ref="Q453:Q474" si="51">I453-P453</f>
        <v>0</v>
      </c>
      <c r="R453" s="17">
        <v>1622</v>
      </c>
    </row>
    <row r="454" spans="1:18" ht="16.5" x14ac:dyDescent="0.25">
      <c r="A454" s="12">
        <v>1623</v>
      </c>
      <c r="B454" s="13" t="s">
        <v>414</v>
      </c>
      <c r="C454" s="13" t="s">
        <v>82</v>
      </c>
      <c r="D454" s="20">
        <v>95</v>
      </c>
      <c r="E454" s="15">
        <v>6400</v>
      </c>
      <c r="F454" s="15">
        <v>400</v>
      </c>
      <c r="G454" s="15">
        <v>400</v>
      </c>
      <c r="H454" s="15">
        <f t="shared" ref="H454:H474" si="52">SUM(E454:G454)</f>
        <v>7200</v>
      </c>
      <c r="I454" s="15">
        <f t="shared" ref="I454:I475" si="53">H454*D454</f>
        <v>684000</v>
      </c>
      <c r="J454" s="16"/>
      <c r="K454" s="15"/>
      <c r="L454" s="15">
        <f t="shared" si="48"/>
        <v>1900</v>
      </c>
      <c r="M454" s="16"/>
      <c r="N454" s="16"/>
      <c r="O454" s="15">
        <f t="shared" si="49"/>
        <v>23750</v>
      </c>
      <c r="P454" s="15">
        <f t="shared" si="50"/>
        <v>25650</v>
      </c>
      <c r="Q454" s="15">
        <f t="shared" si="51"/>
        <v>658350</v>
      </c>
      <c r="R454" s="17">
        <v>1623</v>
      </c>
    </row>
    <row r="455" spans="1:18" ht="16.5" x14ac:dyDescent="0.25">
      <c r="A455" s="12">
        <v>1625</v>
      </c>
      <c r="B455" s="13" t="s">
        <v>415</v>
      </c>
      <c r="C455" s="13" t="s">
        <v>54</v>
      </c>
      <c r="D455" s="20"/>
      <c r="E455" s="15">
        <v>6400</v>
      </c>
      <c r="F455" s="15">
        <v>400</v>
      </c>
      <c r="G455" s="15">
        <v>400</v>
      </c>
      <c r="H455" s="15">
        <f t="shared" si="52"/>
        <v>7200</v>
      </c>
      <c r="I455" s="15">
        <f t="shared" si="53"/>
        <v>0</v>
      </c>
      <c r="J455" s="16"/>
      <c r="K455" s="15"/>
      <c r="L455" s="15">
        <f t="shared" si="48"/>
        <v>0</v>
      </c>
      <c r="M455" s="16"/>
      <c r="N455" s="16"/>
      <c r="O455" s="15">
        <f t="shared" si="49"/>
        <v>0</v>
      </c>
      <c r="P455" s="15">
        <f t="shared" si="50"/>
        <v>0</v>
      </c>
      <c r="Q455" s="15">
        <f t="shared" si="51"/>
        <v>0</v>
      </c>
      <c r="R455" s="17">
        <v>1625</v>
      </c>
    </row>
    <row r="456" spans="1:18" ht="16.5" x14ac:dyDescent="0.25">
      <c r="A456" s="12">
        <v>1626</v>
      </c>
      <c r="B456" s="13" t="s">
        <v>222</v>
      </c>
      <c r="C456" s="13" t="s">
        <v>188</v>
      </c>
      <c r="D456" s="20"/>
      <c r="E456" s="15">
        <v>6400</v>
      </c>
      <c r="F456" s="15">
        <v>300</v>
      </c>
      <c r="G456" s="15">
        <v>400</v>
      </c>
      <c r="H456" s="15">
        <f t="shared" si="52"/>
        <v>7100</v>
      </c>
      <c r="I456" s="15">
        <f t="shared" si="53"/>
        <v>0</v>
      </c>
      <c r="J456" s="16"/>
      <c r="K456" s="15"/>
      <c r="L456" s="15" t="b">
        <f>N11=D456*20</f>
        <v>1</v>
      </c>
      <c r="M456" s="16"/>
      <c r="N456" s="16"/>
      <c r="O456" s="15">
        <f t="shared" si="49"/>
        <v>0</v>
      </c>
      <c r="P456" s="15">
        <f t="shared" si="50"/>
        <v>0</v>
      </c>
      <c r="Q456" s="15">
        <f t="shared" si="51"/>
        <v>0</v>
      </c>
      <c r="R456" s="17">
        <v>1626</v>
      </c>
    </row>
    <row r="457" spans="1:18" ht="16.5" x14ac:dyDescent="0.25">
      <c r="A457" s="12">
        <v>1627</v>
      </c>
      <c r="B457" s="13" t="s">
        <v>264</v>
      </c>
      <c r="C457" s="13" t="s">
        <v>30</v>
      </c>
      <c r="D457" s="20">
        <v>85</v>
      </c>
      <c r="E457" s="15">
        <v>6400</v>
      </c>
      <c r="F457" s="15">
        <v>500</v>
      </c>
      <c r="G457" s="15">
        <v>400</v>
      </c>
      <c r="H457" s="15">
        <f t="shared" si="52"/>
        <v>7300</v>
      </c>
      <c r="I457" s="15">
        <f t="shared" si="53"/>
        <v>620500</v>
      </c>
      <c r="J457" s="16"/>
      <c r="K457" s="15">
        <v>200000</v>
      </c>
      <c r="L457" s="15">
        <f t="shared" si="48"/>
        <v>1700</v>
      </c>
      <c r="M457" s="16"/>
      <c r="N457" s="16"/>
      <c r="O457" s="15">
        <f t="shared" si="49"/>
        <v>21250</v>
      </c>
      <c r="P457" s="15">
        <f t="shared" si="50"/>
        <v>222950</v>
      </c>
      <c r="Q457" s="15">
        <f t="shared" si="51"/>
        <v>397550</v>
      </c>
      <c r="R457" s="17">
        <v>1627</v>
      </c>
    </row>
    <row r="458" spans="1:18" ht="16.5" x14ac:dyDescent="0.25">
      <c r="A458" s="12">
        <v>1628</v>
      </c>
      <c r="B458" s="13" t="s">
        <v>417</v>
      </c>
      <c r="C458" s="13" t="s">
        <v>19</v>
      </c>
      <c r="D458" s="20"/>
      <c r="E458" s="15">
        <v>6400</v>
      </c>
      <c r="F458" s="15">
        <v>300</v>
      </c>
      <c r="G458" s="15">
        <v>400</v>
      </c>
      <c r="H458" s="15">
        <f t="shared" si="52"/>
        <v>7100</v>
      </c>
      <c r="I458" s="15">
        <f t="shared" si="53"/>
        <v>0</v>
      </c>
      <c r="J458" s="16"/>
      <c r="K458" s="15"/>
      <c r="L458" s="15">
        <f t="shared" si="48"/>
        <v>0</v>
      </c>
      <c r="M458" s="16"/>
      <c r="N458" s="16"/>
      <c r="O458" s="15">
        <f t="shared" si="49"/>
        <v>0</v>
      </c>
      <c r="P458" s="15">
        <f t="shared" si="50"/>
        <v>0</v>
      </c>
      <c r="Q458" s="15">
        <f t="shared" si="51"/>
        <v>0</v>
      </c>
      <c r="R458" s="17">
        <v>1628</v>
      </c>
    </row>
    <row r="459" spans="1:18" ht="16.5" x14ac:dyDescent="0.25">
      <c r="A459" s="12">
        <v>1629</v>
      </c>
      <c r="B459" s="13" t="s">
        <v>458</v>
      </c>
      <c r="C459" s="13" t="s">
        <v>30</v>
      </c>
      <c r="D459" s="20">
        <v>152</v>
      </c>
      <c r="E459" s="15">
        <v>6400</v>
      </c>
      <c r="F459" s="15">
        <v>600</v>
      </c>
      <c r="G459" s="15">
        <v>400</v>
      </c>
      <c r="H459" s="15">
        <f t="shared" ref="H459" si="54">SUM(E459:G459)</f>
        <v>7400</v>
      </c>
      <c r="I459" s="15">
        <f t="shared" ref="I459" si="55">H459*D459</f>
        <v>1124800</v>
      </c>
      <c r="J459" s="16"/>
      <c r="K459" s="15">
        <v>200000</v>
      </c>
      <c r="L459" s="15">
        <f t="shared" ref="L459" si="56">D459*20</f>
        <v>3040</v>
      </c>
      <c r="M459" s="16"/>
      <c r="N459" s="16"/>
      <c r="O459" s="15">
        <f t="shared" ref="O459" si="57">250*D459</f>
        <v>38000</v>
      </c>
      <c r="P459" s="15">
        <f t="shared" ref="P459" si="58">SUM(J459:O459)</f>
        <v>241040</v>
      </c>
      <c r="Q459" s="15">
        <f t="shared" si="51"/>
        <v>883760</v>
      </c>
      <c r="R459" s="17"/>
    </row>
    <row r="460" spans="1:18" ht="16.5" x14ac:dyDescent="0.25">
      <c r="A460" s="12">
        <v>1635</v>
      </c>
      <c r="B460" s="13" t="s">
        <v>446</v>
      </c>
      <c r="C460" s="13" t="s">
        <v>43</v>
      </c>
      <c r="D460" s="20">
        <v>345</v>
      </c>
      <c r="E460" s="15">
        <v>6400</v>
      </c>
      <c r="F460" s="15">
        <v>600</v>
      </c>
      <c r="G460" s="15">
        <v>400</v>
      </c>
      <c r="H460" s="15">
        <f t="shared" si="52"/>
        <v>7400</v>
      </c>
      <c r="I460" s="15">
        <f t="shared" si="53"/>
        <v>2553000</v>
      </c>
      <c r="J460" s="16"/>
      <c r="K460" s="15"/>
      <c r="L460" s="15">
        <f t="shared" si="48"/>
        <v>6900</v>
      </c>
      <c r="M460" s="16"/>
      <c r="N460" s="16"/>
      <c r="O460" s="15">
        <f t="shared" si="49"/>
        <v>86250</v>
      </c>
      <c r="P460" s="15">
        <f t="shared" si="50"/>
        <v>93150</v>
      </c>
      <c r="Q460" s="15">
        <f t="shared" si="51"/>
        <v>2459850</v>
      </c>
      <c r="R460" s="17">
        <v>1629</v>
      </c>
    </row>
    <row r="461" spans="1:18" ht="16.5" x14ac:dyDescent="0.25">
      <c r="A461" s="12">
        <v>1652</v>
      </c>
      <c r="B461" s="13" t="s">
        <v>435</v>
      </c>
      <c r="C461" s="13" t="s">
        <v>25</v>
      </c>
      <c r="D461" s="20"/>
      <c r="E461" s="15">
        <v>6400</v>
      </c>
      <c r="F461" s="15">
        <v>400</v>
      </c>
      <c r="G461" s="15">
        <v>400</v>
      </c>
      <c r="H461" s="15">
        <f t="shared" si="52"/>
        <v>7200</v>
      </c>
      <c r="I461" s="15">
        <f t="shared" si="53"/>
        <v>0</v>
      </c>
      <c r="J461" s="16"/>
      <c r="K461" s="15">
        <v>200000</v>
      </c>
      <c r="L461" s="15">
        <f t="shared" si="48"/>
        <v>0</v>
      </c>
      <c r="M461" s="16"/>
      <c r="N461" s="16"/>
      <c r="O461" s="15">
        <f t="shared" si="49"/>
        <v>0</v>
      </c>
      <c r="P461" s="15">
        <f t="shared" si="50"/>
        <v>200000</v>
      </c>
      <c r="Q461" s="15">
        <f t="shared" si="51"/>
        <v>-200000</v>
      </c>
      <c r="R461" s="17"/>
    </row>
    <row r="462" spans="1:18" ht="16.5" x14ac:dyDescent="0.25">
      <c r="A462" s="12">
        <v>1653</v>
      </c>
      <c r="B462" s="13" t="s">
        <v>436</v>
      </c>
      <c r="C462" s="13" t="s">
        <v>25</v>
      </c>
      <c r="D462" s="20">
        <v>302</v>
      </c>
      <c r="E462" s="15">
        <v>6400</v>
      </c>
      <c r="F462" s="15">
        <v>400</v>
      </c>
      <c r="G462" s="15">
        <v>400</v>
      </c>
      <c r="H462" s="15">
        <f t="shared" si="52"/>
        <v>7200</v>
      </c>
      <c r="I462" s="15">
        <f t="shared" si="53"/>
        <v>2174400</v>
      </c>
      <c r="J462" s="16"/>
      <c r="K462" s="15">
        <v>400000</v>
      </c>
      <c r="L462" s="15">
        <f t="shared" si="48"/>
        <v>6040</v>
      </c>
      <c r="M462" s="16"/>
      <c r="N462" s="16"/>
      <c r="O462" s="15">
        <f t="shared" si="49"/>
        <v>75500</v>
      </c>
      <c r="P462" s="15">
        <f t="shared" si="50"/>
        <v>481540</v>
      </c>
      <c r="Q462" s="15">
        <f t="shared" si="51"/>
        <v>1692860</v>
      </c>
      <c r="R462" s="17"/>
    </row>
    <row r="463" spans="1:18" ht="16.5" x14ac:dyDescent="0.25">
      <c r="A463" s="12">
        <v>1654</v>
      </c>
      <c r="B463" s="13" t="s">
        <v>437</v>
      </c>
      <c r="C463" s="13" t="s">
        <v>43</v>
      </c>
      <c r="D463" s="20"/>
      <c r="E463" s="15">
        <v>6400</v>
      </c>
      <c r="F463" s="15">
        <v>400</v>
      </c>
      <c r="G463" s="15">
        <v>400</v>
      </c>
      <c r="H463" s="15">
        <f t="shared" si="52"/>
        <v>7200</v>
      </c>
      <c r="I463" s="15">
        <f t="shared" si="53"/>
        <v>0</v>
      </c>
      <c r="J463" s="16"/>
      <c r="K463" s="15">
        <v>200000</v>
      </c>
      <c r="L463" s="15">
        <f t="shared" si="48"/>
        <v>0</v>
      </c>
      <c r="M463" s="16"/>
      <c r="N463" s="16"/>
      <c r="O463" s="15">
        <f t="shared" si="49"/>
        <v>0</v>
      </c>
      <c r="P463" s="15">
        <f t="shared" si="50"/>
        <v>200000</v>
      </c>
      <c r="Q463" s="15">
        <f t="shared" si="51"/>
        <v>-200000</v>
      </c>
      <c r="R463" s="17"/>
    </row>
    <row r="464" spans="1:18" ht="16.5" x14ac:dyDescent="0.25">
      <c r="A464" s="12">
        <v>1655</v>
      </c>
      <c r="B464" s="13" t="s">
        <v>195</v>
      </c>
      <c r="C464" s="13" t="s">
        <v>30</v>
      </c>
      <c r="D464" s="20">
        <v>128</v>
      </c>
      <c r="E464" s="15">
        <v>6400</v>
      </c>
      <c r="F464" s="15">
        <v>400</v>
      </c>
      <c r="G464" s="15">
        <v>400</v>
      </c>
      <c r="H464" s="15">
        <f t="shared" si="52"/>
        <v>7200</v>
      </c>
      <c r="I464" s="15">
        <f t="shared" si="53"/>
        <v>921600</v>
      </c>
      <c r="J464" s="16"/>
      <c r="K464" s="15"/>
      <c r="L464" s="15">
        <f t="shared" si="48"/>
        <v>2560</v>
      </c>
      <c r="M464" s="16"/>
      <c r="N464" s="16"/>
      <c r="O464" s="15">
        <f t="shared" si="49"/>
        <v>32000</v>
      </c>
      <c r="P464" s="15">
        <f t="shared" si="50"/>
        <v>34560</v>
      </c>
      <c r="Q464" s="15">
        <f t="shared" si="51"/>
        <v>887040</v>
      </c>
      <c r="R464" s="17"/>
    </row>
    <row r="465" spans="1:18" ht="16.5" x14ac:dyDescent="0.25">
      <c r="A465" s="12">
        <v>1656</v>
      </c>
      <c r="B465" s="13" t="s">
        <v>438</v>
      </c>
      <c r="C465" s="13" t="s">
        <v>82</v>
      </c>
      <c r="D465" s="20">
        <v>123</v>
      </c>
      <c r="E465" s="15">
        <v>6400</v>
      </c>
      <c r="F465" s="15">
        <v>500</v>
      </c>
      <c r="G465" s="15">
        <v>400</v>
      </c>
      <c r="H465" s="15">
        <f t="shared" si="52"/>
        <v>7300</v>
      </c>
      <c r="I465" s="15">
        <f t="shared" si="53"/>
        <v>897900</v>
      </c>
      <c r="J465" s="16"/>
      <c r="K465" s="15">
        <v>200000</v>
      </c>
      <c r="L465" s="15">
        <f t="shared" si="48"/>
        <v>2460</v>
      </c>
      <c r="M465" s="16"/>
      <c r="N465" s="16"/>
      <c r="O465" s="15">
        <f t="shared" si="49"/>
        <v>30750</v>
      </c>
      <c r="P465" s="15">
        <f t="shared" si="50"/>
        <v>233210</v>
      </c>
      <c r="Q465" s="15">
        <f t="shared" si="51"/>
        <v>664690</v>
      </c>
      <c r="R465" s="17"/>
    </row>
    <row r="466" spans="1:18" ht="16.5" x14ac:dyDescent="0.25">
      <c r="A466" s="12">
        <v>1657</v>
      </c>
      <c r="B466" s="13" t="s">
        <v>439</v>
      </c>
      <c r="C466" s="13" t="s">
        <v>82</v>
      </c>
      <c r="D466" s="20">
        <v>114</v>
      </c>
      <c r="E466" s="15">
        <v>6400</v>
      </c>
      <c r="F466" s="15">
        <v>500</v>
      </c>
      <c r="G466" s="15">
        <v>400</v>
      </c>
      <c r="H466" s="15">
        <f t="shared" si="52"/>
        <v>7300</v>
      </c>
      <c r="I466" s="15">
        <f t="shared" si="53"/>
        <v>832200</v>
      </c>
      <c r="J466" s="16"/>
      <c r="K466" s="15"/>
      <c r="L466" s="15">
        <f t="shared" si="48"/>
        <v>2280</v>
      </c>
      <c r="M466" s="16"/>
      <c r="N466" s="16"/>
      <c r="O466" s="15">
        <f t="shared" si="49"/>
        <v>28500</v>
      </c>
      <c r="P466" s="15">
        <f t="shared" si="50"/>
        <v>30780</v>
      </c>
      <c r="Q466" s="15">
        <f t="shared" si="51"/>
        <v>801420</v>
      </c>
      <c r="R466" s="17"/>
    </row>
    <row r="467" spans="1:18" ht="16.5" x14ac:dyDescent="0.25">
      <c r="A467" s="12">
        <v>1658</v>
      </c>
      <c r="B467" s="13" t="s">
        <v>440</v>
      </c>
      <c r="C467" s="13" t="s">
        <v>30</v>
      </c>
      <c r="D467" s="20"/>
      <c r="E467" s="15">
        <v>6400</v>
      </c>
      <c r="F467" s="15">
        <v>400</v>
      </c>
      <c r="G467" s="15">
        <v>400</v>
      </c>
      <c r="H467" s="15">
        <f t="shared" si="52"/>
        <v>7200</v>
      </c>
      <c r="I467" s="15">
        <f t="shared" si="53"/>
        <v>0</v>
      </c>
      <c r="J467" s="16"/>
      <c r="K467" s="15"/>
      <c r="L467" s="15">
        <f t="shared" si="48"/>
        <v>0</v>
      </c>
      <c r="M467" s="16"/>
      <c r="N467" s="16"/>
      <c r="O467" s="15">
        <f t="shared" si="49"/>
        <v>0</v>
      </c>
      <c r="P467" s="15">
        <f t="shared" si="50"/>
        <v>0</v>
      </c>
      <c r="Q467" s="15">
        <f t="shared" si="51"/>
        <v>0</v>
      </c>
      <c r="R467" s="17"/>
    </row>
    <row r="468" spans="1:18" ht="16.5" x14ac:dyDescent="0.25">
      <c r="A468" s="12">
        <v>1660</v>
      </c>
      <c r="B468" s="13" t="s">
        <v>441</v>
      </c>
      <c r="C468" s="13" t="s">
        <v>30</v>
      </c>
      <c r="D468" s="20"/>
      <c r="E468" s="15">
        <v>6400</v>
      </c>
      <c r="F468" s="15">
        <v>400</v>
      </c>
      <c r="G468" s="15">
        <v>400</v>
      </c>
      <c r="H468" s="15">
        <f t="shared" si="52"/>
        <v>7200</v>
      </c>
      <c r="I468" s="15">
        <f t="shared" si="53"/>
        <v>0</v>
      </c>
      <c r="J468" s="16"/>
      <c r="K468" s="15"/>
      <c r="L468" s="15">
        <f t="shared" si="48"/>
        <v>0</v>
      </c>
      <c r="M468" s="16"/>
      <c r="N468" s="16"/>
      <c r="O468" s="15">
        <f t="shared" si="49"/>
        <v>0</v>
      </c>
      <c r="P468" s="15">
        <f t="shared" si="50"/>
        <v>0</v>
      </c>
      <c r="Q468" s="15">
        <f t="shared" si="51"/>
        <v>0</v>
      </c>
      <c r="R468" s="17"/>
    </row>
    <row r="469" spans="1:18" ht="16.5" x14ac:dyDescent="0.25">
      <c r="A469" s="12">
        <v>1661</v>
      </c>
      <c r="B469" s="13" t="s">
        <v>442</v>
      </c>
      <c r="C469" s="13" t="s">
        <v>36</v>
      </c>
      <c r="D469" s="20"/>
      <c r="E469" s="15">
        <v>6400</v>
      </c>
      <c r="F469" s="15">
        <v>400</v>
      </c>
      <c r="G469" s="15">
        <v>400</v>
      </c>
      <c r="H469" s="15">
        <f t="shared" si="52"/>
        <v>7200</v>
      </c>
      <c r="I469" s="15">
        <f t="shared" si="53"/>
        <v>0</v>
      </c>
      <c r="J469" s="16"/>
      <c r="K469" s="15">
        <v>600000</v>
      </c>
      <c r="L469" s="15">
        <f t="shared" si="48"/>
        <v>0</v>
      </c>
      <c r="M469" s="16"/>
      <c r="N469" s="16"/>
      <c r="O469" s="15">
        <f t="shared" si="49"/>
        <v>0</v>
      </c>
      <c r="P469" s="15">
        <f t="shared" si="50"/>
        <v>600000</v>
      </c>
      <c r="Q469" s="15">
        <f t="shared" si="51"/>
        <v>-600000</v>
      </c>
      <c r="R469" s="17"/>
    </row>
    <row r="470" spans="1:18" ht="16.5" x14ac:dyDescent="0.25">
      <c r="A470" s="12">
        <v>1662</v>
      </c>
      <c r="B470" s="13" t="s">
        <v>350</v>
      </c>
      <c r="C470" s="13" t="s">
        <v>36</v>
      </c>
      <c r="D470" s="20"/>
      <c r="E470" s="15">
        <v>6400</v>
      </c>
      <c r="F470" s="15">
        <v>500</v>
      </c>
      <c r="G470" s="15">
        <v>400</v>
      </c>
      <c r="H470" s="15">
        <f t="shared" si="52"/>
        <v>7300</v>
      </c>
      <c r="I470" s="15">
        <f t="shared" si="53"/>
        <v>0</v>
      </c>
      <c r="J470" s="16"/>
      <c r="K470" s="15"/>
      <c r="L470" s="15">
        <f t="shared" si="48"/>
        <v>0</v>
      </c>
      <c r="M470" s="16"/>
      <c r="N470" s="16"/>
      <c r="O470" s="15">
        <f t="shared" si="49"/>
        <v>0</v>
      </c>
      <c r="P470" s="15">
        <f t="shared" si="50"/>
        <v>0</v>
      </c>
      <c r="Q470" s="15">
        <f t="shared" si="51"/>
        <v>0</v>
      </c>
      <c r="R470" s="17"/>
    </row>
    <row r="471" spans="1:18" ht="16.5" x14ac:dyDescent="0.25">
      <c r="A471" s="12">
        <v>1663</v>
      </c>
      <c r="B471" s="13" t="s">
        <v>447</v>
      </c>
      <c r="C471" s="13" t="s">
        <v>82</v>
      </c>
      <c r="D471" s="20">
        <v>176</v>
      </c>
      <c r="E471" s="15">
        <v>6400</v>
      </c>
      <c r="F471" s="15">
        <v>400</v>
      </c>
      <c r="G471" s="15">
        <v>400</v>
      </c>
      <c r="H471" s="15">
        <f t="shared" si="52"/>
        <v>7200</v>
      </c>
      <c r="I471" s="15">
        <f t="shared" si="53"/>
        <v>1267200</v>
      </c>
      <c r="J471" s="16"/>
      <c r="K471" s="15"/>
      <c r="L471" s="15">
        <f t="shared" si="48"/>
        <v>3520</v>
      </c>
      <c r="M471" s="16"/>
      <c r="N471" s="16"/>
      <c r="O471" s="15">
        <f t="shared" si="49"/>
        <v>44000</v>
      </c>
      <c r="P471" s="15">
        <f t="shared" si="50"/>
        <v>47520</v>
      </c>
      <c r="Q471" s="15">
        <f t="shared" si="51"/>
        <v>1219680</v>
      </c>
      <c r="R471" s="17"/>
    </row>
    <row r="472" spans="1:18" ht="16.5" x14ac:dyDescent="0.25">
      <c r="A472" s="12">
        <v>1664</v>
      </c>
      <c r="B472" s="13" t="s">
        <v>448</v>
      </c>
      <c r="C472" s="13" t="s">
        <v>36</v>
      </c>
      <c r="D472" s="20"/>
      <c r="E472" s="15">
        <v>6400</v>
      </c>
      <c r="F472" s="15">
        <v>400</v>
      </c>
      <c r="G472" s="15">
        <v>400</v>
      </c>
      <c r="H472" s="15">
        <f t="shared" si="52"/>
        <v>7200</v>
      </c>
      <c r="I472" s="15">
        <f t="shared" si="53"/>
        <v>0</v>
      </c>
      <c r="J472" s="16"/>
      <c r="K472" s="15"/>
      <c r="L472" s="15">
        <f t="shared" si="48"/>
        <v>0</v>
      </c>
      <c r="M472" s="16"/>
      <c r="N472" s="16"/>
      <c r="O472" s="15">
        <f t="shared" si="49"/>
        <v>0</v>
      </c>
      <c r="P472" s="15">
        <f t="shared" si="50"/>
        <v>0</v>
      </c>
      <c r="Q472" s="15">
        <f t="shared" si="51"/>
        <v>0</v>
      </c>
      <c r="R472" s="17"/>
    </row>
    <row r="473" spans="1:18" ht="16.5" x14ac:dyDescent="0.25">
      <c r="A473" s="12">
        <v>1666</v>
      </c>
      <c r="B473" s="13" t="s">
        <v>449</v>
      </c>
      <c r="C473" s="13" t="s">
        <v>82</v>
      </c>
      <c r="D473" s="20"/>
      <c r="E473" s="15">
        <v>6400</v>
      </c>
      <c r="F473" s="15">
        <v>400</v>
      </c>
      <c r="G473" s="15">
        <v>400</v>
      </c>
      <c r="H473" s="15">
        <f t="shared" si="52"/>
        <v>7200</v>
      </c>
      <c r="I473" s="15">
        <f t="shared" si="53"/>
        <v>0</v>
      </c>
      <c r="J473" s="16"/>
      <c r="K473" s="15"/>
      <c r="L473" s="15">
        <f t="shared" si="48"/>
        <v>0</v>
      </c>
      <c r="M473" s="16"/>
      <c r="N473" s="16"/>
      <c r="O473" s="15">
        <f t="shared" si="49"/>
        <v>0</v>
      </c>
      <c r="P473" s="15">
        <f t="shared" si="50"/>
        <v>0</v>
      </c>
      <c r="Q473" s="15">
        <f t="shared" si="51"/>
        <v>0</v>
      </c>
      <c r="R473" s="17"/>
    </row>
    <row r="474" spans="1:18" ht="16.5" x14ac:dyDescent="0.25">
      <c r="A474" s="12">
        <v>1667</v>
      </c>
      <c r="B474" s="13" t="s">
        <v>272</v>
      </c>
      <c r="C474" s="13" t="s">
        <v>30</v>
      </c>
      <c r="D474" s="20"/>
      <c r="E474" s="15">
        <v>6400</v>
      </c>
      <c r="F474" s="15">
        <v>400</v>
      </c>
      <c r="G474" s="15">
        <v>400</v>
      </c>
      <c r="H474" s="15">
        <f t="shared" si="52"/>
        <v>7200</v>
      </c>
      <c r="I474" s="15">
        <f t="shared" si="53"/>
        <v>0</v>
      </c>
      <c r="J474" s="16"/>
      <c r="K474" s="15">
        <v>200000</v>
      </c>
      <c r="L474" s="15">
        <f t="shared" si="48"/>
        <v>0</v>
      </c>
      <c r="M474" s="16"/>
      <c r="N474" s="16"/>
      <c r="O474" s="15">
        <f t="shared" si="49"/>
        <v>0</v>
      </c>
      <c r="P474" s="15">
        <f t="shared" si="50"/>
        <v>200000</v>
      </c>
      <c r="Q474" s="15">
        <f t="shared" si="51"/>
        <v>-200000</v>
      </c>
      <c r="R474" s="17"/>
    </row>
    <row r="475" spans="1:18" ht="16.5" x14ac:dyDescent="0.25">
      <c r="A475" s="12">
        <v>1668</v>
      </c>
      <c r="B475" s="13" t="s">
        <v>154</v>
      </c>
      <c r="C475" s="13" t="s">
        <v>82</v>
      </c>
      <c r="D475" s="20">
        <v>782</v>
      </c>
      <c r="E475" s="15">
        <v>6400</v>
      </c>
      <c r="F475" s="15">
        <v>600</v>
      </c>
      <c r="G475" s="15">
        <v>400</v>
      </c>
      <c r="H475" s="15">
        <f t="shared" ref="H475" si="59">SUM(E475:G475)</f>
        <v>7400</v>
      </c>
      <c r="I475" s="15">
        <f t="shared" si="53"/>
        <v>5786800</v>
      </c>
      <c r="J475" s="16"/>
      <c r="K475" s="15"/>
      <c r="L475" s="15">
        <f t="shared" ref="L475" si="60">D475*20</f>
        <v>15640</v>
      </c>
      <c r="M475" s="16"/>
      <c r="N475" s="16"/>
      <c r="O475" s="15">
        <f t="shared" ref="O475" si="61">250*D475</f>
        <v>195500</v>
      </c>
      <c r="P475" s="15"/>
      <c r="Q475" s="15"/>
      <c r="R475" s="17"/>
    </row>
    <row r="476" spans="1:18" ht="16.5" x14ac:dyDescent="0.25">
      <c r="A476" s="12">
        <v>1669</v>
      </c>
      <c r="B476" s="13" t="s">
        <v>456</v>
      </c>
      <c r="C476" s="13" t="s">
        <v>36</v>
      </c>
      <c r="D476" s="20">
        <v>58</v>
      </c>
      <c r="E476" s="15">
        <v>6400</v>
      </c>
      <c r="F476" s="15">
        <v>400</v>
      </c>
      <c r="G476" s="15">
        <v>400</v>
      </c>
      <c r="H476" s="15">
        <f t="shared" ref="H476:H478" si="62">SUM(E476:G476)</f>
        <v>7200</v>
      </c>
      <c r="I476" s="15">
        <f t="shared" ref="I476:I478" si="63">H476*D476</f>
        <v>417600</v>
      </c>
      <c r="J476" s="16"/>
      <c r="K476" s="15"/>
      <c r="L476" s="15">
        <f t="shared" ref="L476:L478" si="64">D476*20</f>
        <v>1160</v>
      </c>
      <c r="M476" s="16"/>
      <c r="N476" s="16"/>
      <c r="O476" s="15">
        <f t="shared" ref="O476:O478" si="65">250*D476</f>
        <v>14500</v>
      </c>
      <c r="P476" s="15"/>
      <c r="Q476" s="15"/>
      <c r="R476" s="17"/>
    </row>
    <row r="477" spans="1:18" ht="16.5" x14ac:dyDescent="0.25">
      <c r="A477" s="12">
        <v>1670</v>
      </c>
      <c r="B477" s="13" t="s">
        <v>459</v>
      </c>
      <c r="C477" s="13" t="s">
        <v>36</v>
      </c>
      <c r="D477" s="20">
        <v>284</v>
      </c>
      <c r="E477" s="15">
        <v>6400</v>
      </c>
      <c r="F477" s="15">
        <v>500</v>
      </c>
      <c r="G477" s="15">
        <v>400</v>
      </c>
      <c r="H477" s="15">
        <f t="shared" si="62"/>
        <v>7300</v>
      </c>
      <c r="I477" s="15">
        <f t="shared" si="63"/>
        <v>2073200</v>
      </c>
      <c r="J477" s="16"/>
      <c r="K477" s="15"/>
      <c r="L477" s="15">
        <f t="shared" si="64"/>
        <v>5680</v>
      </c>
      <c r="M477" s="16"/>
      <c r="N477" s="16"/>
      <c r="O477" s="15">
        <f t="shared" si="65"/>
        <v>71000</v>
      </c>
      <c r="P477" s="15"/>
      <c r="Q477" s="15"/>
      <c r="R477" s="17"/>
    </row>
    <row r="478" spans="1:18" ht="16.5" x14ac:dyDescent="0.25">
      <c r="A478" s="12">
        <v>1671</v>
      </c>
      <c r="B478" s="13" t="s">
        <v>462</v>
      </c>
      <c r="C478" s="13" t="s">
        <v>30</v>
      </c>
      <c r="D478" s="20">
        <v>217</v>
      </c>
      <c r="E478" s="15">
        <v>6400</v>
      </c>
      <c r="F478" s="15">
        <v>600</v>
      </c>
      <c r="G478" s="15">
        <v>400</v>
      </c>
      <c r="H478" s="15">
        <f t="shared" si="62"/>
        <v>7400</v>
      </c>
      <c r="I478" s="15">
        <f t="shared" si="63"/>
        <v>1605800</v>
      </c>
      <c r="J478" s="16"/>
      <c r="K478" s="15"/>
      <c r="L478" s="15">
        <f t="shared" si="64"/>
        <v>4340</v>
      </c>
      <c r="M478" s="16"/>
      <c r="N478" s="16"/>
      <c r="O478" s="15">
        <f t="shared" si="65"/>
        <v>54250</v>
      </c>
      <c r="P478" s="15"/>
      <c r="Q478" s="15"/>
      <c r="R478" s="17"/>
    </row>
    <row r="479" spans="1:18" ht="16.5" x14ac:dyDescent="0.25">
      <c r="A479" s="12"/>
      <c r="B479" s="35" t="s">
        <v>390</v>
      </c>
      <c r="C479" s="35"/>
      <c r="D479" s="20">
        <f>SUM(D4:D478)</f>
        <v>26735</v>
      </c>
      <c r="E479" s="20">
        <f>SUM(E4:E478)</f>
        <v>3040000</v>
      </c>
      <c r="F479" s="20">
        <f t="shared" ref="F479:G479" si="66">SUM(F4:F478)</f>
        <v>180000</v>
      </c>
      <c r="G479" s="20">
        <f t="shared" si="66"/>
        <v>190000</v>
      </c>
      <c r="H479" s="20">
        <f t="shared" ref="H479:Q479" si="67">SUM(H4:H478)</f>
        <v>3402100</v>
      </c>
      <c r="I479" s="20">
        <f>SUM(I4:I478)</f>
        <v>195604500</v>
      </c>
      <c r="J479" s="20">
        <f t="shared" si="67"/>
        <v>300000</v>
      </c>
      <c r="K479" s="20">
        <f t="shared" si="67"/>
        <v>44265000</v>
      </c>
      <c r="L479" s="20">
        <f t="shared" si="67"/>
        <v>534700</v>
      </c>
      <c r="M479" s="20">
        <f t="shared" si="67"/>
        <v>0</v>
      </c>
      <c r="N479" s="20">
        <f t="shared" si="67"/>
        <v>0</v>
      </c>
      <c r="O479" s="20">
        <f t="shared" si="67"/>
        <v>6683750</v>
      </c>
      <c r="P479" s="20">
        <f t="shared" si="67"/>
        <v>51421380</v>
      </c>
      <c r="Q479" s="20">
        <f t="shared" si="67"/>
        <v>134299720</v>
      </c>
      <c r="R479" s="36"/>
    </row>
    <row r="480" spans="1:18" ht="16.5" x14ac:dyDescent="0.25">
      <c r="A480" s="37"/>
      <c r="B480" s="38"/>
      <c r="C480" s="38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39"/>
    </row>
    <row r="481" spans="1:18" ht="16.5" x14ac:dyDescent="0.25">
      <c r="A481" s="37"/>
      <c r="B481" s="38"/>
      <c r="C481" s="38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39"/>
    </row>
    <row r="482" spans="1:18" ht="16.5" x14ac:dyDescent="0.25">
      <c r="A482" s="37"/>
      <c r="B482" s="38"/>
      <c r="C482" s="38"/>
      <c r="D482" s="23" t="s">
        <v>391</v>
      </c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39"/>
    </row>
    <row r="483" spans="1:18" ht="16.5" x14ac:dyDescent="0.25">
      <c r="A483" s="37"/>
      <c r="B483" s="38"/>
      <c r="C483" s="38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39"/>
    </row>
    <row r="484" spans="1:18" ht="16.5" x14ac:dyDescent="0.25">
      <c r="A484" s="37"/>
      <c r="B484" s="38"/>
      <c r="C484" s="38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39"/>
    </row>
    <row r="485" spans="1:18" ht="16.5" x14ac:dyDescent="0.25">
      <c r="A485" s="37"/>
      <c r="B485" s="38"/>
      <c r="C485" s="38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39"/>
    </row>
    <row r="486" spans="1:18" ht="16.5" x14ac:dyDescent="0.25">
      <c r="A486" s="37"/>
      <c r="B486" s="38"/>
      <c r="C486" s="38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39"/>
    </row>
    <row r="487" spans="1:18" ht="16.5" x14ac:dyDescent="0.25">
      <c r="A487" s="37"/>
      <c r="B487" s="38"/>
      <c r="C487" s="38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39"/>
    </row>
    <row r="488" spans="1:18" ht="16.5" x14ac:dyDescent="0.25">
      <c r="A488" s="37"/>
      <c r="B488" s="38"/>
      <c r="C488" s="38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39"/>
    </row>
    <row r="489" spans="1:18" ht="16.5" x14ac:dyDescent="0.25">
      <c r="A489" s="37"/>
      <c r="B489" s="38"/>
      <c r="C489" s="38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39"/>
    </row>
    <row r="490" spans="1:18" ht="16.5" x14ac:dyDescent="0.25">
      <c r="A490" s="37"/>
      <c r="B490" s="38"/>
      <c r="C490" s="38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39"/>
    </row>
    <row r="491" spans="1:18" ht="16.5" x14ac:dyDescent="0.25">
      <c r="A491" s="37"/>
      <c r="B491" s="38"/>
      <c r="C491" s="38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39"/>
    </row>
    <row r="492" spans="1:18" ht="18" x14ac:dyDescent="0.2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</row>
    <row r="493" spans="1:18" ht="16.5" x14ac:dyDescent="0.25">
      <c r="A493" s="5" t="s">
        <v>2</v>
      </c>
      <c r="B493" s="6" t="s">
        <v>3</v>
      </c>
      <c r="C493" s="6" t="s">
        <v>4</v>
      </c>
      <c r="D493" s="7" t="s">
        <v>5</v>
      </c>
      <c r="E493" s="8" t="s">
        <v>428</v>
      </c>
      <c r="F493" s="8" t="s">
        <v>429</v>
      </c>
      <c r="G493" s="8" t="s">
        <v>430</v>
      </c>
      <c r="H493" s="8" t="s">
        <v>431</v>
      </c>
      <c r="I493" s="8" t="s">
        <v>432</v>
      </c>
      <c r="J493" s="9" t="s">
        <v>7</v>
      </c>
      <c r="K493" s="9" t="s">
        <v>8</v>
      </c>
      <c r="L493" s="10" t="s">
        <v>9</v>
      </c>
      <c r="M493" s="10" t="s">
        <v>10</v>
      </c>
      <c r="N493" s="10" t="s">
        <v>427</v>
      </c>
      <c r="O493" s="10" t="s">
        <v>11</v>
      </c>
      <c r="P493" s="10" t="s">
        <v>12</v>
      </c>
      <c r="Q493" s="10" t="s">
        <v>13</v>
      </c>
      <c r="R493" s="11" t="s">
        <v>14</v>
      </c>
    </row>
    <row r="494" spans="1:18" ht="16.5" x14ac:dyDescent="0.25">
      <c r="A494" s="12">
        <v>0</v>
      </c>
      <c r="B494" s="13" t="s">
        <v>36</v>
      </c>
      <c r="C494" s="13"/>
      <c r="D494" s="40">
        <v>60</v>
      </c>
      <c r="E494" s="16">
        <v>7300</v>
      </c>
      <c r="F494" s="16"/>
      <c r="G494" s="16"/>
      <c r="H494" s="15">
        <f t="shared" ref="H494:H502" si="68">SUM(E494:G494)</f>
        <v>7300</v>
      </c>
      <c r="I494" s="15">
        <f t="shared" ref="I494:I502" si="69">D494*H494</f>
        <v>438000</v>
      </c>
      <c r="J494" s="20"/>
      <c r="K494" s="15"/>
      <c r="L494" s="15"/>
      <c r="M494" s="20"/>
      <c r="N494" s="20"/>
      <c r="O494" s="22"/>
      <c r="P494" s="15">
        <f t="shared" ref="P494:P502" si="70">SUM(J494:O494)</f>
        <v>0</v>
      </c>
      <c r="Q494" s="15">
        <f t="shared" ref="Q494:Q502" si="71">I494-P494</f>
        <v>438000</v>
      </c>
      <c r="R494" s="36"/>
    </row>
    <row r="495" spans="1:18" ht="16.5" x14ac:dyDescent="0.25">
      <c r="A495" s="12">
        <v>0</v>
      </c>
      <c r="B495" s="13" t="s">
        <v>25</v>
      </c>
      <c r="C495" s="13"/>
      <c r="D495" s="20">
        <v>96</v>
      </c>
      <c r="E495" s="16">
        <v>7300</v>
      </c>
      <c r="F495" s="16"/>
      <c r="G495" s="16"/>
      <c r="H495" s="15">
        <f t="shared" si="68"/>
        <v>7300</v>
      </c>
      <c r="I495" s="15">
        <f t="shared" si="69"/>
        <v>700800</v>
      </c>
      <c r="J495" s="20"/>
      <c r="K495" s="15"/>
      <c r="L495" s="15"/>
      <c r="M495" s="20"/>
      <c r="N495" s="20"/>
      <c r="O495" s="22"/>
      <c r="P495" s="15">
        <f t="shared" si="70"/>
        <v>0</v>
      </c>
      <c r="Q495" s="15">
        <f t="shared" si="71"/>
        <v>700800</v>
      </c>
      <c r="R495" s="36"/>
    </row>
    <row r="496" spans="1:18" ht="16.5" x14ac:dyDescent="0.25">
      <c r="A496" s="12">
        <v>0</v>
      </c>
      <c r="B496" s="13" t="s">
        <v>21</v>
      </c>
      <c r="C496" s="13"/>
      <c r="D496" s="20">
        <v>9</v>
      </c>
      <c r="E496" s="16">
        <v>7300</v>
      </c>
      <c r="F496" s="16"/>
      <c r="G496" s="16"/>
      <c r="H496" s="15">
        <f t="shared" si="68"/>
        <v>7300</v>
      </c>
      <c r="I496" s="15">
        <f t="shared" si="69"/>
        <v>65700</v>
      </c>
      <c r="J496" s="20"/>
      <c r="K496" s="15"/>
      <c r="L496" s="15"/>
      <c r="M496" s="20"/>
      <c r="N496" s="20"/>
      <c r="O496" s="22"/>
      <c r="P496" s="15">
        <f t="shared" si="70"/>
        <v>0</v>
      </c>
      <c r="Q496" s="15">
        <f t="shared" si="71"/>
        <v>65700</v>
      </c>
      <c r="R496" s="36"/>
    </row>
    <row r="497" spans="1:18" ht="16.5" x14ac:dyDescent="0.25">
      <c r="A497" s="12">
        <v>0</v>
      </c>
      <c r="B497" s="13" t="s">
        <v>47</v>
      </c>
      <c r="C497" s="13"/>
      <c r="D497" s="20">
        <v>50</v>
      </c>
      <c r="E497" s="16">
        <v>7300</v>
      </c>
      <c r="F497" s="16"/>
      <c r="G497" s="16"/>
      <c r="H497" s="15">
        <f t="shared" si="68"/>
        <v>7300</v>
      </c>
      <c r="I497" s="15">
        <f t="shared" si="69"/>
        <v>365000</v>
      </c>
      <c r="J497" s="20"/>
      <c r="K497" s="15"/>
      <c r="L497" s="15"/>
      <c r="M497" s="20"/>
      <c r="N497" s="20"/>
      <c r="O497" s="22"/>
      <c r="P497" s="15">
        <f t="shared" si="70"/>
        <v>0</v>
      </c>
      <c r="Q497" s="15">
        <f t="shared" si="71"/>
        <v>365000</v>
      </c>
      <c r="R497" s="36"/>
    </row>
    <row r="498" spans="1:18" ht="16.5" x14ac:dyDescent="0.25">
      <c r="A498" s="12">
        <v>0</v>
      </c>
      <c r="B498" s="13" t="s">
        <v>43</v>
      </c>
      <c r="C498" s="13"/>
      <c r="D498" s="20">
        <v>230</v>
      </c>
      <c r="E498" s="16">
        <v>7300</v>
      </c>
      <c r="F498" s="16"/>
      <c r="G498" s="16"/>
      <c r="H498" s="15">
        <f t="shared" si="68"/>
        <v>7300</v>
      </c>
      <c r="I498" s="15">
        <f t="shared" si="69"/>
        <v>1679000</v>
      </c>
      <c r="J498" s="20"/>
      <c r="K498" s="15"/>
      <c r="L498" s="15"/>
      <c r="M498" s="20"/>
      <c r="N498" s="20"/>
      <c r="O498" s="22"/>
      <c r="P498" s="15">
        <f t="shared" si="70"/>
        <v>0</v>
      </c>
      <c r="Q498" s="15">
        <f t="shared" si="71"/>
        <v>1679000</v>
      </c>
      <c r="R498" s="36"/>
    </row>
    <row r="499" spans="1:18" ht="16.5" x14ac:dyDescent="0.25">
      <c r="A499" s="12">
        <v>0</v>
      </c>
      <c r="B499" s="13" t="s">
        <v>30</v>
      </c>
      <c r="C499" s="13"/>
      <c r="D499" s="20">
        <v>190</v>
      </c>
      <c r="E499" s="16">
        <v>7300</v>
      </c>
      <c r="F499" s="16"/>
      <c r="G499" s="16"/>
      <c r="H499" s="15">
        <f t="shared" si="68"/>
        <v>7300</v>
      </c>
      <c r="I499" s="15">
        <f t="shared" si="69"/>
        <v>1387000</v>
      </c>
      <c r="J499" s="20"/>
      <c r="K499" s="15"/>
      <c r="L499" s="15"/>
      <c r="M499" s="20"/>
      <c r="N499" s="20"/>
      <c r="O499" s="22"/>
      <c r="P499" s="15">
        <f t="shared" si="70"/>
        <v>0</v>
      </c>
      <c r="Q499" s="15">
        <f t="shared" si="71"/>
        <v>1387000</v>
      </c>
      <c r="R499" s="36"/>
    </row>
    <row r="500" spans="1:18" ht="16.5" x14ac:dyDescent="0.25">
      <c r="A500" s="12">
        <v>0</v>
      </c>
      <c r="B500" s="13" t="s">
        <v>54</v>
      </c>
      <c r="C500" s="13"/>
      <c r="D500" s="20">
        <v>80</v>
      </c>
      <c r="E500" s="16">
        <v>7300</v>
      </c>
      <c r="F500" s="16"/>
      <c r="G500" s="16"/>
      <c r="H500" s="15">
        <f t="shared" si="68"/>
        <v>7300</v>
      </c>
      <c r="I500" s="15">
        <f t="shared" si="69"/>
        <v>584000</v>
      </c>
      <c r="J500" s="20"/>
      <c r="K500" s="15"/>
      <c r="L500" s="15"/>
      <c r="M500" s="20"/>
      <c r="N500" s="20"/>
      <c r="O500" s="22"/>
      <c r="P500" s="15">
        <f t="shared" si="70"/>
        <v>0</v>
      </c>
      <c r="Q500" s="15">
        <f t="shared" si="71"/>
        <v>584000</v>
      </c>
      <c r="R500" s="36"/>
    </row>
    <row r="501" spans="1:18" ht="16.5" x14ac:dyDescent="0.25">
      <c r="A501" s="12">
        <v>0</v>
      </c>
      <c r="B501" s="13" t="s">
        <v>392</v>
      </c>
      <c r="C501" s="13"/>
      <c r="D501" s="20">
        <v>20</v>
      </c>
      <c r="E501" s="16">
        <v>7300</v>
      </c>
      <c r="F501" s="16"/>
      <c r="G501" s="16"/>
      <c r="H501" s="15">
        <f t="shared" si="68"/>
        <v>7300</v>
      </c>
      <c r="I501" s="15">
        <f t="shared" si="69"/>
        <v>146000</v>
      </c>
      <c r="J501" s="20"/>
      <c r="K501" s="15"/>
      <c r="L501" s="15"/>
      <c r="M501" s="20"/>
      <c r="N501" s="20"/>
      <c r="O501" s="22"/>
      <c r="P501" s="15">
        <f t="shared" si="70"/>
        <v>0</v>
      </c>
      <c r="Q501" s="15">
        <f t="shared" si="71"/>
        <v>146000</v>
      </c>
      <c r="R501" s="36"/>
    </row>
    <row r="502" spans="1:18" ht="16.5" x14ac:dyDescent="0.25">
      <c r="A502" s="12">
        <v>0</v>
      </c>
      <c r="B502" s="41" t="s">
        <v>19</v>
      </c>
      <c r="C502" s="13"/>
      <c r="D502" s="20"/>
      <c r="E502" s="16">
        <v>7300</v>
      </c>
      <c r="F502" s="16"/>
      <c r="G502" s="16"/>
      <c r="H502" s="15">
        <f t="shared" si="68"/>
        <v>7300</v>
      </c>
      <c r="I502" s="15">
        <f t="shared" si="69"/>
        <v>0</v>
      </c>
      <c r="J502" s="20"/>
      <c r="K502" s="15"/>
      <c r="L502" s="15"/>
      <c r="M502" s="20"/>
      <c r="N502" s="20"/>
      <c r="O502" s="22"/>
      <c r="P502" s="15">
        <f t="shared" si="70"/>
        <v>0</v>
      </c>
      <c r="Q502" s="15">
        <f t="shared" si="71"/>
        <v>0</v>
      </c>
      <c r="R502" s="36"/>
    </row>
    <row r="503" spans="1:18" ht="16.5" x14ac:dyDescent="0.25">
      <c r="A503" s="12"/>
      <c r="B503" s="42"/>
      <c r="C503" s="43"/>
      <c r="D503" s="20"/>
      <c r="E503" s="15"/>
      <c r="F503" s="15"/>
      <c r="G503" s="15"/>
      <c r="H503" s="15"/>
      <c r="I503" s="15"/>
      <c r="J503" s="20"/>
      <c r="K503" s="15"/>
      <c r="L503" s="15"/>
      <c r="M503" s="20"/>
      <c r="N503" s="20"/>
      <c r="O503" s="22"/>
      <c r="P503" s="15"/>
      <c r="Q503" s="15">
        <f>H503-P503</f>
        <v>0</v>
      </c>
      <c r="R503" s="36"/>
    </row>
    <row r="504" spans="1:18" ht="16.5" x14ac:dyDescent="0.25">
      <c r="A504" s="44"/>
      <c r="B504" s="45" t="s">
        <v>393</v>
      </c>
      <c r="C504" s="46"/>
      <c r="D504" s="22">
        <f t="shared" ref="D504:Q504" si="72">SUM(D494:D503)</f>
        <v>735</v>
      </c>
      <c r="E504" s="22">
        <f t="shared" si="72"/>
        <v>65700</v>
      </c>
      <c r="F504" s="22">
        <f t="shared" ref="F504:G504" si="73">SUM(F494:F503)</f>
        <v>0</v>
      </c>
      <c r="G504" s="22">
        <f t="shared" si="73"/>
        <v>0</v>
      </c>
      <c r="H504" s="22">
        <f t="shared" si="72"/>
        <v>65700</v>
      </c>
      <c r="I504" s="22">
        <f t="shared" si="72"/>
        <v>5365500</v>
      </c>
      <c r="J504" s="22">
        <f t="shared" si="72"/>
        <v>0</v>
      </c>
      <c r="K504" s="22">
        <f t="shared" si="72"/>
        <v>0</v>
      </c>
      <c r="L504" s="22">
        <f t="shared" si="72"/>
        <v>0</v>
      </c>
      <c r="M504" s="22">
        <f t="shared" si="72"/>
        <v>0</v>
      </c>
      <c r="N504" s="22">
        <f t="shared" si="72"/>
        <v>0</v>
      </c>
      <c r="O504" s="22">
        <f t="shared" si="72"/>
        <v>0</v>
      </c>
      <c r="P504" s="22">
        <f t="shared" si="72"/>
        <v>0</v>
      </c>
      <c r="Q504" s="22">
        <f t="shared" si="72"/>
        <v>5365500</v>
      </c>
      <c r="R504" s="47"/>
    </row>
    <row r="505" spans="1:18" ht="16.5" x14ac:dyDescent="0.25">
      <c r="A505" s="48"/>
      <c r="B505" s="49"/>
      <c r="C505" s="49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1"/>
    </row>
    <row r="506" spans="1:18" ht="16.5" x14ac:dyDescent="0.25">
      <c r="A506" s="48"/>
      <c r="B506" s="49"/>
      <c r="C506" s="49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1"/>
    </row>
    <row r="507" spans="1:18" ht="16.5" x14ac:dyDescent="0.25">
      <c r="A507" s="48"/>
      <c r="B507" s="49"/>
      <c r="C507" s="49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1"/>
    </row>
    <row r="508" spans="1:18" ht="16.5" x14ac:dyDescent="0.25">
      <c r="A508" s="48"/>
      <c r="B508" s="49"/>
      <c r="C508" s="49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1"/>
    </row>
    <row r="509" spans="1:18" ht="16.5" x14ac:dyDescent="0.25">
      <c r="A509" s="48"/>
      <c r="B509" s="49"/>
      <c r="C509" s="49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1"/>
    </row>
    <row r="510" spans="1:18" ht="16.5" x14ac:dyDescent="0.25">
      <c r="A510" s="48"/>
      <c r="B510" s="49"/>
      <c r="C510" s="4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1"/>
    </row>
    <row r="511" spans="1:18" ht="16.5" x14ac:dyDescent="0.25">
      <c r="A511" s="48"/>
      <c r="B511" s="49"/>
      <c r="C511" s="49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1"/>
    </row>
    <row r="512" spans="1:18" ht="16.5" x14ac:dyDescent="0.25">
      <c r="A512" s="48"/>
      <c r="B512" s="49"/>
      <c r="C512" s="4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1"/>
    </row>
    <row r="513" spans="1:18" x14ac:dyDescent="0.2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3"/>
    </row>
    <row r="514" spans="1:18" ht="18" x14ac:dyDescent="0.25">
      <c r="A514" s="73">
        <f>A492</f>
        <v>0</v>
      </c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1:18" ht="16.5" x14ac:dyDescent="0.25">
      <c r="A515" s="5" t="s">
        <v>2</v>
      </c>
      <c r="B515" s="6" t="s">
        <v>3</v>
      </c>
      <c r="C515" s="6" t="s">
        <v>4</v>
      </c>
      <c r="D515" s="54" t="s">
        <v>5</v>
      </c>
      <c r="E515" s="55" t="s">
        <v>6</v>
      </c>
      <c r="F515" s="55" t="s">
        <v>429</v>
      </c>
      <c r="G515" s="55" t="s">
        <v>430</v>
      </c>
      <c r="H515" s="55" t="s">
        <v>431</v>
      </c>
      <c r="I515" s="55" t="s">
        <v>434</v>
      </c>
      <c r="J515" s="9" t="s">
        <v>7</v>
      </c>
      <c r="K515" s="9" t="s">
        <v>8</v>
      </c>
      <c r="L515" s="10" t="s">
        <v>9</v>
      </c>
      <c r="M515" s="10" t="s">
        <v>10</v>
      </c>
      <c r="N515" s="10"/>
      <c r="O515" s="10" t="s">
        <v>11</v>
      </c>
      <c r="P515" s="10" t="s">
        <v>12</v>
      </c>
      <c r="Q515" s="10" t="s">
        <v>13</v>
      </c>
      <c r="R515" s="11" t="s">
        <v>14</v>
      </c>
    </row>
    <row r="516" spans="1:18" ht="16.5" x14ac:dyDescent="0.3">
      <c r="A516" s="56"/>
      <c r="B516" s="57" t="s">
        <v>394</v>
      </c>
      <c r="C516" s="58" t="s">
        <v>464</v>
      </c>
      <c r="E516" s="16">
        <v>7200</v>
      </c>
      <c r="F516" s="16"/>
      <c r="G516" s="16"/>
      <c r="H516" s="15">
        <f t="shared" ref="H516:H524" si="74">SUM(E516:G516)</f>
        <v>7200</v>
      </c>
      <c r="I516" s="15">
        <f t="shared" ref="I516:I524" si="75">D516*H516</f>
        <v>0</v>
      </c>
      <c r="J516" s="15"/>
      <c r="K516" s="15"/>
      <c r="L516" s="15"/>
      <c r="M516" s="15"/>
      <c r="N516" s="15"/>
      <c r="O516" s="15"/>
      <c r="P516" s="15">
        <f t="shared" ref="P516:P524" si="76">SUM(J516:O516)</f>
        <v>0</v>
      </c>
      <c r="Q516" s="15">
        <f t="shared" ref="Q516:Q524" si="77">I516-P516</f>
        <v>0</v>
      </c>
      <c r="R516" s="59"/>
    </row>
    <row r="517" spans="1:18" ht="16.5" x14ac:dyDescent="0.3">
      <c r="A517" s="56"/>
      <c r="B517" s="57" t="s">
        <v>444</v>
      </c>
      <c r="C517" s="60" t="s">
        <v>445</v>
      </c>
      <c r="D517" s="61"/>
      <c r="E517" s="16">
        <v>8000</v>
      </c>
      <c r="F517" s="16"/>
      <c r="G517" s="16"/>
      <c r="H517" s="15">
        <f t="shared" si="74"/>
        <v>8000</v>
      </c>
      <c r="I517" s="15">
        <f t="shared" si="75"/>
        <v>0</v>
      </c>
      <c r="J517" s="15"/>
      <c r="K517" s="15"/>
      <c r="L517" s="15"/>
      <c r="M517" s="15"/>
      <c r="N517" s="15"/>
      <c r="O517" s="15"/>
      <c r="P517" s="15">
        <f t="shared" si="76"/>
        <v>0</v>
      </c>
      <c r="Q517" s="15">
        <f t="shared" si="77"/>
        <v>0</v>
      </c>
      <c r="R517" s="59"/>
    </row>
    <row r="518" spans="1:18" ht="16.5" x14ac:dyDescent="0.3">
      <c r="A518" s="56"/>
      <c r="B518" s="57" t="s">
        <v>395</v>
      </c>
      <c r="C518" s="58"/>
      <c r="D518" s="62"/>
      <c r="E518" s="16">
        <v>7000</v>
      </c>
      <c r="F518" s="16"/>
      <c r="G518" s="16"/>
      <c r="H518" s="15">
        <f t="shared" si="74"/>
        <v>7000</v>
      </c>
      <c r="I518" s="15">
        <f t="shared" si="75"/>
        <v>0</v>
      </c>
      <c r="J518" s="15"/>
      <c r="K518" s="15"/>
      <c r="L518" s="15"/>
      <c r="M518" s="15"/>
      <c r="N518" s="15"/>
      <c r="O518" s="15"/>
      <c r="P518" s="15">
        <f t="shared" si="76"/>
        <v>0</v>
      </c>
      <c r="Q518" s="15">
        <f t="shared" si="77"/>
        <v>0</v>
      </c>
      <c r="R518" s="59"/>
    </row>
    <row r="519" spans="1:18" ht="16.5" x14ac:dyDescent="0.3">
      <c r="A519" s="56"/>
      <c r="B519" s="57" t="s">
        <v>396</v>
      </c>
      <c r="C519" s="58"/>
      <c r="D519" s="61"/>
      <c r="E519" s="16"/>
      <c r="F519" s="16"/>
      <c r="G519" s="16"/>
      <c r="H519" s="15">
        <f t="shared" si="74"/>
        <v>0</v>
      </c>
      <c r="I519" s="15">
        <f t="shared" si="75"/>
        <v>0</v>
      </c>
      <c r="J519" s="15"/>
      <c r="K519" s="15"/>
      <c r="L519" s="15"/>
      <c r="M519" s="15"/>
      <c r="N519" s="15"/>
      <c r="O519" s="15"/>
      <c r="P519" s="15">
        <f t="shared" si="76"/>
        <v>0</v>
      </c>
      <c r="Q519" s="15">
        <f t="shared" si="77"/>
        <v>0</v>
      </c>
      <c r="R519" s="59"/>
    </row>
    <row r="520" spans="1:18" ht="16.5" x14ac:dyDescent="0.3">
      <c r="A520" s="56"/>
      <c r="B520" s="57" t="s">
        <v>466</v>
      </c>
      <c r="C520" s="58" t="s">
        <v>416</v>
      </c>
      <c r="D520" s="61">
        <v>850</v>
      </c>
      <c r="E520" s="16">
        <v>7200</v>
      </c>
      <c r="F520" s="16"/>
      <c r="G520" s="16"/>
      <c r="H520" s="15">
        <f t="shared" si="74"/>
        <v>7200</v>
      </c>
      <c r="I520" s="15">
        <f t="shared" si="75"/>
        <v>6120000</v>
      </c>
      <c r="J520" s="15"/>
      <c r="K520" s="15"/>
      <c r="L520" s="15"/>
      <c r="M520" s="15"/>
      <c r="N520" s="15"/>
      <c r="O520" s="15"/>
      <c r="P520" s="15">
        <f t="shared" si="76"/>
        <v>0</v>
      </c>
      <c r="Q520" s="15">
        <f t="shared" si="77"/>
        <v>6120000</v>
      </c>
      <c r="R520" s="59"/>
    </row>
    <row r="521" spans="1:18" ht="16.5" x14ac:dyDescent="0.3">
      <c r="A521" s="56"/>
      <c r="B521" s="60" t="s">
        <v>397</v>
      </c>
      <c r="C521" s="58"/>
      <c r="D521" s="61"/>
      <c r="E521" s="16"/>
      <c r="F521" s="16"/>
      <c r="G521" s="16"/>
      <c r="H521" s="15">
        <f t="shared" si="74"/>
        <v>0</v>
      </c>
      <c r="I521" s="15">
        <f t="shared" si="75"/>
        <v>0</v>
      </c>
      <c r="J521" s="15"/>
      <c r="K521" s="15"/>
      <c r="L521" s="15"/>
      <c r="M521" s="15"/>
      <c r="N521" s="15"/>
      <c r="O521" s="15"/>
      <c r="P521" s="15">
        <f t="shared" si="76"/>
        <v>0</v>
      </c>
      <c r="Q521" s="15">
        <f t="shared" si="77"/>
        <v>0</v>
      </c>
      <c r="R521" s="59"/>
    </row>
    <row r="522" spans="1:18" ht="16.5" x14ac:dyDescent="0.3">
      <c r="A522" s="56"/>
      <c r="B522" s="58" t="s">
        <v>398</v>
      </c>
      <c r="C522" s="58" t="s">
        <v>465</v>
      </c>
      <c r="D522" s="61">
        <v>1240</v>
      </c>
      <c r="E522" s="61">
        <v>7500</v>
      </c>
      <c r="F522" s="61"/>
      <c r="G522" s="61"/>
      <c r="H522" s="15">
        <f t="shared" si="74"/>
        <v>7500</v>
      </c>
      <c r="I522" s="15">
        <f t="shared" si="75"/>
        <v>9300000</v>
      </c>
      <c r="J522" s="15"/>
      <c r="K522" s="15"/>
      <c r="L522" s="15"/>
      <c r="M522" s="15"/>
      <c r="N522" s="15"/>
      <c r="O522" s="15"/>
      <c r="P522" s="15">
        <f t="shared" si="76"/>
        <v>0</v>
      </c>
      <c r="Q522" s="15">
        <f t="shared" si="77"/>
        <v>9300000</v>
      </c>
      <c r="R522" s="59"/>
    </row>
    <row r="523" spans="1:18" ht="16.5" x14ac:dyDescent="0.3">
      <c r="A523" s="56"/>
      <c r="B523" s="58" t="s">
        <v>467</v>
      </c>
      <c r="C523" s="58" t="s">
        <v>463</v>
      </c>
      <c r="D523" s="61">
        <v>1355</v>
      </c>
      <c r="E523" s="61">
        <v>7500</v>
      </c>
      <c r="F523" s="61"/>
      <c r="G523" s="61"/>
      <c r="H523" s="15">
        <f t="shared" si="74"/>
        <v>7500</v>
      </c>
      <c r="I523" s="15">
        <f t="shared" si="75"/>
        <v>10162500</v>
      </c>
      <c r="J523" s="15">
        <v>0</v>
      </c>
      <c r="K523" s="15">
        <v>0</v>
      </c>
      <c r="L523" s="15">
        <v>0</v>
      </c>
      <c r="M523" s="15">
        <v>0</v>
      </c>
      <c r="N523" s="15"/>
      <c r="O523" s="15">
        <v>0</v>
      </c>
      <c r="P523" s="15">
        <f t="shared" si="76"/>
        <v>0</v>
      </c>
      <c r="Q523" s="15">
        <f t="shared" si="77"/>
        <v>10162500</v>
      </c>
      <c r="R523" s="59"/>
    </row>
    <row r="524" spans="1:18" ht="16.5" x14ac:dyDescent="0.3">
      <c r="A524" s="56"/>
      <c r="B524" s="58" t="s">
        <v>413</v>
      </c>
      <c r="C524" s="58"/>
      <c r="D524" s="61"/>
      <c r="E524" s="61"/>
      <c r="F524" s="61"/>
      <c r="G524" s="61"/>
      <c r="H524" s="15">
        <f t="shared" si="74"/>
        <v>0</v>
      </c>
      <c r="I524" s="15">
        <f t="shared" si="75"/>
        <v>0</v>
      </c>
      <c r="J524" s="15"/>
      <c r="K524" s="15"/>
      <c r="L524" s="15"/>
      <c r="M524" s="15"/>
      <c r="N524" s="15"/>
      <c r="O524" s="15"/>
      <c r="P524" s="15">
        <f t="shared" si="76"/>
        <v>0</v>
      </c>
      <c r="Q524" s="15">
        <f t="shared" si="77"/>
        <v>0</v>
      </c>
      <c r="R524" s="59"/>
    </row>
    <row r="525" spans="1:18" ht="16.5" x14ac:dyDescent="0.25">
      <c r="A525" s="74" t="s">
        <v>399</v>
      </c>
      <c r="B525" s="75"/>
      <c r="C525" s="76"/>
      <c r="D525" s="22">
        <f t="shared" ref="D525:Q525" si="78">SUM(D516:D524)</f>
        <v>3445</v>
      </c>
      <c r="E525" s="22">
        <f t="shared" si="78"/>
        <v>44400</v>
      </c>
      <c r="F525" s="22">
        <f t="shared" ref="F525:G525" si="79">SUM(F516:F524)</f>
        <v>0</v>
      </c>
      <c r="G525" s="22">
        <f t="shared" si="79"/>
        <v>0</v>
      </c>
      <c r="H525" s="22">
        <f t="shared" si="78"/>
        <v>44400</v>
      </c>
      <c r="I525" s="22">
        <f t="shared" si="78"/>
        <v>25582500</v>
      </c>
      <c r="J525" s="22">
        <f t="shared" si="78"/>
        <v>0</v>
      </c>
      <c r="K525" s="22">
        <f t="shared" si="78"/>
        <v>0</v>
      </c>
      <c r="L525" s="22">
        <f t="shared" si="78"/>
        <v>0</v>
      </c>
      <c r="M525" s="22">
        <f t="shared" si="78"/>
        <v>0</v>
      </c>
      <c r="N525" s="22">
        <f t="shared" si="78"/>
        <v>0</v>
      </c>
      <c r="O525" s="22">
        <f t="shared" si="78"/>
        <v>0</v>
      </c>
      <c r="P525" s="22">
        <f t="shared" si="78"/>
        <v>0</v>
      </c>
      <c r="Q525" s="22">
        <f t="shared" si="78"/>
        <v>25582500</v>
      </c>
      <c r="R525" s="47"/>
    </row>
    <row r="526" spans="1:18" ht="16.5" x14ac:dyDescent="0.25">
      <c r="A526" s="74" t="s">
        <v>400</v>
      </c>
      <c r="B526" s="75"/>
      <c r="C526" s="76"/>
      <c r="D526" s="22">
        <f t="shared" ref="D526:Q526" si="80">SUM(D504,D479,D525)</f>
        <v>30915</v>
      </c>
      <c r="E526" s="22">
        <f t="shared" si="80"/>
        <v>3150100</v>
      </c>
      <c r="F526" s="22">
        <f t="shared" si="80"/>
        <v>180000</v>
      </c>
      <c r="G526" s="22">
        <f t="shared" si="80"/>
        <v>190000</v>
      </c>
      <c r="H526" s="22">
        <f t="shared" si="80"/>
        <v>3512200</v>
      </c>
      <c r="I526" s="22">
        <f t="shared" si="80"/>
        <v>226552500</v>
      </c>
      <c r="J526" s="22">
        <f t="shared" si="80"/>
        <v>300000</v>
      </c>
      <c r="K526" s="22">
        <f t="shared" si="80"/>
        <v>44265000</v>
      </c>
      <c r="L526" s="22">
        <f t="shared" si="80"/>
        <v>534700</v>
      </c>
      <c r="M526" s="22">
        <f t="shared" si="80"/>
        <v>0</v>
      </c>
      <c r="N526" s="22">
        <f t="shared" si="80"/>
        <v>0</v>
      </c>
      <c r="O526" s="22">
        <f t="shared" si="80"/>
        <v>6683750</v>
      </c>
      <c r="P526" s="22">
        <f t="shared" si="80"/>
        <v>51421380</v>
      </c>
      <c r="Q526" s="22">
        <f t="shared" si="80"/>
        <v>165247720</v>
      </c>
      <c r="R526" s="47"/>
    </row>
    <row r="527" spans="1:18" x14ac:dyDescent="0.25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</row>
    <row r="528" spans="1:18" x14ac:dyDescent="0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63"/>
    </row>
    <row r="529" spans="1:18" x14ac:dyDescent="0.2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63"/>
    </row>
    <row r="530" spans="1:18" ht="16.5" x14ac:dyDescent="0.3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64" t="s">
        <v>469</v>
      </c>
      <c r="N530" s="64"/>
      <c r="O530" s="64"/>
      <c r="P530" s="64"/>
      <c r="Q530" s="52"/>
      <c r="R530" s="53"/>
    </row>
    <row r="531" spans="1:18" ht="16.5" x14ac:dyDescent="0.3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65" t="s">
        <v>401</v>
      </c>
      <c r="N531" s="65"/>
      <c r="O531" s="65"/>
      <c r="P531" s="65"/>
      <c r="Q531" s="52"/>
      <c r="R531" s="53"/>
    </row>
    <row r="532" spans="1:18" ht="16.5" x14ac:dyDescent="0.3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64" t="s">
        <v>402</v>
      </c>
      <c r="N532" s="64"/>
      <c r="O532" s="64"/>
      <c r="P532" s="64"/>
      <c r="Q532" s="52"/>
      <c r="R532" s="53"/>
    </row>
    <row r="533" spans="1:18" ht="16.5" x14ac:dyDescent="0.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66"/>
      <c r="N533" s="66"/>
      <c r="O533" s="66"/>
      <c r="P533" s="66"/>
      <c r="Q533" s="52"/>
      <c r="R533" s="53"/>
    </row>
    <row r="534" spans="1:18" ht="16.5" x14ac:dyDescent="0.3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66"/>
      <c r="N534" s="66"/>
      <c r="O534" s="66"/>
      <c r="P534" s="66"/>
      <c r="Q534" s="52"/>
      <c r="R534" s="53"/>
    </row>
    <row r="535" spans="1:18" ht="16.5" x14ac:dyDescent="0.3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66"/>
      <c r="N535" s="66"/>
      <c r="O535" s="66"/>
      <c r="P535" s="66"/>
      <c r="Q535" s="52"/>
      <c r="R535" s="53"/>
    </row>
    <row r="536" spans="1:18" ht="16.5" x14ac:dyDescent="0.3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64" t="s">
        <v>403</v>
      </c>
      <c r="N536" s="64"/>
      <c r="O536" s="64"/>
      <c r="P536" s="64"/>
      <c r="Q536" s="52"/>
      <c r="R536" s="53"/>
    </row>
    <row r="537" spans="1:18" ht="16.5" x14ac:dyDescent="0.3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64" t="s">
        <v>404</v>
      </c>
      <c r="N537" s="64"/>
      <c r="O537" s="64"/>
      <c r="P537" s="64"/>
      <c r="Q537" s="52"/>
      <c r="R537" s="53"/>
    </row>
    <row r="538" spans="1:18" x14ac:dyDescent="0.2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63"/>
    </row>
    <row r="539" spans="1:18" x14ac:dyDescent="0.2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63"/>
    </row>
    <row r="540" spans="1:18" x14ac:dyDescent="0.2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63"/>
    </row>
    <row r="541" spans="1:18" x14ac:dyDescent="0.2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63"/>
    </row>
    <row r="542" spans="1:18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63"/>
    </row>
  </sheetData>
  <mergeCells count="9">
    <mergeCell ref="A514:R514"/>
    <mergeCell ref="A525:C525"/>
    <mergeCell ref="A526:C526"/>
    <mergeCell ref="A492:R492"/>
    <mergeCell ref="A1:R1"/>
    <mergeCell ref="B2:C2"/>
    <mergeCell ref="D2:H2"/>
    <mergeCell ref="J2:K2"/>
    <mergeCell ref="L2:Q2"/>
  </mergeCells>
  <pageMargins left="7.874015748031496E-2" right="7.874015748031496E-2" top="0.11811023622047245" bottom="0.11811023622047245" header="0.31496062992125984" footer="0.31496062992125984"/>
  <pageSetup paperSize="5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2"/>
  <sheetViews>
    <sheetView tabSelected="1" zoomScaleNormal="100" workbookViewId="0">
      <pane xSplit="2" ySplit="3" topLeftCell="C4" activePane="bottomRight" state="frozen"/>
      <selection pane="topRight"/>
      <selection pane="bottomLeft"/>
      <selection pane="bottomRight" activeCell="K458" sqref="K458"/>
    </sheetView>
  </sheetViews>
  <sheetFormatPr defaultColWidth="10" defaultRowHeight="15" x14ac:dyDescent="0.25"/>
  <cols>
    <col min="1" max="1" width="7" customWidth="1"/>
    <col min="2" max="2" width="13.7109375" customWidth="1"/>
    <col min="3" max="3" width="13.42578125" customWidth="1"/>
    <col min="4" max="4" width="8.85546875" customWidth="1"/>
    <col min="5" max="5" width="9.85546875" customWidth="1"/>
    <col min="6" max="6" width="8.42578125" customWidth="1"/>
    <col min="7" max="7" width="8.85546875" customWidth="1"/>
    <col min="8" max="8" width="11.28515625" customWidth="1"/>
    <col min="9" max="9" width="12" customWidth="1"/>
    <col min="10" max="10" width="11.28515625" customWidth="1"/>
    <col min="11" max="11" width="11.5703125" customWidth="1"/>
    <col min="12" max="12" width="10.28515625" customWidth="1"/>
    <col min="13" max="13" width="10.5703125" customWidth="1"/>
    <col min="14" max="14" width="10.28515625" customWidth="1"/>
    <col min="15" max="15" width="12" customWidth="1"/>
    <col min="16" max="16" width="12.28515625" customWidth="1"/>
    <col min="17" max="17" width="11.7109375" customWidth="1"/>
    <col min="18" max="18" width="9.140625" style="1"/>
  </cols>
  <sheetData>
    <row r="1" spans="1:18" ht="18" x14ac:dyDescent="0.25">
      <c r="A1" s="78" t="s">
        <v>473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18" x14ac:dyDescent="0.25">
      <c r="A2" s="2"/>
      <c r="B2" s="79" t="s">
        <v>451</v>
      </c>
      <c r="C2" s="80"/>
      <c r="D2" s="81" t="s">
        <v>0</v>
      </c>
      <c r="E2" s="82"/>
      <c r="F2" s="82"/>
      <c r="G2" s="82"/>
      <c r="H2" s="82"/>
      <c r="I2" s="3"/>
      <c r="J2" s="83" t="s">
        <v>407</v>
      </c>
      <c r="K2" s="84"/>
      <c r="L2" s="85" t="s">
        <v>1</v>
      </c>
      <c r="M2" s="86"/>
      <c r="N2" s="86"/>
      <c r="O2" s="86"/>
      <c r="P2" s="86"/>
      <c r="Q2" s="87"/>
      <c r="R2" s="4"/>
    </row>
    <row r="3" spans="1:18" ht="16.5" x14ac:dyDescent="0.25">
      <c r="A3" s="5" t="s">
        <v>2</v>
      </c>
      <c r="B3" s="6" t="s">
        <v>3</v>
      </c>
      <c r="C3" s="6" t="s">
        <v>4</v>
      </c>
      <c r="D3" s="7" t="s">
        <v>5</v>
      </c>
      <c r="E3" s="8" t="s">
        <v>428</v>
      </c>
      <c r="F3" s="8" t="s">
        <v>429</v>
      </c>
      <c r="G3" s="8" t="s">
        <v>430</v>
      </c>
      <c r="H3" s="8" t="s">
        <v>431</v>
      </c>
      <c r="I3" s="8" t="s">
        <v>432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427</v>
      </c>
      <c r="O3" s="10" t="s">
        <v>11</v>
      </c>
      <c r="P3" s="10" t="s">
        <v>12</v>
      </c>
      <c r="Q3" s="10" t="s">
        <v>13</v>
      </c>
      <c r="R3" s="11" t="s">
        <v>14</v>
      </c>
    </row>
    <row r="4" spans="1:18" ht="16.5" x14ac:dyDescent="0.25">
      <c r="A4" s="12">
        <v>22</v>
      </c>
      <c r="B4" s="13" t="s">
        <v>15</v>
      </c>
      <c r="C4" s="13" t="s">
        <v>16</v>
      </c>
      <c r="D4" s="14"/>
      <c r="E4" s="15">
        <v>6400</v>
      </c>
      <c r="F4" s="15">
        <v>400</v>
      </c>
      <c r="G4" s="15">
        <v>400</v>
      </c>
      <c r="H4" s="15">
        <f>SUM(E4:G4)</f>
        <v>7200</v>
      </c>
      <c r="I4" s="15">
        <f>H4*D4</f>
        <v>0</v>
      </c>
      <c r="J4" s="16"/>
      <c r="K4" s="15"/>
      <c r="L4" s="15">
        <f t="shared" ref="L4:L68" si="0">D4*20</f>
        <v>0</v>
      </c>
      <c r="M4" s="16"/>
      <c r="N4" s="16"/>
      <c r="O4" s="15">
        <f t="shared" ref="O4:O68" si="1">250*D4</f>
        <v>0</v>
      </c>
      <c r="P4" s="15">
        <f t="shared" ref="P4:P68" si="2">SUM(J4:O4)</f>
        <v>0</v>
      </c>
      <c r="Q4" s="15">
        <f>I4-P4</f>
        <v>0</v>
      </c>
      <c r="R4" s="17">
        <v>22</v>
      </c>
    </row>
    <row r="5" spans="1:18" ht="16.5" x14ac:dyDescent="0.25">
      <c r="A5" s="12">
        <v>192</v>
      </c>
      <c r="B5" s="13" t="s">
        <v>20</v>
      </c>
      <c r="C5" s="13" t="s">
        <v>21</v>
      </c>
      <c r="D5" s="18">
        <v>206</v>
      </c>
      <c r="E5" s="15">
        <v>6400</v>
      </c>
      <c r="F5" s="15">
        <v>600</v>
      </c>
      <c r="G5" s="15">
        <v>400</v>
      </c>
      <c r="H5" s="15">
        <f t="shared" ref="H5:H69" si="3">SUM(E5:G5)</f>
        <v>7400</v>
      </c>
      <c r="I5" s="15">
        <f t="shared" ref="I5:I69" si="4">H5*D5</f>
        <v>1524400</v>
      </c>
      <c r="J5" s="16"/>
      <c r="K5" s="15">
        <v>820000</v>
      </c>
      <c r="L5" s="15">
        <f t="shared" si="0"/>
        <v>4120</v>
      </c>
      <c r="M5" s="16"/>
      <c r="N5" s="16"/>
      <c r="O5" s="15">
        <f t="shared" si="1"/>
        <v>51500</v>
      </c>
      <c r="P5" s="15">
        <f t="shared" si="2"/>
        <v>875620</v>
      </c>
      <c r="Q5" s="15">
        <f t="shared" ref="Q5:Q68" si="5">I5-P5</f>
        <v>648780</v>
      </c>
      <c r="R5" s="17">
        <v>192</v>
      </c>
    </row>
    <row r="6" spans="1:18" ht="16.5" x14ac:dyDescent="0.25">
      <c r="A6" s="12">
        <v>231</v>
      </c>
      <c r="B6" s="13" t="s">
        <v>22</v>
      </c>
      <c r="C6" s="13" t="s">
        <v>23</v>
      </c>
      <c r="D6" s="14">
        <v>175</v>
      </c>
      <c r="E6" s="15">
        <v>6400</v>
      </c>
      <c r="F6" s="15">
        <v>600</v>
      </c>
      <c r="G6" s="15">
        <v>400</v>
      </c>
      <c r="H6" s="15">
        <f t="shared" si="3"/>
        <v>7400</v>
      </c>
      <c r="I6" s="15">
        <f t="shared" si="4"/>
        <v>1295000</v>
      </c>
      <c r="J6" s="16"/>
      <c r="K6" s="15">
        <v>820000</v>
      </c>
      <c r="L6" s="15">
        <f t="shared" si="0"/>
        <v>3500</v>
      </c>
      <c r="M6" s="16"/>
      <c r="N6" s="16"/>
      <c r="O6" s="15">
        <f t="shared" si="1"/>
        <v>43750</v>
      </c>
      <c r="P6" s="15">
        <f t="shared" si="2"/>
        <v>867250</v>
      </c>
      <c r="Q6" s="15">
        <f t="shared" si="5"/>
        <v>427750</v>
      </c>
      <c r="R6" s="17">
        <v>231</v>
      </c>
    </row>
    <row r="7" spans="1:18" ht="16.5" x14ac:dyDescent="0.25">
      <c r="A7" s="12">
        <v>301</v>
      </c>
      <c r="B7" s="13" t="s">
        <v>24</v>
      </c>
      <c r="C7" s="13" t="s">
        <v>25</v>
      </c>
      <c r="D7" s="14"/>
      <c r="E7" s="15">
        <v>6400</v>
      </c>
      <c r="F7" s="15">
        <v>400</v>
      </c>
      <c r="G7" s="15">
        <v>400</v>
      </c>
      <c r="H7" s="15">
        <f t="shared" si="3"/>
        <v>7200</v>
      </c>
      <c r="I7" s="15">
        <f t="shared" si="4"/>
        <v>0</v>
      </c>
      <c r="J7" s="16"/>
      <c r="K7" s="15"/>
      <c r="L7" s="15">
        <f t="shared" si="0"/>
        <v>0</v>
      </c>
      <c r="M7" s="16"/>
      <c r="N7" s="16"/>
      <c r="O7" s="15">
        <f t="shared" si="1"/>
        <v>0</v>
      </c>
      <c r="P7" s="15">
        <f t="shared" si="2"/>
        <v>0</v>
      </c>
      <c r="Q7" s="15">
        <f t="shared" si="5"/>
        <v>0</v>
      </c>
      <c r="R7" s="17">
        <v>301</v>
      </c>
    </row>
    <row r="8" spans="1:18" ht="16.5" x14ac:dyDescent="0.25">
      <c r="A8" s="12">
        <v>303</v>
      </c>
      <c r="B8" s="13" t="s">
        <v>26</v>
      </c>
      <c r="C8" s="13" t="s">
        <v>25</v>
      </c>
      <c r="D8" s="14"/>
      <c r="E8" s="15">
        <v>6400</v>
      </c>
      <c r="F8" s="15">
        <v>400</v>
      </c>
      <c r="G8" s="15">
        <v>400</v>
      </c>
      <c r="H8" s="15">
        <f t="shared" si="3"/>
        <v>7200</v>
      </c>
      <c r="I8" s="15">
        <f t="shared" si="4"/>
        <v>0</v>
      </c>
      <c r="J8" s="16"/>
      <c r="K8" s="15"/>
      <c r="L8" s="15">
        <f t="shared" si="0"/>
        <v>0</v>
      </c>
      <c r="M8" s="16"/>
      <c r="N8" s="16"/>
      <c r="O8" s="15">
        <f t="shared" si="1"/>
        <v>0</v>
      </c>
      <c r="P8" s="15">
        <f t="shared" si="2"/>
        <v>0</v>
      </c>
      <c r="Q8" s="15">
        <f t="shared" si="5"/>
        <v>0</v>
      </c>
      <c r="R8" s="17">
        <v>303</v>
      </c>
    </row>
    <row r="9" spans="1:18" ht="16.5" x14ac:dyDescent="0.25">
      <c r="A9" s="12">
        <v>308</v>
      </c>
      <c r="B9" s="13" t="s">
        <v>27</v>
      </c>
      <c r="C9" s="13" t="s">
        <v>25</v>
      </c>
      <c r="D9" s="14">
        <v>392</v>
      </c>
      <c r="E9" s="15">
        <v>6400</v>
      </c>
      <c r="F9" s="15">
        <v>500</v>
      </c>
      <c r="G9" s="15">
        <v>400</v>
      </c>
      <c r="H9" s="15">
        <f t="shared" si="3"/>
        <v>7300</v>
      </c>
      <c r="I9" s="15">
        <f t="shared" si="4"/>
        <v>2861600</v>
      </c>
      <c r="J9" s="16"/>
      <c r="K9" s="15">
        <v>1230000</v>
      </c>
      <c r="L9" s="15">
        <f t="shared" si="0"/>
        <v>7840</v>
      </c>
      <c r="M9" s="16"/>
      <c r="N9" s="16"/>
      <c r="O9" s="15">
        <f t="shared" si="1"/>
        <v>98000</v>
      </c>
      <c r="P9" s="15">
        <f t="shared" si="2"/>
        <v>1335840</v>
      </c>
      <c r="Q9" s="15">
        <f t="shared" si="5"/>
        <v>1525760</v>
      </c>
      <c r="R9" s="17">
        <v>308</v>
      </c>
    </row>
    <row r="10" spans="1:18" ht="16.5" x14ac:dyDescent="0.25">
      <c r="A10" s="12">
        <v>315</v>
      </c>
      <c r="B10" s="13" t="s">
        <v>28</v>
      </c>
      <c r="C10" s="13" t="s">
        <v>25</v>
      </c>
      <c r="D10" s="14"/>
      <c r="E10" s="15">
        <v>6400</v>
      </c>
      <c r="F10" s="15">
        <v>400</v>
      </c>
      <c r="G10" s="15">
        <v>400</v>
      </c>
      <c r="H10" s="15">
        <f t="shared" si="3"/>
        <v>7200</v>
      </c>
      <c r="I10" s="15">
        <f t="shared" si="4"/>
        <v>0</v>
      </c>
      <c r="J10" s="16"/>
      <c r="K10" s="15"/>
      <c r="L10" s="15">
        <f t="shared" si="0"/>
        <v>0</v>
      </c>
      <c r="M10" s="16"/>
      <c r="N10" s="16"/>
      <c r="O10" s="15">
        <f t="shared" si="1"/>
        <v>0</v>
      </c>
      <c r="P10" s="15">
        <f t="shared" si="2"/>
        <v>0</v>
      </c>
      <c r="Q10" s="15">
        <f t="shared" si="5"/>
        <v>0</v>
      </c>
      <c r="R10" s="17">
        <v>315</v>
      </c>
    </row>
    <row r="11" spans="1:18" ht="16.5" x14ac:dyDescent="0.25">
      <c r="A11" s="12">
        <v>325</v>
      </c>
      <c r="B11" s="13" t="s">
        <v>29</v>
      </c>
      <c r="C11" s="13" t="s">
        <v>30</v>
      </c>
      <c r="D11" s="19"/>
      <c r="E11" s="15">
        <v>6400</v>
      </c>
      <c r="F11" s="15">
        <v>400</v>
      </c>
      <c r="G11" s="15">
        <v>400</v>
      </c>
      <c r="H11" s="15">
        <f t="shared" si="3"/>
        <v>7200</v>
      </c>
      <c r="I11" s="15">
        <f t="shared" si="4"/>
        <v>0</v>
      </c>
      <c r="J11" s="20"/>
      <c r="K11" s="15"/>
      <c r="L11" s="15">
        <f t="shared" si="0"/>
        <v>0</v>
      </c>
      <c r="M11" s="20"/>
      <c r="N11" s="20"/>
      <c r="O11" s="15">
        <f t="shared" si="1"/>
        <v>0</v>
      </c>
      <c r="P11" s="15">
        <f t="shared" si="2"/>
        <v>0</v>
      </c>
      <c r="Q11" s="15">
        <f t="shared" si="5"/>
        <v>0</v>
      </c>
      <c r="R11" s="17">
        <v>325</v>
      </c>
    </row>
    <row r="12" spans="1:18" ht="16.5" x14ac:dyDescent="0.25">
      <c r="A12" s="12">
        <v>328</v>
      </c>
      <c r="B12" s="13" t="s">
        <v>31</v>
      </c>
      <c r="C12" s="13" t="s">
        <v>30</v>
      </c>
      <c r="D12" s="14"/>
      <c r="E12" s="15">
        <v>6400</v>
      </c>
      <c r="F12" s="15">
        <v>400</v>
      </c>
      <c r="G12" s="15">
        <v>400</v>
      </c>
      <c r="H12" s="15">
        <f t="shared" si="3"/>
        <v>7200</v>
      </c>
      <c r="I12" s="15">
        <f t="shared" si="4"/>
        <v>0</v>
      </c>
      <c r="J12" s="16"/>
      <c r="K12" s="15"/>
      <c r="L12" s="15">
        <f t="shared" si="0"/>
        <v>0</v>
      </c>
      <c r="M12" s="16"/>
      <c r="N12" s="16"/>
      <c r="O12" s="15">
        <f t="shared" si="1"/>
        <v>0</v>
      </c>
      <c r="P12" s="15">
        <f t="shared" si="2"/>
        <v>0</v>
      </c>
      <c r="Q12" s="15">
        <f t="shared" si="5"/>
        <v>0</v>
      </c>
      <c r="R12" s="17">
        <v>328</v>
      </c>
    </row>
    <row r="13" spans="1:18" ht="16.5" x14ac:dyDescent="0.25">
      <c r="A13" s="12">
        <v>380</v>
      </c>
      <c r="B13" s="13" t="s">
        <v>32</v>
      </c>
      <c r="C13" s="13" t="s">
        <v>25</v>
      </c>
      <c r="D13" s="14"/>
      <c r="E13" s="15">
        <v>6400</v>
      </c>
      <c r="F13" s="15">
        <v>400</v>
      </c>
      <c r="G13" s="15">
        <v>400</v>
      </c>
      <c r="H13" s="15">
        <f t="shared" si="3"/>
        <v>7200</v>
      </c>
      <c r="I13" s="15">
        <f t="shared" si="4"/>
        <v>0</v>
      </c>
      <c r="J13" s="16"/>
      <c r="K13" s="15"/>
      <c r="L13" s="15">
        <f t="shared" si="0"/>
        <v>0</v>
      </c>
      <c r="M13" s="16"/>
      <c r="N13" s="16"/>
      <c r="O13" s="15">
        <f t="shared" si="1"/>
        <v>0</v>
      </c>
      <c r="P13" s="15">
        <f t="shared" si="2"/>
        <v>0</v>
      </c>
      <c r="Q13" s="15">
        <f t="shared" si="5"/>
        <v>0</v>
      </c>
      <c r="R13" s="17">
        <v>380</v>
      </c>
    </row>
    <row r="14" spans="1:18" ht="16.5" x14ac:dyDescent="0.25">
      <c r="A14" s="12">
        <v>381</v>
      </c>
      <c r="B14" s="13" t="s">
        <v>33</v>
      </c>
      <c r="C14" s="13" t="s">
        <v>25</v>
      </c>
      <c r="D14" s="14"/>
      <c r="E14" s="15">
        <v>6400</v>
      </c>
      <c r="F14" s="15">
        <v>400</v>
      </c>
      <c r="G14" s="15">
        <v>400</v>
      </c>
      <c r="H14" s="15">
        <f t="shared" si="3"/>
        <v>7200</v>
      </c>
      <c r="I14" s="15">
        <f t="shared" si="4"/>
        <v>0</v>
      </c>
      <c r="J14" s="16"/>
      <c r="K14" s="15"/>
      <c r="L14" s="15">
        <f t="shared" si="0"/>
        <v>0</v>
      </c>
      <c r="M14" s="16"/>
      <c r="N14" s="16"/>
      <c r="O14" s="15">
        <f t="shared" si="1"/>
        <v>0</v>
      </c>
      <c r="P14" s="15">
        <f t="shared" si="2"/>
        <v>0</v>
      </c>
      <c r="Q14" s="15">
        <f t="shared" si="5"/>
        <v>0</v>
      </c>
      <c r="R14" s="17">
        <v>381</v>
      </c>
    </row>
    <row r="15" spans="1:18" ht="16.5" x14ac:dyDescent="0.25">
      <c r="A15" s="12">
        <v>409</v>
      </c>
      <c r="B15" s="13" t="s">
        <v>34</v>
      </c>
      <c r="C15" s="13" t="s">
        <v>25</v>
      </c>
      <c r="D15" s="14"/>
      <c r="E15" s="15">
        <v>6400</v>
      </c>
      <c r="F15" s="15">
        <v>400</v>
      </c>
      <c r="G15" s="15">
        <v>400</v>
      </c>
      <c r="H15" s="15">
        <f t="shared" si="3"/>
        <v>7200</v>
      </c>
      <c r="I15" s="15">
        <f t="shared" si="4"/>
        <v>0</v>
      </c>
      <c r="J15" s="16"/>
      <c r="K15" s="15"/>
      <c r="L15" s="15">
        <f t="shared" si="0"/>
        <v>0</v>
      </c>
      <c r="M15" s="16"/>
      <c r="N15" s="16"/>
      <c r="O15" s="15">
        <f t="shared" si="1"/>
        <v>0</v>
      </c>
      <c r="P15" s="15">
        <f t="shared" si="2"/>
        <v>0</v>
      </c>
      <c r="Q15" s="15">
        <f t="shared" si="5"/>
        <v>0</v>
      </c>
      <c r="R15" s="17">
        <v>409</v>
      </c>
    </row>
    <row r="16" spans="1:18" ht="16.5" x14ac:dyDescent="0.25">
      <c r="A16" s="12">
        <v>422</v>
      </c>
      <c r="B16" s="13" t="s">
        <v>35</v>
      </c>
      <c r="C16" s="13" t="s">
        <v>36</v>
      </c>
      <c r="D16" s="14">
        <v>187</v>
      </c>
      <c r="E16" s="15">
        <v>6400</v>
      </c>
      <c r="F16" s="15">
        <v>400</v>
      </c>
      <c r="G16" s="15">
        <v>400</v>
      </c>
      <c r="H16" s="15">
        <f t="shared" si="3"/>
        <v>7200</v>
      </c>
      <c r="I16" s="15">
        <f t="shared" si="4"/>
        <v>1346400</v>
      </c>
      <c r="J16" s="16"/>
      <c r="K16" s="15"/>
      <c r="L16" s="15">
        <f t="shared" si="0"/>
        <v>3740</v>
      </c>
      <c r="M16" s="16"/>
      <c r="N16" s="16"/>
      <c r="O16" s="15">
        <f t="shared" si="1"/>
        <v>46750</v>
      </c>
      <c r="P16" s="15">
        <f t="shared" si="2"/>
        <v>50490</v>
      </c>
      <c r="Q16" s="15">
        <f t="shared" si="5"/>
        <v>1295910</v>
      </c>
      <c r="R16" s="17">
        <v>422</v>
      </c>
    </row>
    <row r="17" spans="1:18" ht="16.5" x14ac:dyDescent="0.25">
      <c r="A17" s="12">
        <v>429</v>
      </c>
      <c r="B17" s="13" t="s">
        <v>37</v>
      </c>
      <c r="C17" s="13" t="s">
        <v>25</v>
      </c>
      <c r="D17" s="14"/>
      <c r="E17" s="15">
        <v>6400</v>
      </c>
      <c r="F17" s="15">
        <v>400</v>
      </c>
      <c r="G17" s="15">
        <v>400</v>
      </c>
      <c r="H17" s="15">
        <f t="shared" si="3"/>
        <v>7200</v>
      </c>
      <c r="I17" s="15">
        <f t="shared" si="4"/>
        <v>0</v>
      </c>
      <c r="J17" s="16"/>
      <c r="K17" s="15"/>
      <c r="L17" s="15">
        <f t="shared" si="0"/>
        <v>0</v>
      </c>
      <c r="M17" s="16"/>
      <c r="N17" s="16"/>
      <c r="O17" s="15">
        <f t="shared" si="1"/>
        <v>0</v>
      </c>
      <c r="P17" s="15">
        <f t="shared" si="2"/>
        <v>0</v>
      </c>
      <c r="Q17" s="15">
        <f t="shared" si="5"/>
        <v>0</v>
      </c>
      <c r="R17" s="17">
        <v>429</v>
      </c>
    </row>
    <row r="18" spans="1:18" ht="16.5" x14ac:dyDescent="0.25">
      <c r="A18" s="12">
        <v>435</v>
      </c>
      <c r="B18" s="13" t="s">
        <v>38</v>
      </c>
      <c r="C18" s="13" t="s">
        <v>25</v>
      </c>
      <c r="D18" s="14">
        <v>169</v>
      </c>
      <c r="E18" s="15">
        <v>6400</v>
      </c>
      <c r="F18" s="15">
        <v>500</v>
      </c>
      <c r="G18" s="15">
        <v>400</v>
      </c>
      <c r="H18" s="15">
        <f t="shared" si="3"/>
        <v>7300</v>
      </c>
      <c r="I18" s="15">
        <f t="shared" si="4"/>
        <v>1233700</v>
      </c>
      <c r="J18" s="16"/>
      <c r="K18" s="15">
        <v>410000</v>
      </c>
      <c r="L18" s="15">
        <f t="shared" si="0"/>
        <v>3380</v>
      </c>
      <c r="M18" s="16"/>
      <c r="N18" s="16"/>
      <c r="O18" s="15">
        <f t="shared" si="1"/>
        <v>42250</v>
      </c>
      <c r="P18" s="15">
        <f t="shared" si="2"/>
        <v>455630</v>
      </c>
      <c r="Q18" s="15">
        <f t="shared" si="5"/>
        <v>778070</v>
      </c>
      <c r="R18" s="17">
        <v>435</v>
      </c>
    </row>
    <row r="19" spans="1:18" ht="16.5" x14ac:dyDescent="0.25">
      <c r="A19" s="12">
        <v>437</v>
      </c>
      <c r="B19" s="13"/>
      <c r="C19" s="13" t="s">
        <v>25</v>
      </c>
      <c r="D19" s="14"/>
      <c r="E19" s="15">
        <v>6400</v>
      </c>
      <c r="F19" s="15">
        <v>400</v>
      </c>
      <c r="G19" s="15">
        <v>400</v>
      </c>
      <c r="H19" s="15">
        <f t="shared" si="3"/>
        <v>7200</v>
      </c>
      <c r="I19" s="15">
        <f t="shared" si="4"/>
        <v>0</v>
      </c>
      <c r="J19" s="16"/>
      <c r="K19" s="15"/>
      <c r="L19" s="15">
        <f t="shared" si="0"/>
        <v>0</v>
      </c>
      <c r="M19" s="16"/>
      <c r="N19" s="16"/>
      <c r="O19" s="15">
        <f t="shared" si="1"/>
        <v>0</v>
      </c>
      <c r="P19" s="15">
        <f t="shared" si="2"/>
        <v>0</v>
      </c>
      <c r="Q19" s="15">
        <f t="shared" si="5"/>
        <v>0</v>
      </c>
      <c r="R19" s="17">
        <v>437</v>
      </c>
    </row>
    <row r="20" spans="1:18" ht="16.5" x14ac:dyDescent="0.25">
      <c r="A20" s="12">
        <v>445</v>
      </c>
      <c r="B20" s="13" t="s">
        <v>39</v>
      </c>
      <c r="C20" s="13" t="s">
        <v>16</v>
      </c>
      <c r="D20" s="14"/>
      <c r="E20" s="15">
        <v>6400</v>
      </c>
      <c r="F20" s="15">
        <v>400</v>
      </c>
      <c r="G20" s="15">
        <v>400</v>
      </c>
      <c r="H20" s="15">
        <f t="shared" si="3"/>
        <v>7200</v>
      </c>
      <c r="I20" s="15">
        <f t="shared" si="4"/>
        <v>0</v>
      </c>
      <c r="J20" s="16"/>
      <c r="K20" s="15"/>
      <c r="L20" s="15">
        <f t="shared" si="0"/>
        <v>0</v>
      </c>
      <c r="M20" s="16"/>
      <c r="N20" s="16"/>
      <c r="O20" s="15">
        <f t="shared" si="1"/>
        <v>0</v>
      </c>
      <c r="P20" s="15">
        <f t="shared" si="2"/>
        <v>0</v>
      </c>
      <c r="Q20" s="15">
        <f t="shared" si="5"/>
        <v>0</v>
      </c>
      <c r="R20" s="17">
        <v>445</v>
      </c>
    </row>
    <row r="21" spans="1:18" ht="16.5" x14ac:dyDescent="0.25">
      <c r="A21" s="12">
        <v>453</v>
      </c>
      <c r="B21" s="13" t="s">
        <v>40</v>
      </c>
      <c r="C21" s="13" t="s">
        <v>19</v>
      </c>
      <c r="D21" s="19"/>
      <c r="E21" s="15">
        <v>6400</v>
      </c>
      <c r="F21" s="15">
        <v>400</v>
      </c>
      <c r="G21" s="15">
        <v>400</v>
      </c>
      <c r="H21" s="15">
        <f t="shared" si="3"/>
        <v>7200</v>
      </c>
      <c r="I21" s="15">
        <f t="shared" si="4"/>
        <v>0</v>
      </c>
      <c r="J21" s="20"/>
      <c r="K21" s="15"/>
      <c r="L21" s="15">
        <f t="shared" si="0"/>
        <v>0</v>
      </c>
      <c r="M21" s="20"/>
      <c r="N21" s="20"/>
      <c r="O21" s="15">
        <f t="shared" si="1"/>
        <v>0</v>
      </c>
      <c r="P21" s="15">
        <f t="shared" si="2"/>
        <v>0</v>
      </c>
      <c r="Q21" s="15">
        <f t="shared" si="5"/>
        <v>0</v>
      </c>
      <c r="R21" s="17">
        <v>453</v>
      </c>
    </row>
    <row r="22" spans="1:18" ht="16.5" x14ac:dyDescent="0.25">
      <c r="A22" s="12">
        <v>454</v>
      </c>
      <c r="B22" s="13" t="s">
        <v>41</v>
      </c>
      <c r="C22" s="13" t="s">
        <v>30</v>
      </c>
      <c r="D22" s="14"/>
      <c r="E22" s="15">
        <v>6400</v>
      </c>
      <c r="F22" s="15">
        <v>400</v>
      </c>
      <c r="G22" s="15">
        <v>400</v>
      </c>
      <c r="H22" s="15">
        <f t="shared" si="3"/>
        <v>7200</v>
      </c>
      <c r="I22" s="15">
        <f t="shared" si="4"/>
        <v>0</v>
      </c>
      <c r="J22" s="16"/>
      <c r="K22" s="15"/>
      <c r="L22" s="15">
        <f t="shared" si="0"/>
        <v>0</v>
      </c>
      <c r="M22" s="16"/>
      <c r="N22" s="16"/>
      <c r="O22" s="15">
        <f t="shared" si="1"/>
        <v>0</v>
      </c>
      <c r="P22" s="15">
        <f t="shared" si="2"/>
        <v>0</v>
      </c>
      <c r="Q22" s="15">
        <f t="shared" si="5"/>
        <v>0</v>
      </c>
      <c r="R22" s="17">
        <v>454</v>
      </c>
    </row>
    <row r="23" spans="1:18" ht="16.5" x14ac:dyDescent="0.25">
      <c r="A23" s="12">
        <v>493</v>
      </c>
      <c r="B23" s="13" t="s">
        <v>42</v>
      </c>
      <c r="C23" s="13" t="s">
        <v>43</v>
      </c>
      <c r="D23" s="19"/>
      <c r="E23" s="15">
        <v>6400</v>
      </c>
      <c r="F23" s="15">
        <v>400</v>
      </c>
      <c r="G23" s="15">
        <v>400</v>
      </c>
      <c r="H23" s="15">
        <f t="shared" si="3"/>
        <v>7200</v>
      </c>
      <c r="I23" s="15">
        <f t="shared" si="4"/>
        <v>0</v>
      </c>
      <c r="J23" s="20"/>
      <c r="K23" s="15"/>
      <c r="L23" s="15">
        <f t="shared" si="0"/>
        <v>0</v>
      </c>
      <c r="M23" s="20"/>
      <c r="N23" s="20"/>
      <c r="O23" s="15">
        <f t="shared" si="1"/>
        <v>0</v>
      </c>
      <c r="P23" s="15">
        <f t="shared" si="2"/>
        <v>0</v>
      </c>
      <c r="Q23" s="15">
        <f t="shared" si="5"/>
        <v>0</v>
      </c>
      <c r="R23" s="17">
        <v>493</v>
      </c>
    </row>
    <row r="24" spans="1:18" ht="16.5" x14ac:dyDescent="0.25">
      <c r="A24" s="12">
        <v>501</v>
      </c>
      <c r="B24" s="13" t="s">
        <v>44</v>
      </c>
      <c r="C24" s="13" t="s">
        <v>25</v>
      </c>
      <c r="D24" s="19"/>
      <c r="E24" s="15">
        <v>6400</v>
      </c>
      <c r="F24" s="15">
        <v>400</v>
      </c>
      <c r="G24" s="15">
        <v>400</v>
      </c>
      <c r="H24" s="15">
        <f t="shared" si="3"/>
        <v>7200</v>
      </c>
      <c r="I24" s="15">
        <f t="shared" si="4"/>
        <v>0</v>
      </c>
      <c r="J24" s="20"/>
      <c r="K24" s="15"/>
      <c r="L24" s="15">
        <f t="shared" si="0"/>
        <v>0</v>
      </c>
      <c r="M24" s="20"/>
      <c r="N24" s="20"/>
      <c r="O24" s="15">
        <f t="shared" si="1"/>
        <v>0</v>
      </c>
      <c r="P24" s="15">
        <f t="shared" si="2"/>
        <v>0</v>
      </c>
      <c r="Q24" s="15">
        <f t="shared" si="5"/>
        <v>0</v>
      </c>
      <c r="R24" s="17">
        <v>501</v>
      </c>
    </row>
    <row r="25" spans="1:18" ht="16.5" x14ac:dyDescent="0.25">
      <c r="A25" s="12">
        <v>504</v>
      </c>
      <c r="B25" s="13" t="s">
        <v>45</v>
      </c>
      <c r="C25" s="13" t="s">
        <v>19</v>
      </c>
      <c r="D25" s="21"/>
      <c r="E25" s="15">
        <v>6400</v>
      </c>
      <c r="F25" s="15">
        <v>400</v>
      </c>
      <c r="G25" s="15">
        <v>400</v>
      </c>
      <c r="H25" s="15">
        <f t="shared" si="3"/>
        <v>7200</v>
      </c>
      <c r="I25" s="15">
        <f t="shared" si="4"/>
        <v>0</v>
      </c>
      <c r="J25" s="20"/>
      <c r="K25" s="15"/>
      <c r="L25" s="15">
        <f t="shared" si="0"/>
        <v>0</v>
      </c>
      <c r="M25" s="20"/>
      <c r="N25" s="20"/>
      <c r="O25" s="15">
        <f t="shared" si="1"/>
        <v>0</v>
      </c>
      <c r="P25" s="15">
        <f t="shared" si="2"/>
        <v>0</v>
      </c>
      <c r="Q25" s="15">
        <f t="shared" si="5"/>
        <v>0</v>
      </c>
      <c r="R25" s="17">
        <v>504</v>
      </c>
    </row>
    <row r="26" spans="1:18" ht="16.5" x14ac:dyDescent="0.25">
      <c r="A26" s="12">
        <v>506</v>
      </c>
      <c r="B26" s="13" t="s">
        <v>46</v>
      </c>
      <c r="C26" s="13" t="s">
        <v>47</v>
      </c>
      <c r="D26" s="14"/>
      <c r="E26" s="15">
        <v>6400</v>
      </c>
      <c r="F26" s="15">
        <v>400</v>
      </c>
      <c r="G26" s="15">
        <v>400</v>
      </c>
      <c r="H26" s="15">
        <f t="shared" si="3"/>
        <v>7200</v>
      </c>
      <c r="I26" s="15">
        <f t="shared" si="4"/>
        <v>0</v>
      </c>
      <c r="J26" s="16"/>
      <c r="K26" s="15"/>
      <c r="L26" s="15">
        <f t="shared" si="0"/>
        <v>0</v>
      </c>
      <c r="M26" s="16"/>
      <c r="N26" s="16"/>
      <c r="O26" s="15">
        <f t="shared" si="1"/>
        <v>0</v>
      </c>
      <c r="P26" s="15">
        <f t="shared" si="2"/>
        <v>0</v>
      </c>
      <c r="Q26" s="15">
        <f t="shared" si="5"/>
        <v>0</v>
      </c>
      <c r="R26" s="17">
        <v>506</v>
      </c>
    </row>
    <row r="27" spans="1:18" ht="16.5" x14ac:dyDescent="0.25">
      <c r="A27" s="12">
        <v>509</v>
      </c>
      <c r="B27" s="13" t="s">
        <v>48</v>
      </c>
      <c r="C27" s="13" t="s">
        <v>43</v>
      </c>
      <c r="D27" s="14">
        <v>73</v>
      </c>
      <c r="E27" s="15">
        <v>6400</v>
      </c>
      <c r="F27" s="15">
        <v>500</v>
      </c>
      <c r="G27" s="15">
        <v>400</v>
      </c>
      <c r="H27" s="15">
        <f t="shared" si="3"/>
        <v>7300</v>
      </c>
      <c r="I27" s="15">
        <f t="shared" si="4"/>
        <v>532900</v>
      </c>
      <c r="J27" s="16"/>
      <c r="K27" s="15">
        <v>205000</v>
      </c>
      <c r="L27" s="15">
        <f t="shared" si="0"/>
        <v>1460</v>
      </c>
      <c r="M27" s="16"/>
      <c r="N27" s="16"/>
      <c r="O27" s="15">
        <f t="shared" si="1"/>
        <v>18250</v>
      </c>
      <c r="P27" s="15">
        <f t="shared" si="2"/>
        <v>224710</v>
      </c>
      <c r="Q27" s="15">
        <f t="shared" si="5"/>
        <v>308190</v>
      </c>
      <c r="R27" s="17">
        <v>509</v>
      </c>
    </row>
    <row r="28" spans="1:18" ht="16.5" x14ac:dyDescent="0.25">
      <c r="A28" s="12">
        <v>524</v>
      </c>
      <c r="B28" s="13" t="s">
        <v>49</v>
      </c>
      <c r="C28" s="13" t="s">
        <v>47</v>
      </c>
      <c r="D28" s="19"/>
      <c r="E28" s="15">
        <v>6400</v>
      </c>
      <c r="F28" s="15">
        <v>400</v>
      </c>
      <c r="G28" s="15">
        <v>400</v>
      </c>
      <c r="H28" s="15">
        <f t="shared" si="3"/>
        <v>7200</v>
      </c>
      <c r="I28" s="15">
        <f t="shared" si="4"/>
        <v>0</v>
      </c>
      <c r="J28" s="20"/>
      <c r="K28" s="15"/>
      <c r="L28" s="15">
        <f t="shared" si="0"/>
        <v>0</v>
      </c>
      <c r="M28" s="20"/>
      <c r="N28" s="20"/>
      <c r="O28" s="15">
        <f t="shared" si="1"/>
        <v>0</v>
      </c>
      <c r="P28" s="15">
        <f t="shared" si="2"/>
        <v>0</v>
      </c>
      <c r="Q28" s="15">
        <f t="shared" si="5"/>
        <v>0</v>
      </c>
      <c r="R28" s="17">
        <v>524</v>
      </c>
    </row>
    <row r="29" spans="1:18" ht="16.5" x14ac:dyDescent="0.25">
      <c r="A29" s="12">
        <v>528</v>
      </c>
      <c r="B29" s="13" t="s">
        <v>50</v>
      </c>
      <c r="C29" s="13" t="s">
        <v>25</v>
      </c>
      <c r="D29" s="14">
        <v>47</v>
      </c>
      <c r="E29" s="15">
        <v>6400</v>
      </c>
      <c r="F29" s="15">
        <v>500</v>
      </c>
      <c r="G29" s="15">
        <v>400</v>
      </c>
      <c r="H29" s="15">
        <f t="shared" si="3"/>
        <v>7300</v>
      </c>
      <c r="I29" s="15">
        <f t="shared" si="4"/>
        <v>343100</v>
      </c>
      <c r="J29" s="16"/>
      <c r="K29" s="15">
        <v>205000</v>
      </c>
      <c r="L29" s="15">
        <f t="shared" si="0"/>
        <v>940</v>
      </c>
      <c r="M29" s="16"/>
      <c r="N29" s="16"/>
      <c r="O29" s="15">
        <f t="shared" si="1"/>
        <v>11750</v>
      </c>
      <c r="P29" s="15">
        <f t="shared" si="2"/>
        <v>217690</v>
      </c>
      <c r="Q29" s="15">
        <f t="shared" si="5"/>
        <v>125410</v>
      </c>
      <c r="R29" s="17">
        <v>528</v>
      </c>
    </row>
    <row r="30" spans="1:18" ht="16.5" x14ac:dyDescent="0.25">
      <c r="A30" s="12">
        <v>533</v>
      </c>
      <c r="B30" s="13" t="s">
        <v>51</v>
      </c>
      <c r="C30" s="13" t="s">
        <v>52</v>
      </c>
      <c r="D30" s="20">
        <v>46</v>
      </c>
      <c r="E30" s="15">
        <v>6400</v>
      </c>
      <c r="F30" s="15">
        <v>400</v>
      </c>
      <c r="G30" s="15">
        <v>400</v>
      </c>
      <c r="H30" s="15">
        <f t="shared" si="3"/>
        <v>7200</v>
      </c>
      <c r="I30" s="15">
        <f t="shared" si="4"/>
        <v>331200</v>
      </c>
      <c r="J30" s="16"/>
      <c r="K30" s="15">
        <v>205000</v>
      </c>
      <c r="L30" s="15">
        <f t="shared" si="0"/>
        <v>920</v>
      </c>
      <c r="M30" s="16"/>
      <c r="N30" s="16"/>
      <c r="O30" s="15">
        <f t="shared" si="1"/>
        <v>11500</v>
      </c>
      <c r="P30" s="15">
        <f t="shared" si="2"/>
        <v>217420</v>
      </c>
      <c r="Q30" s="15">
        <f t="shared" si="5"/>
        <v>113780</v>
      </c>
      <c r="R30" s="17">
        <v>533</v>
      </c>
    </row>
    <row r="31" spans="1:18" ht="16.5" x14ac:dyDescent="0.25">
      <c r="A31" s="12">
        <v>544</v>
      </c>
      <c r="B31" s="13" t="s">
        <v>53</v>
      </c>
      <c r="C31" s="13" t="s">
        <v>54</v>
      </c>
      <c r="D31" s="14"/>
      <c r="E31" s="15">
        <v>6400</v>
      </c>
      <c r="F31" s="15">
        <v>300</v>
      </c>
      <c r="G31" s="15">
        <v>400</v>
      </c>
      <c r="H31" s="15">
        <f t="shared" si="3"/>
        <v>7100</v>
      </c>
      <c r="I31" s="15">
        <f t="shared" si="4"/>
        <v>0</v>
      </c>
      <c r="J31" s="16"/>
      <c r="K31" s="22"/>
      <c r="L31" s="15">
        <f t="shared" si="0"/>
        <v>0</v>
      </c>
      <c r="M31" s="16"/>
      <c r="N31" s="16"/>
      <c r="O31" s="15">
        <f t="shared" si="1"/>
        <v>0</v>
      </c>
      <c r="P31" s="15">
        <f t="shared" si="2"/>
        <v>0</v>
      </c>
      <c r="Q31" s="15">
        <f t="shared" si="5"/>
        <v>0</v>
      </c>
      <c r="R31" s="17">
        <v>544</v>
      </c>
    </row>
    <row r="32" spans="1:18" ht="16.5" x14ac:dyDescent="0.25">
      <c r="A32" s="12">
        <v>546</v>
      </c>
      <c r="B32" s="13" t="s">
        <v>55</v>
      </c>
      <c r="C32" s="13" t="s">
        <v>36</v>
      </c>
      <c r="D32" s="14"/>
      <c r="E32" s="15">
        <v>6400</v>
      </c>
      <c r="F32" s="15">
        <v>400</v>
      </c>
      <c r="G32" s="15">
        <v>400</v>
      </c>
      <c r="H32" s="15">
        <f t="shared" si="3"/>
        <v>7200</v>
      </c>
      <c r="I32" s="15">
        <f t="shared" si="4"/>
        <v>0</v>
      </c>
      <c r="J32" s="16"/>
      <c r="K32" s="15"/>
      <c r="L32" s="15">
        <f t="shared" si="0"/>
        <v>0</v>
      </c>
      <c r="M32" s="20"/>
      <c r="N32" s="20"/>
      <c r="O32" s="15">
        <f t="shared" si="1"/>
        <v>0</v>
      </c>
      <c r="P32" s="15">
        <f t="shared" si="2"/>
        <v>0</v>
      </c>
      <c r="Q32" s="15">
        <f t="shared" si="5"/>
        <v>0</v>
      </c>
      <c r="R32" s="17">
        <v>546</v>
      </c>
    </row>
    <row r="33" spans="1:18" ht="16.5" x14ac:dyDescent="0.25">
      <c r="A33" s="12">
        <v>550</v>
      </c>
      <c r="B33" s="13" t="s">
        <v>56</v>
      </c>
      <c r="C33" s="13" t="s">
        <v>47</v>
      </c>
      <c r="D33" s="19"/>
      <c r="E33" s="15">
        <v>6400</v>
      </c>
      <c r="F33" s="15">
        <v>300</v>
      </c>
      <c r="G33" s="15">
        <v>400</v>
      </c>
      <c r="H33" s="15">
        <f t="shared" si="3"/>
        <v>7100</v>
      </c>
      <c r="I33" s="15">
        <f t="shared" si="4"/>
        <v>0</v>
      </c>
      <c r="J33" s="20"/>
      <c r="K33" s="15"/>
      <c r="L33" s="15">
        <f t="shared" si="0"/>
        <v>0</v>
      </c>
      <c r="M33" s="16"/>
      <c r="N33" s="16"/>
      <c r="O33" s="15">
        <f t="shared" si="1"/>
        <v>0</v>
      </c>
      <c r="P33" s="15">
        <f t="shared" si="2"/>
        <v>0</v>
      </c>
      <c r="Q33" s="15">
        <f t="shared" si="5"/>
        <v>0</v>
      </c>
      <c r="R33" s="17">
        <v>550</v>
      </c>
    </row>
    <row r="34" spans="1:18" ht="16.5" x14ac:dyDescent="0.25">
      <c r="A34" s="12">
        <v>562</v>
      </c>
      <c r="B34" s="13" t="s">
        <v>57</v>
      </c>
      <c r="C34" s="13" t="s">
        <v>52</v>
      </c>
      <c r="D34" s="16"/>
      <c r="E34" s="15">
        <v>6400</v>
      </c>
      <c r="F34" s="15">
        <v>300</v>
      </c>
      <c r="G34" s="15">
        <v>400</v>
      </c>
      <c r="H34" s="15">
        <f t="shared" si="3"/>
        <v>7100</v>
      </c>
      <c r="I34" s="15">
        <f t="shared" si="4"/>
        <v>0</v>
      </c>
      <c r="J34" s="16"/>
      <c r="K34" s="15"/>
      <c r="L34" s="15">
        <f t="shared" si="0"/>
        <v>0</v>
      </c>
      <c r="M34" s="16"/>
      <c r="N34" s="16"/>
      <c r="O34" s="15">
        <f t="shared" si="1"/>
        <v>0</v>
      </c>
      <c r="P34" s="15">
        <f t="shared" si="2"/>
        <v>0</v>
      </c>
      <c r="Q34" s="15">
        <f t="shared" si="5"/>
        <v>0</v>
      </c>
      <c r="R34" s="17">
        <v>562</v>
      </c>
    </row>
    <row r="35" spans="1:18" ht="16.5" x14ac:dyDescent="0.25">
      <c r="A35" s="12">
        <v>565</v>
      </c>
      <c r="B35" s="13" t="s">
        <v>58</v>
      </c>
      <c r="C35" s="13" t="s">
        <v>36</v>
      </c>
      <c r="D35" s="14"/>
      <c r="E35" s="15">
        <v>6400</v>
      </c>
      <c r="F35" s="15">
        <v>500</v>
      </c>
      <c r="G35" s="15">
        <v>400</v>
      </c>
      <c r="H35" s="15">
        <f t="shared" si="3"/>
        <v>7300</v>
      </c>
      <c r="I35" s="15">
        <f t="shared" si="4"/>
        <v>0</v>
      </c>
      <c r="J35" s="16"/>
      <c r="K35" s="15"/>
      <c r="L35" s="15">
        <f t="shared" si="0"/>
        <v>0</v>
      </c>
      <c r="M35" s="16"/>
      <c r="N35" s="16"/>
      <c r="O35" s="15">
        <f t="shared" si="1"/>
        <v>0</v>
      </c>
      <c r="P35" s="15">
        <f t="shared" si="2"/>
        <v>0</v>
      </c>
      <c r="Q35" s="15">
        <f t="shared" si="5"/>
        <v>0</v>
      </c>
      <c r="R35" s="17">
        <v>565</v>
      </c>
    </row>
    <row r="36" spans="1:18" ht="16.5" x14ac:dyDescent="0.25">
      <c r="A36" s="12">
        <v>572</v>
      </c>
      <c r="B36" s="13" t="s">
        <v>59</v>
      </c>
      <c r="C36" s="13" t="s">
        <v>43</v>
      </c>
      <c r="D36" s="14"/>
      <c r="E36" s="15">
        <v>6400</v>
      </c>
      <c r="F36" s="15">
        <v>400</v>
      </c>
      <c r="G36" s="15">
        <v>400</v>
      </c>
      <c r="H36" s="15">
        <f t="shared" si="3"/>
        <v>7200</v>
      </c>
      <c r="I36" s="15">
        <f t="shared" si="4"/>
        <v>0</v>
      </c>
      <c r="J36" s="16"/>
      <c r="K36" s="15"/>
      <c r="L36" s="15">
        <f t="shared" si="0"/>
        <v>0</v>
      </c>
      <c r="M36" s="16"/>
      <c r="N36" s="16"/>
      <c r="O36" s="15">
        <f t="shared" si="1"/>
        <v>0</v>
      </c>
      <c r="P36" s="15">
        <f t="shared" si="2"/>
        <v>0</v>
      </c>
      <c r="Q36" s="15">
        <f t="shared" si="5"/>
        <v>0</v>
      </c>
      <c r="R36" s="17">
        <v>572</v>
      </c>
    </row>
    <row r="37" spans="1:18" ht="16.5" x14ac:dyDescent="0.25">
      <c r="A37" s="12">
        <v>575</v>
      </c>
      <c r="B37" s="13" t="s">
        <v>60</v>
      </c>
      <c r="C37" s="13" t="s">
        <v>25</v>
      </c>
      <c r="D37" s="16">
        <v>553</v>
      </c>
      <c r="E37" s="15">
        <v>6400</v>
      </c>
      <c r="F37" s="15">
        <v>500</v>
      </c>
      <c r="G37" s="15">
        <v>400</v>
      </c>
      <c r="H37" s="15">
        <f t="shared" si="3"/>
        <v>7300</v>
      </c>
      <c r="I37" s="15">
        <f t="shared" si="4"/>
        <v>4036900</v>
      </c>
      <c r="J37" s="16"/>
      <c r="K37" s="15">
        <v>1435000</v>
      </c>
      <c r="L37" s="15">
        <f t="shared" si="0"/>
        <v>11060</v>
      </c>
      <c r="M37" s="20"/>
      <c r="N37" s="20"/>
      <c r="O37" s="15">
        <f t="shared" si="1"/>
        <v>138250</v>
      </c>
      <c r="P37" s="15">
        <f t="shared" si="2"/>
        <v>1584310</v>
      </c>
      <c r="Q37" s="15">
        <f t="shared" si="5"/>
        <v>2452590</v>
      </c>
      <c r="R37" s="17">
        <v>575</v>
      </c>
    </row>
    <row r="38" spans="1:18" ht="16.5" x14ac:dyDescent="0.25">
      <c r="A38" s="12">
        <v>588</v>
      </c>
      <c r="B38" s="13"/>
      <c r="C38" s="13"/>
      <c r="D38" s="16"/>
      <c r="E38" s="15">
        <v>6400</v>
      </c>
      <c r="F38" s="15">
        <v>300</v>
      </c>
      <c r="G38" s="15">
        <v>400</v>
      </c>
      <c r="H38" s="15">
        <f t="shared" si="3"/>
        <v>7100</v>
      </c>
      <c r="I38" s="15">
        <f t="shared" si="4"/>
        <v>0</v>
      </c>
      <c r="J38" s="16"/>
      <c r="K38" s="15"/>
      <c r="L38" s="15">
        <f t="shared" si="0"/>
        <v>0</v>
      </c>
      <c r="M38" s="20"/>
      <c r="N38" s="20"/>
      <c r="O38" s="15">
        <f t="shared" si="1"/>
        <v>0</v>
      </c>
      <c r="P38" s="15">
        <f t="shared" si="2"/>
        <v>0</v>
      </c>
      <c r="Q38" s="15">
        <f t="shared" si="5"/>
        <v>0</v>
      </c>
      <c r="R38" s="17"/>
    </row>
    <row r="39" spans="1:18" ht="16.5" x14ac:dyDescent="0.25">
      <c r="A39" s="12">
        <v>589</v>
      </c>
      <c r="B39" s="13" t="s">
        <v>61</v>
      </c>
      <c r="C39" s="13" t="s">
        <v>30</v>
      </c>
      <c r="D39" s="19"/>
      <c r="E39" s="15">
        <v>6400</v>
      </c>
      <c r="F39" s="15">
        <v>300</v>
      </c>
      <c r="G39" s="15">
        <v>400</v>
      </c>
      <c r="H39" s="15">
        <f t="shared" si="3"/>
        <v>7100</v>
      </c>
      <c r="I39" s="15">
        <f t="shared" si="4"/>
        <v>0</v>
      </c>
      <c r="J39" s="20"/>
      <c r="K39" s="15"/>
      <c r="L39" s="15">
        <f t="shared" si="0"/>
        <v>0</v>
      </c>
      <c r="M39" s="16"/>
      <c r="N39" s="16"/>
      <c r="O39" s="15">
        <f t="shared" si="1"/>
        <v>0</v>
      </c>
      <c r="P39" s="15">
        <f t="shared" si="2"/>
        <v>0</v>
      </c>
      <c r="Q39" s="15">
        <f t="shared" si="5"/>
        <v>0</v>
      </c>
      <c r="R39" s="17">
        <v>589</v>
      </c>
    </row>
    <row r="40" spans="1:18" ht="16.5" x14ac:dyDescent="0.25">
      <c r="A40" s="12">
        <v>592</v>
      </c>
      <c r="B40" s="13" t="s">
        <v>450</v>
      </c>
      <c r="C40" s="13" t="s">
        <v>23</v>
      </c>
      <c r="D40" s="14">
        <v>106</v>
      </c>
      <c r="E40" s="15">
        <v>6400</v>
      </c>
      <c r="F40" s="15">
        <v>600</v>
      </c>
      <c r="G40" s="15">
        <v>400</v>
      </c>
      <c r="H40" s="15">
        <f t="shared" si="3"/>
        <v>7400</v>
      </c>
      <c r="I40" s="15">
        <f t="shared" si="4"/>
        <v>784400</v>
      </c>
      <c r="J40" s="16"/>
      <c r="K40" s="15"/>
      <c r="L40" s="15">
        <f t="shared" si="0"/>
        <v>2120</v>
      </c>
      <c r="M40" s="20"/>
      <c r="N40" s="20"/>
      <c r="O40" s="15">
        <f t="shared" si="1"/>
        <v>26500</v>
      </c>
      <c r="P40" s="15">
        <f t="shared" si="2"/>
        <v>28620</v>
      </c>
      <c r="Q40" s="15">
        <f t="shared" si="5"/>
        <v>755780</v>
      </c>
      <c r="R40" s="17">
        <v>592</v>
      </c>
    </row>
    <row r="41" spans="1:18" ht="16.5" x14ac:dyDescent="0.25">
      <c r="A41" s="12">
        <v>593</v>
      </c>
      <c r="B41" s="13" t="s">
        <v>116</v>
      </c>
      <c r="C41" s="13" t="s">
        <v>23</v>
      </c>
      <c r="D41" s="19">
        <v>123</v>
      </c>
      <c r="E41" s="15">
        <v>6400</v>
      </c>
      <c r="F41" s="15">
        <v>400</v>
      </c>
      <c r="G41" s="15">
        <v>400</v>
      </c>
      <c r="H41" s="15">
        <f t="shared" si="3"/>
        <v>7200</v>
      </c>
      <c r="I41" s="15">
        <f t="shared" si="4"/>
        <v>885600</v>
      </c>
      <c r="J41" s="20"/>
      <c r="K41" s="15">
        <v>410000</v>
      </c>
      <c r="L41" s="15">
        <f t="shared" si="0"/>
        <v>2460</v>
      </c>
      <c r="M41" s="20"/>
      <c r="N41" s="20"/>
      <c r="O41" s="15">
        <f t="shared" si="1"/>
        <v>30750</v>
      </c>
      <c r="P41" s="15">
        <f t="shared" si="2"/>
        <v>443210</v>
      </c>
      <c r="Q41" s="15">
        <f t="shared" si="5"/>
        <v>442390</v>
      </c>
      <c r="R41" s="17">
        <v>599</v>
      </c>
    </row>
    <row r="42" spans="1:18" ht="16.5" x14ac:dyDescent="0.25">
      <c r="A42" s="12">
        <v>601</v>
      </c>
      <c r="B42" s="13" t="s">
        <v>63</v>
      </c>
      <c r="C42" s="13" t="s">
        <v>54</v>
      </c>
      <c r="D42" s="19"/>
      <c r="E42" s="15">
        <v>6400</v>
      </c>
      <c r="F42" s="15">
        <v>300</v>
      </c>
      <c r="G42" s="15">
        <v>400</v>
      </c>
      <c r="H42" s="15">
        <f t="shared" si="3"/>
        <v>7100</v>
      </c>
      <c r="I42" s="15">
        <f t="shared" si="4"/>
        <v>0</v>
      </c>
      <c r="J42" s="20"/>
      <c r="K42" s="15"/>
      <c r="L42" s="15">
        <f t="shared" si="0"/>
        <v>0</v>
      </c>
      <c r="M42" s="16"/>
      <c r="N42" s="16"/>
      <c r="O42" s="15">
        <f t="shared" si="1"/>
        <v>0</v>
      </c>
      <c r="P42" s="15">
        <f t="shared" si="2"/>
        <v>0</v>
      </c>
      <c r="Q42" s="15">
        <f t="shared" si="5"/>
        <v>0</v>
      </c>
      <c r="R42" s="17">
        <v>601</v>
      </c>
    </row>
    <row r="43" spans="1:18" ht="16.5" x14ac:dyDescent="0.25">
      <c r="A43" s="12">
        <v>615</v>
      </c>
      <c r="B43" s="13" t="s">
        <v>64</v>
      </c>
      <c r="C43" s="13" t="s">
        <v>25</v>
      </c>
      <c r="D43" s="14">
        <v>161</v>
      </c>
      <c r="E43" s="15">
        <v>6400</v>
      </c>
      <c r="F43" s="15">
        <v>500</v>
      </c>
      <c r="G43" s="15">
        <v>400</v>
      </c>
      <c r="H43" s="15">
        <f t="shared" si="3"/>
        <v>7300</v>
      </c>
      <c r="I43" s="15">
        <f t="shared" si="4"/>
        <v>1175300</v>
      </c>
      <c r="J43" s="16"/>
      <c r="K43" s="15">
        <v>615000</v>
      </c>
      <c r="L43" s="15">
        <f t="shared" si="0"/>
        <v>3220</v>
      </c>
      <c r="M43" s="16"/>
      <c r="N43" s="16"/>
      <c r="O43" s="15">
        <f t="shared" si="1"/>
        <v>40250</v>
      </c>
      <c r="P43" s="15">
        <f t="shared" si="2"/>
        <v>658470</v>
      </c>
      <c r="Q43" s="15">
        <f t="shared" si="5"/>
        <v>516830</v>
      </c>
      <c r="R43" s="17">
        <v>615</v>
      </c>
    </row>
    <row r="44" spans="1:18" ht="16.5" x14ac:dyDescent="0.25">
      <c r="A44" s="12">
        <v>620</v>
      </c>
      <c r="B44" s="13" t="s">
        <v>65</v>
      </c>
      <c r="C44" s="13" t="s">
        <v>30</v>
      </c>
      <c r="D44" s="14"/>
      <c r="E44" s="15">
        <v>6400</v>
      </c>
      <c r="F44" s="15">
        <v>300</v>
      </c>
      <c r="G44" s="15">
        <v>400</v>
      </c>
      <c r="H44" s="15">
        <f t="shared" si="3"/>
        <v>7100</v>
      </c>
      <c r="I44" s="15">
        <f t="shared" si="4"/>
        <v>0</v>
      </c>
      <c r="J44" s="16"/>
      <c r="K44" s="15"/>
      <c r="L44" s="15">
        <f t="shared" si="0"/>
        <v>0</v>
      </c>
      <c r="M44" s="16"/>
      <c r="N44" s="16"/>
      <c r="O44" s="15">
        <f t="shared" si="1"/>
        <v>0</v>
      </c>
      <c r="P44" s="15">
        <f t="shared" si="2"/>
        <v>0</v>
      </c>
      <c r="Q44" s="15">
        <f t="shared" si="5"/>
        <v>0</v>
      </c>
      <c r="R44" s="17">
        <v>620</v>
      </c>
    </row>
    <row r="45" spans="1:18" ht="16.5" x14ac:dyDescent="0.25">
      <c r="A45" s="12">
        <v>624</v>
      </c>
      <c r="B45" s="13" t="s">
        <v>66</v>
      </c>
      <c r="C45" s="13" t="s">
        <v>54</v>
      </c>
      <c r="D45" s="14"/>
      <c r="E45" s="15">
        <v>6400</v>
      </c>
      <c r="F45" s="15">
        <v>400</v>
      </c>
      <c r="G45" s="15">
        <v>400</v>
      </c>
      <c r="H45" s="15">
        <f t="shared" si="3"/>
        <v>7200</v>
      </c>
      <c r="I45" s="15">
        <f t="shared" si="4"/>
        <v>0</v>
      </c>
      <c r="J45" s="16"/>
      <c r="K45" s="15"/>
      <c r="L45" s="15">
        <f t="shared" si="0"/>
        <v>0</v>
      </c>
      <c r="M45" s="16"/>
      <c r="N45" s="16"/>
      <c r="O45" s="15">
        <f t="shared" si="1"/>
        <v>0</v>
      </c>
      <c r="P45" s="15">
        <f t="shared" si="2"/>
        <v>0</v>
      </c>
      <c r="Q45" s="15">
        <f t="shared" si="5"/>
        <v>0</v>
      </c>
      <c r="R45" s="17">
        <v>624</v>
      </c>
    </row>
    <row r="46" spans="1:18" ht="16.5" x14ac:dyDescent="0.25">
      <c r="A46" s="12">
        <v>626</v>
      </c>
      <c r="B46" s="13" t="s">
        <v>67</v>
      </c>
      <c r="C46" s="13" t="s">
        <v>21</v>
      </c>
      <c r="D46" s="14"/>
      <c r="E46" s="15">
        <v>6400</v>
      </c>
      <c r="F46" s="15">
        <v>300</v>
      </c>
      <c r="G46" s="15">
        <v>400</v>
      </c>
      <c r="H46" s="15">
        <f t="shared" si="3"/>
        <v>7100</v>
      </c>
      <c r="I46" s="15">
        <f t="shared" si="4"/>
        <v>0</v>
      </c>
      <c r="J46" s="16"/>
      <c r="K46" s="15"/>
      <c r="L46" s="15">
        <f t="shared" si="0"/>
        <v>0</v>
      </c>
      <c r="M46" s="16"/>
      <c r="N46" s="16"/>
      <c r="O46" s="15">
        <f t="shared" si="1"/>
        <v>0</v>
      </c>
      <c r="P46" s="15">
        <f t="shared" si="2"/>
        <v>0</v>
      </c>
      <c r="Q46" s="15">
        <f t="shared" si="5"/>
        <v>0</v>
      </c>
      <c r="R46" s="17">
        <v>626</v>
      </c>
    </row>
    <row r="47" spans="1:18" ht="16.5" x14ac:dyDescent="0.25">
      <c r="A47" s="12">
        <v>631</v>
      </c>
      <c r="B47" s="13" t="s">
        <v>65</v>
      </c>
      <c r="C47" s="13" t="s">
        <v>54</v>
      </c>
      <c r="D47" s="14"/>
      <c r="E47" s="15">
        <v>6400</v>
      </c>
      <c r="F47" s="15">
        <v>300</v>
      </c>
      <c r="G47" s="15">
        <v>400</v>
      </c>
      <c r="H47" s="15">
        <f t="shared" si="3"/>
        <v>7100</v>
      </c>
      <c r="I47" s="15">
        <f t="shared" si="4"/>
        <v>0</v>
      </c>
      <c r="J47" s="16"/>
      <c r="K47" s="15"/>
      <c r="L47" s="15">
        <f t="shared" si="0"/>
        <v>0</v>
      </c>
      <c r="M47" s="16"/>
      <c r="N47" s="16"/>
      <c r="O47" s="15">
        <f t="shared" si="1"/>
        <v>0</v>
      </c>
      <c r="P47" s="15">
        <f t="shared" si="2"/>
        <v>0</v>
      </c>
      <c r="Q47" s="15">
        <f t="shared" si="5"/>
        <v>0</v>
      </c>
      <c r="R47" s="17">
        <v>631</v>
      </c>
    </row>
    <row r="48" spans="1:18" ht="16.5" x14ac:dyDescent="0.25">
      <c r="A48" s="12">
        <v>633</v>
      </c>
      <c r="B48" s="13" t="s">
        <v>68</v>
      </c>
      <c r="C48" s="13" t="s">
        <v>30</v>
      </c>
      <c r="D48" s="14"/>
      <c r="E48" s="15">
        <v>6400</v>
      </c>
      <c r="F48" s="15">
        <v>400</v>
      </c>
      <c r="G48" s="15">
        <v>400</v>
      </c>
      <c r="H48" s="15">
        <f t="shared" si="3"/>
        <v>7200</v>
      </c>
      <c r="I48" s="15">
        <f t="shared" si="4"/>
        <v>0</v>
      </c>
      <c r="J48" s="16"/>
      <c r="K48" s="15"/>
      <c r="L48" s="15">
        <f t="shared" si="0"/>
        <v>0</v>
      </c>
      <c r="M48" s="16"/>
      <c r="N48" s="16"/>
      <c r="O48" s="15">
        <f t="shared" si="1"/>
        <v>0</v>
      </c>
      <c r="P48" s="15">
        <f t="shared" si="2"/>
        <v>0</v>
      </c>
      <c r="Q48" s="15">
        <f t="shared" si="5"/>
        <v>0</v>
      </c>
      <c r="R48" s="17">
        <v>633</v>
      </c>
    </row>
    <row r="49" spans="1:18" ht="16.5" x14ac:dyDescent="0.25">
      <c r="A49" s="12">
        <v>650</v>
      </c>
      <c r="B49" s="13" t="s">
        <v>69</v>
      </c>
      <c r="C49" s="13" t="s">
        <v>21</v>
      </c>
      <c r="D49" s="14"/>
      <c r="E49" s="15">
        <v>6400</v>
      </c>
      <c r="F49" s="15">
        <v>300</v>
      </c>
      <c r="G49" s="15">
        <v>400</v>
      </c>
      <c r="H49" s="15">
        <f t="shared" si="3"/>
        <v>7100</v>
      </c>
      <c r="I49" s="15">
        <f t="shared" si="4"/>
        <v>0</v>
      </c>
      <c r="J49" s="16"/>
      <c r="K49" s="15"/>
      <c r="L49" s="15">
        <f t="shared" si="0"/>
        <v>0</v>
      </c>
      <c r="M49" s="16"/>
      <c r="N49" s="16"/>
      <c r="O49" s="15">
        <f t="shared" si="1"/>
        <v>0</v>
      </c>
      <c r="P49" s="15">
        <f t="shared" si="2"/>
        <v>0</v>
      </c>
      <c r="Q49" s="15">
        <f t="shared" si="5"/>
        <v>0</v>
      </c>
      <c r="R49" s="17">
        <v>650</v>
      </c>
    </row>
    <row r="50" spans="1:18" ht="16.5" x14ac:dyDescent="0.25">
      <c r="A50" s="12">
        <v>687</v>
      </c>
      <c r="B50" s="13" t="s">
        <v>70</v>
      </c>
      <c r="C50" s="13" t="s">
        <v>25</v>
      </c>
      <c r="D50" s="14">
        <v>88</v>
      </c>
      <c r="E50" s="15">
        <v>6400</v>
      </c>
      <c r="F50" s="15">
        <v>500</v>
      </c>
      <c r="G50" s="15">
        <v>400</v>
      </c>
      <c r="H50" s="15">
        <f t="shared" si="3"/>
        <v>7300</v>
      </c>
      <c r="I50" s="15">
        <f t="shared" si="4"/>
        <v>642400</v>
      </c>
      <c r="J50" s="16"/>
      <c r="K50" s="15">
        <v>410000</v>
      </c>
      <c r="L50" s="15">
        <f t="shared" si="0"/>
        <v>1760</v>
      </c>
      <c r="M50" s="16"/>
      <c r="N50" s="16"/>
      <c r="O50" s="15">
        <f t="shared" si="1"/>
        <v>22000</v>
      </c>
      <c r="P50" s="15">
        <f t="shared" si="2"/>
        <v>433760</v>
      </c>
      <c r="Q50" s="15">
        <f t="shared" si="5"/>
        <v>208640</v>
      </c>
      <c r="R50" s="17">
        <v>687</v>
      </c>
    </row>
    <row r="51" spans="1:18" ht="16.5" x14ac:dyDescent="0.25">
      <c r="A51" s="12">
        <v>700</v>
      </c>
      <c r="B51" s="13" t="s">
        <v>71</v>
      </c>
      <c r="C51" s="13" t="s">
        <v>43</v>
      </c>
      <c r="D51" s="14">
        <v>231</v>
      </c>
      <c r="E51" s="15">
        <v>6400</v>
      </c>
      <c r="F51" s="15">
        <v>400</v>
      </c>
      <c r="G51" s="15">
        <v>400</v>
      </c>
      <c r="H51" s="15">
        <f t="shared" si="3"/>
        <v>7200</v>
      </c>
      <c r="I51" s="15">
        <f t="shared" si="4"/>
        <v>1663200</v>
      </c>
      <c r="J51" s="16"/>
      <c r="K51" s="15">
        <v>820000</v>
      </c>
      <c r="L51" s="15">
        <f t="shared" si="0"/>
        <v>4620</v>
      </c>
      <c r="M51" s="16"/>
      <c r="N51" s="16"/>
      <c r="O51" s="15">
        <f t="shared" si="1"/>
        <v>57750</v>
      </c>
      <c r="P51" s="15">
        <f t="shared" si="2"/>
        <v>882370</v>
      </c>
      <c r="Q51" s="15">
        <f t="shared" si="5"/>
        <v>780830</v>
      </c>
      <c r="R51" s="17">
        <v>700</v>
      </c>
    </row>
    <row r="52" spans="1:18" ht="16.5" x14ac:dyDescent="0.25">
      <c r="A52" s="12">
        <v>719</v>
      </c>
      <c r="B52" s="13" t="s">
        <v>72</v>
      </c>
      <c r="C52" s="13" t="s">
        <v>47</v>
      </c>
      <c r="D52" s="14">
        <v>67</v>
      </c>
      <c r="E52" s="15">
        <v>6400</v>
      </c>
      <c r="F52" s="15">
        <v>400</v>
      </c>
      <c r="G52" s="15">
        <v>400</v>
      </c>
      <c r="H52" s="15">
        <f t="shared" si="3"/>
        <v>7200</v>
      </c>
      <c r="I52" s="15">
        <f t="shared" si="4"/>
        <v>482400</v>
      </c>
      <c r="J52" s="16"/>
      <c r="K52" s="15">
        <v>205000</v>
      </c>
      <c r="L52" s="15">
        <f t="shared" si="0"/>
        <v>1340</v>
      </c>
      <c r="M52" s="16"/>
      <c r="N52" s="16"/>
      <c r="O52" s="15">
        <f t="shared" si="1"/>
        <v>16750</v>
      </c>
      <c r="P52" s="15">
        <f t="shared" si="2"/>
        <v>223090</v>
      </c>
      <c r="Q52" s="15">
        <f t="shared" si="5"/>
        <v>259310</v>
      </c>
      <c r="R52" s="17">
        <v>719</v>
      </c>
    </row>
    <row r="53" spans="1:18" ht="16.5" x14ac:dyDescent="0.25">
      <c r="A53" s="12">
        <v>721</v>
      </c>
      <c r="B53" s="13" t="s">
        <v>69</v>
      </c>
      <c r="C53" s="13" t="s">
        <v>54</v>
      </c>
      <c r="D53" s="14">
        <v>113</v>
      </c>
      <c r="E53" s="15">
        <v>6400</v>
      </c>
      <c r="F53" s="15">
        <v>500</v>
      </c>
      <c r="G53" s="15">
        <v>400</v>
      </c>
      <c r="H53" s="15">
        <f t="shared" si="3"/>
        <v>7300</v>
      </c>
      <c r="I53" s="15">
        <f t="shared" si="4"/>
        <v>824900</v>
      </c>
      <c r="J53" s="16"/>
      <c r="K53" s="15">
        <v>205000</v>
      </c>
      <c r="L53" s="15">
        <f t="shared" si="0"/>
        <v>2260</v>
      </c>
      <c r="M53" s="16"/>
      <c r="N53" s="16"/>
      <c r="O53" s="15">
        <f t="shared" si="1"/>
        <v>28250</v>
      </c>
      <c r="P53" s="15">
        <f t="shared" si="2"/>
        <v>235510</v>
      </c>
      <c r="Q53" s="15">
        <f t="shared" si="5"/>
        <v>589390</v>
      </c>
      <c r="R53" s="17">
        <v>721</v>
      </c>
    </row>
    <row r="54" spans="1:18" ht="16.5" x14ac:dyDescent="0.25">
      <c r="A54" s="12">
        <v>725</v>
      </c>
      <c r="B54" s="13" t="s">
        <v>73</v>
      </c>
      <c r="C54" s="13" t="s">
        <v>30</v>
      </c>
      <c r="D54" s="14"/>
      <c r="E54" s="15">
        <v>6400</v>
      </c>
      <c r="F54" s="15">
        <v>300</v>
      </c>
      <c r="G54" s="15">
        <v>400</v>
      </c>
      <c r="H54" s="15">
        <f t="shared" si="3"/>
        <v>7100</v>
      </c>
      <c r="I54" s="15">
        <f t="shared" si="4"/>
        <v>0</v>
      </c>
      <c r="J54" s="16"/>
      <c r="K54" s="15"/>
      <c r="L54" s="15">
        <f t="shared" si="0"/>
        <v>0</v>
      </c>
      <c r="M54" s="16"/>
      <c r="N54" s="16"/>
      <c r="O54" s="15">
        <f t="shared" si="1"/>
        <v>0</v>
      </c>
      <c r="P54" s="15">
        <f t="shared" si="2"/>
        <v>0</v>
      </c>
      <c r="Q54" s="15">
        <f t="shared" si="5"/>
        <v>0</v>
      </c>
      <c r="R54" s="17">
        <v>725</v>
      </c>
    </row>
    <row r="55" spans="1:18" ht="16.5" x14ac:dyDescent="0.25">
      <c r="A55" s="12">
        <v>735</v>
      </c>
      <c r="B55" s="13" t="s">
        <v>74</v>
      </c>
      <c r="C55" s="13" t="s">
        <v>43</v>
      </c>
      <c r="D55" s="14"/>
      <c r="E55" s="15">
        <v>6400</v>
      </c>
      <c r="F55" s="15">
        <v>300</v>
      </c>
      <c r="G55" s="15">
        <v>400</v>
      </c>
      <c r="H55" s="15">
        <f t="shared" si="3"/>
        <v>7100</v>
      </c>
      <c r="I55" s="15">
        <f t="shared" si="4"/>
        <v>0</v>
      </c>
      <c r="J55" s="16"/>
      <c r="K55" s="15"/>
      <c r="L55" s="15">
        <f t="shared" si="0"/>
        <v>0</v>
      </c>
      <c r="M55" s="16"/>
      <c r="N55" s="16"/>
      <c r="O55" s="15">
        <f t="shared" si="1"/>
        <v>0</v>
      </c>
      <c r="P55" s="15">
        <f t="shared" si="2"/>
        <v>0</v>
      </c>
      <c r="Q55" s="15">
        <f t="shared" si="5"/>
        <v>0</v>
      </c>
      <c r="R55" s="17">
        <v>735</v>
      </c>
    </row>
    <row r="56" spans="1:18" ht="16.5" x14ac:dyDescent="0.25">
      <c r="A56" s="12">
        <v>737</v>
      </c>
      <c r="B56" s="13" t="s">
        <v>75</v>
      </c>
      <c r="C56" s="13" t="s">
        <v>54</v>
      </c>
      <c r="D56" s="14">
        <v>71</v>
      </c>
      <c r="E56" s="15">
        <v>6400</v>
      </c>
      <c r="F56" s="15">
        <v>600</v>
      </c>
      <c r="G56" s="15">
        <v>400</v>
      </c>
      <c r="H56" s="15">
        <f t="shared" si="3"/>
        <v>7400</v>
      </c>
      <c r="I56" s="15">
        <f t="shared" si="4"/>
        <v>525400</v>
      </c>
      <c r="J56" s="16"/>
      <c r="K56" s="15">
        <v>410000</v>
      </c>
      <c r="L56" s="15">
        <f t="shared" si="0"/>
        <v>1420</v>
      </c>
      <c r="M56" s="20"/>
      <c r="N56" s="20"/>
      <c r="O56" s="15">
        <f t="shared" si="1"/>
        <v>17750</v>
      </c>
      <c r="P56" s="15">
        <f t="shared" si="2"/>
        <v>429170</v>
      </c>
      <c r="Q56" s="15">
        <f t="shared" si="5"/>
        <v>96230</v>
      </c>
      <c r="R56" s="17">
        <v>737</v>
      </c>
    </row>
    <row r="57" spans="1:18" ht="16.5" x14ac:dyDescent="0.25">
      <c r="A57" s="12">
        <v>745</v>
      </c>
      <c r="B57" s="13" t="s">
        <v>76</v>
      </c>
      <c r="C57" s="13" t="s">
        <v>47</v>
      </c>
      <c r="D57" s="19"/>
      <c r="E57" s="15">
        <v>6400</v>
      </c>
      <c r="F57" s="15">
        <v>500</v>
      </c>
      <c r="G57" s="15">
        <v>400</v>
      </c>
      <c r="H57" s="15">
        <f t="shared" si="3"/>
        <v>7300</v>
      </c>
      <c r="I57" s="15">
        <f t="shared" si="4"/>
        <v>0</v>
      </c>
      <c r="J57" s="20"/>
      <c r="K57" s="15"/>
      <c r="L57" s="15">
        <f t="shared" si="0"/>
        <v>0</v>
      </c>
      <c r="M57" s="20"/>
      <c r="N57" s="20"/>
      <c r="O57" s="15">
        <f t="shared" si="1"/>
        <v>0</v>
      </c>
      <c r="P57" s="15">
        <f t="shared" si="2"/>
        <v>0</v>
      </c>
      <c r="Q57" s="15">
        <f t="shared" si="5"/>
        <v>0</v>
      </c>
      <c r="R57" s="17">
        <v>745</v>
      </c>
    </row>
    <row r="58" spans="1:18" ht="16.5" x14ac:dyDescent="0.25">
      <c r="A58" s="12">
        <v>747</v>
      </c>
      <c r="B58" s="13" t="s">
        <v>77</v>
      </c>
      <c r="C58" s="13" t="s">
        <v>54</v>
      </c>
      <c r="D58" s="19"/>
      <c r="E58" s="15">
        <v>6400</v>
      </c>
      <c r="F58" s="15">
        <v>300</v>
      </c>
      <c r="G58" s="15">
        <v>400</v>
      </c>
      <c r="H58" s="15">
        <f t="shared" si="3"/>
        <v>7100</v>
      </c>
      <c r="I58" s="15">
        <f t="shared" si="4"/>
        <v>0</v>
      </c>
      <c r="J58" s="20"/>
      <c r="K58" s="15"/>
      <c r="L58" s="15">
        <f t="shared" si="0"/>
        <v>0</v>
      </c>
      <c r="M58" s="16"/>
      <c r="N58" s="16"/>
      <c r="O58" s="15">
        <f t="shared" si="1"/>
        <v>0</v>
      </c>
      <c r="P58" s="15">
        <f t="shared" si="2"/>
        <v>0</v>
      </c>
      <c r="Q58" s="15">
        <f t="shared" si="5"/>
        <v>0</v>
      </c>
      <c r="R58" s="17">
        <v>747</v>
      </c>
    </row>
    <row r="59" spans="1:18" ht="16.5" x14ac:dyDescent="0.25">
      <c r="A59" s="12">
        <v>749</v>
      </c>
      <c r="B59" s="13" t="s">
        <v>78</v>
      </c>
      <c r="C59" s="13" t="s">
        <v>25</v>
      </c>
      <c r="D59" s="14">
        <v>86</v>
      </c>
      <c r="E59" s="15">
        <v>6400</v>
      </c>
      <c r="F59" s="15">
        <v>500</v>
      </c>
      <c r="G59" s="15">
        <v>400</v>
      </c>
      <c r="H59" s="15">
        <f t="shared" si="3"/>
        <v>7300</v>
      </c>
      <c r="I59" s="15">
        <f t="shared" si="4"/>
        <v>627800</v>
      </c>
      <c r="J59" s="16"/>
      <c r="K59" s="15">
        <v>205000</v>
      </c>
      <c r="L59" s="15">
        <f t="shared" si="0"/>
        <v>1720</v>
      </c>
      <c r="M59" s="16"/>
      <c r="N59" s="16"/>
      <c r="O59" s="15">
        <f t="shared" si="1"/>
        <v>21500</v>
      </c>
      <c r="P59" s="15">
        <f t="shared" si="2"/>
        <v>228220</v>
      </c>
      <c r="Q59" s="15">
        <f t="shared" si="5"/>
        <v>399580</v>
      </c>
      <c r="R59" s="17">
        <v>749</v>
      </c>
    </row>
    <row r="60" spans="1:18" ht="16.5" x14ac:dyDescent="0.25">
      <c r="A60" s="12">
        <v>753</v>
      </c>
      <c r="B60" s="13" t="s">
        <v>79</v>
      </c>
      <c r="C60" s="13" t="s">
        <v>21</v>
      </c>
      <c r="D60" s="14"/>
      <c r="E60" s="15">
        <v>6400</v>
      </c>
      <c r="F60" s="15">
        <v>300</v>
      </c>
      <c r="G60" s="15">
        <v>400</v>
      </c>
      <c r="H60" s="15">
        <f t="shared" si="3"/>
        <v>7100</v>
      </c>
      <c r="I60" s="15">
        <f t="shared" si="4"/>
        <v>0</v>
      </c>
      <c r="J60" s="16"/>
      <c r="K60" s="15"/>
      <c r="L60" s="15">
        <f t="shared" si="0"/>
        <v>0</v>
      </c>
      <c r="M60" s="16"/>
      <c r="N60" s="16"/>
      <c r="O60" s="15">
        <f t="shared" si="1"/>
        <v>0</v>
      </c>
      <c r="P60" s="15">
        <f t="shared" si="2"/>
        <v>0</v>
      </c>
      <c r="Q60" s="15">
        <f t="shared" si="5"/>
        <v>0</v>
      </c>
      <c r="R60" s="17">
        <v>753</v>
      </c>
    </row>
    <row r="61" spans="1:18" ht="16.5" x14ac:dyDescent="0.25">
      <c r="A61" s="12">
        <v>757</v>
      </c>
      <c r="B61" s="13" t="s">
        <v>80</v>
      </c>
      <c r="C61" s="13" t="s">
        <v>21</v>
      </c>
      <c r="D61" s="14"/>
      <c r="E61" s="15">
        <v>6400</v>
      </c>
      <c r="F61" s="15">
        <v>300</v>
      </c>
      <c r="G61" s="15">
        <v>400</v>
      </c>
      <c r="H61" s="15">
        <f t="shared" si="3"/>
        <v>7100</v>
      </c>
      <c r="I61" s="15">
        <f t="shared" si="4"/>
        <v>0</v>
      </c>
      <c r="J61" s="16"/>
      <c r="K61" s="15"/>
      <c r="L61" s="15">
        <f t="shared" si="0"/>
        <v>0</v>
      </c>
      <c r="M61" s="16"/>
      <c r="N61" s="16"/>
      <c r="O61" s="15">
        <f t="shared" si="1"/>
        <v>0</v>
      </c>
      <c r="P61" s="15">
        <f t="shared" si="2"/>
        <v>0</v>
      </c>
      <c r="Q61" s="15">
        <f t="shared" si="5"/>
        <v>0</v>
      </c>
      <c r="R61" s="17">
        <v>757</v>
      </c>
    </row>
    <row r="62" spans="1:18" ht="16.5" x14ac:dyDescent="0.25">
      <c r="A62" s="12">
        <v>759</v>
      </c>
      <c r="B62" s="13" t="s">
        <v>81</v>
      </c>
      <c r="C62" s="13" t="s">
        <v>82</v>
      </c>
      <c r="D62" s="14">
        <v>613</v>
      </c>
      <c r="E62" s="15">
        <v>6400</v>
      </c>
      <c r="F62" s="15">
        <v>600</v>
      </c>
      <c r="G62" s="15">
        <v>400</v>
      </c>
      <c r="H62" s="15">
        <f t="shared" si="3"/>
        <v>7400</v>
      </c>
      <c r="I62" s="15">
        <f t="shared" si="4"/>
        <v>4536200</v>
      </c>
      <c r="J62" s="16"/>
      <c r="K62" s="15"/>
      <c r="L62" s="15">
        <f t="shared" si="0"/>
        <v>12260</v>
      </c>
      <c r="M62" s="20"/>
      <c r="N62" s="20"/>
      <c r="O62" s="15">
        <f t="shared" si="1"/>
        <v>153250</v>
      </c>
      <c r="P62" s="15">
        <f t="shared" si="2"/>
        <v>165510</v>
      </c>
      <c r="Q62" s="15">
        <f t="shared" si="5"/>
        <v>4370690</v>
      </c>
      <c r="R62" s="17">
        <v>759</v>
      </c>
    </row>
    <row r="63" spans="1:18" ht="16.5" x14ac:dyDescent="0.25">
      <c r="A63" s="12">
        <v>761</v>
      </c>
      <c r="B63" s="13" t="s">
        <v>83</v>
      </c>
      <c r="C63" s="13" t="s">
        <v>25</v>
      </c>
      <c r="D63" s="19"/>
      <c r="E63" s="15">
        <v>6400</v>
      </c>
      <c r="F63" s="15">
        <v>300</v>
      </c>
      <c r="G63" s="15">
        <v>400</v>
      </c>
      <c r="H63" s="15">
        <f t="shared" si="3"/>
        <v>7100</v>
      </c>
      <c r="I63" s="15">
        <f t="shared" si="4"/>
        <v>0</v>
      </c>
      <c r="J63" s="20"/>
      <c r="K63" s="15"/>
      <c r="L63" s="15">
        <f t="shared" si="0"/>
        <v>0</v>
      </c>
      <c r="M63" s="20"/>
      <c r="N63" s="20"/>
      <c r="O63" s="15">
        <f t="shared" si="1"/>
        <v>0</v>
      </c>
      <c r="P63" s="15">
        <f t="shared" si="2"/>
        <v>0</v>
      </c>
      <c r="Q63" s="15">
        <f t="shared" si="5"/>
        <v>0</v>
      </c>
      <c r="R63" s="17">
        <v>761</v>
      </c>
    </row>
    <row r="64" spans="1:18" ht="16.5" x14ac:dyDescent="0.25">
      <c r="A64" s="12">
        <v>769</v>
      </c>
      <c r="B64" s="13" t="s">
        <v>84</v>
      </c>
      <c r="C64" s="13" t="s">
        <v>25</v>
      </c>
      <c r="D64" s="19"/>
      <c r="E64" s="15">
        <v>6400</v>
      </c>
      <c r="F64" s="15">
        <v>400</v>
      </c>
      <c r="G64" s="15">
        <v>400</v>
      </c>
      <c r="H64" s="15">
        <f t="shared" si="3"/>
        <v>7200</v>
      </c>
      <c r="I64" s="15">
        <f t="shared" si="4"/>
        <v>0</v>
      </c>
      <c r="J64" s="20"/>
      <c r="K64" s="15"/>
      <c r="L64" s="15">
        <f t="shared" si="0"/>
        <v>0</v>
      </c>
      <c r="M64" s="20"/>
      <c r="N64" s="20"/>
      <c r="O64" s="15">
        <f t="shared" si="1"/>
        <v>0</v>
      </c>
      <c r="P64" s="15">
        <f t="shared" si="2"/>
        <v>0</v>
      </c>
      <c r="Q64" s="15">
        <f t="shared" si="5"/>
        <v>0</v>
      </c>
      <c r="R64" s="17">
        <v>769</v>
      </c>
    </row>
    <row r="65" spans="1:18" ht="16.5" x14ac:dyDescent="0.25">
      <c r="A65" s="12">
        <v>771</v>
      </c>
      <c r="B65" s="13" t="s">
        <v>70</v>
      </c>
      <c r="C65" s="13" t="s">
        <v>47</v>
      </c>
      <c r="D65" s="19"/>
      <c r="E65" s="15">
        <v>6400</v>
      </c>
      <c r="F65" s="15">
        <v>300</v>
      </c>
      <c r="G65" s="15">
        <v>400</v>
      </c>
      <c r="H65" s="15">
        <f t="shared" si="3"/>
        <v>7100</v>
      </c>
      <c r="I65" s="15">
        <f t="shared" si="4"/>
        <v>0</v>
      </c>
      <c r="J65" s="20"/>
      <c r="K65" s="15"/>
      <c r="L65" s="15">
        <f t="shared" si="0"/>
        <v>0</v>
      </c>
      <c r="M65" s="20"/>
      <c r="N65" s="20"/>
      <c r="O65" s="15">
        <f t="shared" si="1"/>
        <v>0</v>
      </c>
      <c r="P65" s="15">
        <f t="shared" si="2"/>
        <v>0</v>
      </c>
      <c r="Q65" s="15">
        <f t="shared" si="5"/>
        <v>0</v>
      </c>
      <c r="R65" s="17">
        <v>771</v>
      </c>
    </row>
    <row r="66" spans="1:18" ht="16.5" x14ac:dyDescent="0.25">
      <c r="A66" s="12">
        <v>772</v>
      </c>
      <c r="B66" s="13" t="s">
        <v>85</v>
      </c>
      <c r="C66" s="13" t="s">
        <v>43</v>
      </c>
      <c r="D66" s="19">
        <v>247</v>
      </c>
      <c r="E66" s="15">
        <v>6400</v>
      </c>
      <c r="F66" s="15">
        <v>500</v>
      </c>
      <c r="G66" s="15">
        <v>400</v>
      </c>
      <c r="H66" s="15">
        <f t="shared" si="3"/>
        <v>7300</v>
      </c>
      <c r="I66" s="15">
        <f t="shared" si="4"/>
        <v>1803100</v>
      </c>
      <c r="J66" s="20"/>
      <c r="K66" s="15">
        <v>615000</v>
      </c>
      <c r="L66" s="15">
        <f t="shared" si="0"/>
        <v>4940</v>
      </c>
      <c r="M66" s="20"/>
      <c r="N66" s="20"/>
      <c r="O66" s="15">
        <f t="shared" si="1"/>
        <v>61750</v>
      </c>
      <c r="P66" s="15">
        <f t="shared" si="2"/>
        <v>681690</v>
      </c>
      <c r="Q66" s="15">
        <f t="shared" si="5"/>
        <v>1121410</v>
      </c>
      <c r="R66" s="17">
        <v>772</v>
      </c>
    </row>
    <row r="67" spans="1:18" ht="16.5" x14ac:dyDescent="0.25">
      <c r="A67" s="12">
        <v>778</v>
      </c>
      <c r="B67" s="13" t="s">
        <v>51</v>
      </c>
      <c r="C67" s="13" t="s">
        <v>43</v>
      </c>
      <c r="D67" s="19"/>
      <c r="E67" s="15">
        <v>6400</v>
      </c>
      <c r="F67" s="15">
        <v>300</v>
      </c>
      <c r="G67" s="15">
        <v>400</v>
      </c>
      <c r="H67" s="15">
        <f t="shared" si="3"/>
        <v>7100</v>
      </c>
      <c r="I67" s="15">
        <f t="shared" si="4"/>
        <v>0</v>
      </c>
      <c r="J67" s="20"/>
      <c r="K67" s="15"/>
      <c r="L67" s="15">
        <f t="shared" si="0"/>
        <v>0</v>
      </c>
      <c r="M67" s="20"/>
      <c r="N67" s="20"/>
      <c r="O67" s="15">
        <f t="shared" si="1"/>
        <v>0</v>
      </c>
      <c r="P67" s="15">
        <f t="shared" si="2"/>
        <v>0</v>
      </c>
      <c r="Q67" s="15">
        <f t="shared" si="5"/>
        <v>0</v>
      </c>
      <c r="R67" s="17">
        <v>778</v>
      </c>
    </row>
    <row r="68" spans="1:18" ht="16.5" x14ac:dyDescent="0.25">
      <c r="A68" s="12">
        <v>779</v>
      </c>
      <c r="B68" s="13" t="s">
        <v>86</v>
      </c>
      <c r="C68" s="13" t="s">
        <v>43</v>
      </c>
      <c r="D68" s="19"/>
      <c r="E68" s="15">
        <v>6400</v>
      </c>
      <c r="F68" s="15">
        <v>300</v>
      </c>
      <c r="G68" s="15">
        <v>400</v>
      </c>
      <c r="H68" s="15">
        <f t="shared" si="3"/>
        <v>7100</v>
      </c>
      <c r="I68" s="15">
        <f t="shared" si="4"/>
        <v>0</v>
      </c>
      <c r="J68" s="20"/>
      <c r="K68" s="15"/>
      <c r="L68" s="15">
        <f t="shared" si="0"/>
        <v>0</v>
      </c>
      <c r="M68" s="16"/>
      <c r="N68" s="16"/>
      <c r="O68" s="15">
        <f t="shared" si="1"/>
        <v>0</v>
      </c>
      <c r="P68" s="15">
        <f t="shared" si="2"/>
        <v>0</v>
      </c>
      <c r="Q68" s="15">
        <f t="shared" si="5"/>
        <v>0</v>
      </c>
      <c r="R68" s="17">
        <v>779</v>
      </c>
    </row>
    <row r="69" spans="1:18" ht="16.5" x14ac:dyDescent="0.25">
      <c r="A69" s="12">
        <v>784</v>
      </c>
      <c r="B69" s="13" t="s">
        <v>87</v>
      </c>
      <c r="C69" s="13" t="s">
        <v>43</v>
      </c>
      <c r="D69" s="14">
        <v>138</v>
      </c>
      <c r="E69" s="15">
        <v>6400</v>
      </c>
      <c r="F69" s="15">
        <v>600</v>
      </c>
      <c r="G69" s="15">
        <v>400</v>
      </c>
      <c r="H69" s="15">
        <f t="shared" si="3"/>
        <v>7400</v>
      </c>
      <c r="I69" s="15">
        <f t="shared" si="4"/>
        <v>1021200</v>
      </c>
      <c r="J69" s="16"/>
      <c r="K69" s="15">
        <v>435000</v>
      </c>
      <c r="L69" s="15">
        <f t="shared" ref="L69:L132" si="6">D69*20</f>
        <v>2760</v>
      </c>
      <c r="M69" s="20"/>
      <c r="N69" s="20"/>
      <c r="O69" s="15">
        <f t="shared" ref="O69:O132" si="7">250*D69</f>
        <v>34500</v>
      </c>
      <c r="P69" s="15">
        <f t="shared" ref="P69:P132" si="8">SUM(J69:O69)</f>
        <v>472260</v>
      </c>
      <c r="Q69" s="15">
        <f t="shared" ref="Q69:Q132" si="9">I69-P69</f>
        <v>548940</v>
      </c>
      <c r="R69" s="17">
        <v>784</v>
      </c>
    </row>
    <row r="70" spans="1:18" ht="16.5" x14ac:dyDescent="0.25">
      <c r="A70" s="12">
        <v>787</v>
      </c>
      <c r="B70" s="13" t="s">
        <v>70</v>
      </c>
      <c r="C70" s="13" t="s">
        <v>30</v>
      </c>
      <c r="D70" s="19"/>
      <c r="E70" s="15">
        <v>6400</v>
      </c>
      <c r="F70" s="15">
        <v>300</v>
      </c>
      <c r="G70" s="15">
        <v>400</v>
      </c>
      <c r="H70" s="15">
        <f t="shared" ref="H70:H133" si="10">SUM(E70:G70)</f>
        <v>7100</v>
      </c>
      <c r="I70" s="15">
        <f t="shared" ref="I70:I133" si="11">H70*D70</f>
        <v>0</v>
      </c>
      <c r="J70" s="20"/>
      <c r="K70" s="15"/>
      <c r="L70" s="15">
        <f t="shared" si="6"/>
        <v>0</v>
      </c>
      <c r="M70" s="16"/>
      <c r="N70" s="16"/>
      <c r="O70" s="15">
        <f t="shared" si="7"/>
        <v>0</v>
      </c>
      <c r="P70" s="15">
        <f t="shared" si="8"/>
        <v>0</v>
      </c>
      <c r="Q70" s="15">
        <f t="shared" si="9"/>
        <v>0</v>
      </c>
      <c r="R70" s="17">
        <v>787</v>
      </c>
    </row>
    <row r="71" spans="1:18" ht="16.5" x14ac:dyDescent="0.25">
      <c r="A71" s="12">
        <v>793</v>
      </c>
      <c r="B71" s="13" t="s">
        <v>88</v>
      </c>
      <c r="C71" s="13" t="s">
        <v>47</v>
      </c>
      <c r="D71" s="14"/>
      <c r="E71" s="15">
        <v>6400</v>
      </c>
      <c r="F71" s="15">
        <v>400</v>
      </c>
      <c r="G71" s="15">
        <v>400</v>
      </c>
      <c r="H71" s="15">
        <f t="shared" si="10"/>
        <v>7200</v>
      </c>
      <c r="I71" s="15">
        <f t="shared" si="11"/>
        <v>0</v>
      </c>
      <c r="J71" s="16"/>
      <c r="K71" s="15"/>
      <c r="L71" s="15">
        <f t="shared" si="6"/>
        <v>0</v>
      </c>
      <c r="M71" s="16"/>
      <c r="N71" s="16"/>
      <c r="O71" s="15">
        <f t="shared" si="7"/>
        <v>0</v>
      </c>
      <c r="P71" s="15">
        <f t="shared" si="8"/>
        <v>0</v>
      </c>
      <c r="Q71" s="15">
        <f t="shared" si="9"/>
        <v>0</v>
      </c>
      <c r="R71" s="17">
        <v>793</v>
      </c>
    </row>
    <row r="72" spans="1:18" ht="16.5" x14ac:dyDescent="0.25">
      <c r="A72" s="12">
        <v>794</v>
      </c>
      <c r="B72" s="13" t="s">
        <v>89</v>
      </c>
      <c r="C72" s="13" t="s">
        <v>25</v>
      </c>
      <c r="D72" s="14">
        <v>62</v>
      </c>
      <c r="E72" s="15">
        <v>6400</v>
      </c>
      <c r="F72" s="15">
        <v>400</v>
      </c>
      <c r="G72" s="15">
        <v>400</v>
      </c>
      <c r="H72" s="15">
        <f t="shared" si="10"/>
        <v>7200</v>
      </c>
      <c r="I72" s="15">
        <f t="shared" si="11"/>
        <v>446400</v>
      </c>
      <c r="J72" s="16"/>
      <c r="K72" s="15">
        <v>410000</v>
      </c>
      <c r="L72" s="15">
        <f t="shared" si="6"/>
        <v>1240</v>
      </c>
      <c r="M72" s="20"/>
      <c r="N72" s="20"/>
      <c r="O72" s="15">
        <f t="shared" si="7"/>
        <v>15500</v>
      </c>
      <c r="P72" s="15">
        <f t="shared" si="8"/>
        <v>426740</v>
      </c>
      <c r="Q72" s="15">
        <f t="shared" si="9"/>
        <v>19660</v>
      </c>
      <c r="R72" s="17">
        <v>794</v>
      </c>
    </row>
    <row r="73" spans="1:18" ht="16.5" x14ac:dyDescent="0.25">
      <c r="A73" s="12">
        <v>797</v>
      </c>
      <c r="B73" s="13" t="s">
        <v>90</v>
      </c>
      <c r="C73" s="13" t="s">
        <v>30</v>
      </c>
      <c r="D73" s="19"/>
      <c r="E73" s="15">
        <v>6400</v>
      </c>
      <c r="F73" s="15">
        <v>500</v>
      </c>
      <c r="G73" s="15">
        <v>400</v>
      </c>
      <c r="H73" s="15">
        <f t="shared" si="10"/>
        <v>7300</v>
      </c>
      <c r="I73" s="15">
        <f t="shared" si="11"/>
        <v>0</v>
      </c>
      <c r="J73" s="20"/>
      <c r="K73" s="15"/>
      <c r="L73" s="15">
        <f t="shared" si="6"/>
        <v>0</v>
      </c>
      <c r="M73" s="20"/>
      <c r="N73" s="20"/>
      <c r="O73" s="15">
        <f t="shared" si="7"/>
        <v>0</v>
      </c>
      <c r="P73" s="15">
        <f t="shared" si="8"/>
        <v>0</v>
      </c>
      <c r="Q73" s="15">
        <f t="shared" si="9"/>
        <v>0</v>
      </c>
      <c r="R73" s="17">
        <v>797</v>
      </c>
    </row>
    <row r="74" spans="1:18" ht="16.5" x14ac:dyDescent="0.25">
      <c r="A74" s="12">
        <v>799</v>
      </c>
      <c r="B74" s="13" t="s">
        <v>91</v>
      </c>
      <c r="C74" s="13" t="s">
        <v>21</v>
      </c>
      <c r="D74" s="19"/>
      <c r="E74" s="15">
        <v>6400</v>
      </c>
      <c r="F74" s="15">
        <v>300</v>
      </c>
      <c r="G74" s="15">
        <v>400</v>
      </c>
      <c r="H74" s="15">
        <f t="shared" si="10"/>
        <v>7100</v>
      </c>
      <c r="I74" s="15">
        <f t="shared" si="11"/>
        <v>0</v>
      </c>
      <c r="J74" s="20"/>
      <c r="K74" s="15"/>
      <c r="L74" s="15">
        <f t="shared" si="6"/>
        <v>0</v>
      </c>
      <c r="M74" s="16"/>
      <c r="N74" s="16"/>
      <c r="O74" s="15">
        <f t="shared" si="7"/>
        <v>0</v>
      </c>
      <c r="P74" s="15">
        <f t="shared" si="8"/>
        <v>0</v>
      </c>
      <c r="Q74" s="15">
        <f t="shared" si="9"/>
        <v>0</v>
      </c>
      <c r="R74" s="17">
        <v>799</v>
      </c>
    </row>
    <row r="75" spans="1:18" ht="16.5" x14ac:dyDescent="0.25">
      <c r="A75" s="12">
        <v>802</v>
      </c>
      <c r="B75" s="13" t="s">
        <v>92</v>
      </c>
      <c r="C75" s="13" t="s">
        <v>30</v>
      </c>
      <c r="D75" s="14"/>
      <c r="E75" s="15">
        <v>6400</v>
      </c>
      <c r="F75" s="15">
        <v>500</v>
      </c>
      <c r="G75" s="15">
        <v>400</v>
      </c>
      <c r="H75" s="15">
        <f t="shared" si="10"/>
        <v>7300</v>
      </c>
      <c r="I75" s="15">
        <f t="shared" si="11"/>
        <v>0</v>
      </c>
      <c r="J75" s="16"/>
      <c r="K75" s="15"/>
      <c r="L75" s="15">
        <f t="shared" si="6"/>
        <v>0</v>
      </c>
      <c r="M75" s="20"/>
      <c r="N75" s="20"/>
      <c r="O75" s="15">
        <f t="shared" si="7"/>
        <v>0</v>
      </c>
      <c r="P75" s="15">
        <f t="shared" si="8"/>
        <v>0</v>
      </c>
      <c r="Q75" s="15">
        <f t="shared" si="9"/>
        <v>0</v>
      </c>
      <c r="R75" s="17">
        <v>802</v>
      </c>
    </row>
    <row r="76" spans="1:18" ht="16.5" x14ac:dyDescent="0.25">
      <c r="A76" s="12">
        <v>805</v>
      </c>
      <c r="B76" s="13" t="s">
        <v>42</v>
      </c>
      <c r="C76" s="13" t="s">
        <v>30</v>
      </c>
      <c r="D76" s="19">
        <v>174</v>
      </c>
      <c r="E76" s="15">
        <v>6400</v>
      </c>
      <c r="F76" s="15">
        <v>500</v>
      </c>
      <c r="G76" s="15">
        <v>400</v>
      </c>
      <c r="H76" s="15">
        <f t="shared" si="10"/>
        <v>7300</v>
      </c>
      <c r="I76" s="15">
        <f t="shared" si="11"/>
        <v>1270200</v>
      </c>
      <c r="J76" s="20"/>
      <c r="K76" s="15">
        <v>410000</v>
      </c>
      <c r="L76" s="15">
        <f t="shared" si="6"/>
        <v>3480</v>
      </c>
      <c r="M76" s="20"/>
      <c r="N76" s="20"/>
      <c r="O76" s="15">
        <f t="shared" si="7"/>
        <v>43500</v>
      </c>
      <c r="P76" s="15">
        <f t="shared" si="8"/>
        <v>456980</v>
      </c>
      <c r="Q76" s="15">
        <f t="shared" si="9"/>
        <v>813220</v>
      </c>
      <c r="R76" s="17">
        <v>805</v>
      </c>
    </row>
    <row r="77" spans="1:18" ht="16.5" x14ac:dyDescent="0.25">
      <c r="A77" s="12">
        <v>808</v>
      </c>
      <c r="B77" s="13" t="s">
        <v>93</v>
      </c>
      <c r="C77" s="13" t="s">
        <v>21</v>
      </c>
      <c r="D77" s="19"/>
      <c r="E77" s="15">
        <v>6400</v>
      </c>
      <c r="F77" s="15">
        <v>300</v>
      </c>
      <c r="G77" s="15">
        <v>400</v>
      </c>
      <c r="H77" s="15">
        <f t="shared" si="10"/>
        <v>7100</v>
      </c>
      <c r="I77" s="15">
        <f t="shared" si="11"/>
        <v>0</v>
      </c>
      <c r="J77" s="20"/>
      <c r="K77" s="15"/>
      <c r="L77" s="15">
        <f t="shared" si="6"/>
        <v>0</v>
      </c>
      <c r="M77" s="16"/>
      <c r="N77" s="16"/>
      <c r="O77" s="15">
        <f t="shared" si="7"/>
        <v>0</v>
      </c>
      <c r="P77" s="15">
        <f t="shared" si="8"/>
        <v>0</v>
      </c>
      <c r="Q77" s="15">
        <f t="shared" si="9"/>
        <v>0</v>
      </c>
      <c r="R77" s="17">
        <v>808</v>
      </c>
    </row>
    <row r="78" spans="1:18" ht="16.5" x14ac:dyDescent="0.25">
      <c r="A78" s="12">
        <v>809</v>
      </c>
      <c r="B78" s="13" t="s">
        <v>94</v>
      </c>
      <c r="C78" s="13" t="s">
        <v>43</v>
      </c>
      <c r="D78" s="14">
        <v>548</v>
      </c>
      <c r="E78" s="15">
        <v>6400</v>
      </c>
      <c r="F78" s="15">
        <v>600</v>
      </c>
      <c r="G78" s="15">
        <v>400</v>
      </c>
      <c r="H78" s="15">
        <f t="shared" si="10"/>
        <v>7400</v>
      </c>
      <c r="I78" s="15">
        <f t="shared" si="11"/>
        <v>4055200</v>
      </c>
      <c r="J78" s="16"/>
      <c r="K78" s="15">
        <v>2050000</v>
      </c>
      <c r="L78" s="15">
        <f t="shared" si="6"/>
        <v>10960</v>
      </c>
      <c r="M78" s="20"/>
      <c r="N78" s="20"/>
      <c r="O78" s="15">
        <f t="shared" si="7"/>
        <v>137000</v>
      </c>
      <c r="P78" s="15">
        <f t="shared" si="8"/>
        <v>2197960</v>
      </c>
      <c r="Q78" s="15">
        <f t="shared" si="9"/>
        <v>1857240</v>
      </c>
      <c r="R78" s="17">
        <v>809</v>
      </c>
    </row>
    <row r="79" spans="1:18" ht="16.5" x14ac:dyDescent="0.25">
      <c r="A79" s="12">
        <v>811</v>
      </c>
      <c r="B79" s="13" t="s">
        <v>95</v>
      </c>
      <c r="C79" s="13" t="s">
        <v>25</v>
      </c>
      <c r="D79" s="19"/>
      <c r="E79" s="15">
        <v>6400</v>
      </c>
      <c r="F79" s="15">
        <v>300</v>
      </c>
      <c r="G79" s="15">
        <v>400</v>
      </c>
      <c r="H79" s="15">
        <f t="shared" si="10"/>
        <v>7100</v>
      </c>
      <c r="I79" s="15">
        <f t="shared" si="11"/>
        <v>0</v>
      </c>
      <c r="J79" s="20"/>
      <c r="K79" s="15"/>
      <c r="L79" s="15">
        <f t="shared" si="6"/>
        <v>0</v>
      </c>
      <c r="M79" s="16"/>
      <c r="N79" s="16"/>
      <c r="O79" s="15">
        <f t="shared" si="7"/>
        <v>0</v>
      </c>
      <c r="P79" s="15">
        <f t="shared" si="8"/>
        <v>0</v>
      </c>
      <c r="Q79" s="15">
        <f t="shared" si="9"/>
        <v>0</v>
      </c>
      <c r="R79" s="17">
        <v>811</v>
      </c>
    </row>
    <row r="80" spans="1:18" ht="16.5" x14ac:dyDescent="0.25">
      <c r="A80" s="12">
        <v>813</v>
      </c>
      <c r="B80" s="13" t="s">
        <v>96</v>
      </c>
      <c r="C80" s="13" t="s">
        <v>25</v>
      </c>
      <c r="D80" s="14"/>
      <c r="E80" s="15">
        <v>6400</v>
      </c>
      <c r="F80" s="15">
        <v>400</v>
      </c>
      <c r="G80" s="15">
        <v>400</v>
      </c>
      <c r="H80" s="15">
        <f t="shared" si="10"/>
        <v>7200</v>
      </c>
      <c r="I80" s="15">
        <f t="shared" si="11"/>
        <v>0</v>
      </c>
      <c r="J80" s="16"/>
      <c r="K80" s="15"/>
      <c r="L80" s="15">
        <f t="shared" si="6"/>
        <v>0</v>
      </c>
      <c r="M80" s="16"/>
      <c r="N80" s="16"/>
      <c r="O80" s="15">
        <f t="shared" si="7"/>
        <v>0</v>
      </c>
      <c r="P80" s="15">
        <f t="shared" si="8"/>
        <v>0</v>
      </c>
      <c r="Q80" s="15">
        <f t="shared" si="9"/>
        <v>0</v>
      </c>
      <c r="R80" s="17">
        <v>813</v>
      </c>
    </row>
    <row r="81" spans="1:18" ht="16.5" x14ac:dyDescent="0.25">
      <c r="A81" s="12">
        <v>818</v>
      </c>
      <c r="B81" s="13" t="s">
        <v>97</v>
      </c>
      <c r="C81" s="13" t="s">
        <v>43</v>
      </c>
      <c r="D81" s="14"/>
      <c r="E81" s="15">
        <v>6400</v>
      </c>
      <c r="F81" s="15">
        <v>300</v>
      </c>
      <c r="G81" s="15">
        <v>400</v>
      </c>
      <c r="H81" s="15">
        <f t="shared" si="10"/>
        <v>7100</v>
      </c>
      <c r="I81" s="15">
        <f t="shared" si="11"/>
        <v>0</v>
      </c>
      <c r="J81" s="16"/>
      <c r="K81" s="15"/>
      <c r="L81" s="15">
        <f t="shared" si="6"/>
        <v>0</v>
      </c>
      <c r="M81" s="16"/>
      <c r="N81" s="16"/>
      <c r="O81" s="15">
        <f t="shared" si="7"/>
        <v>0</v>
      </c>
      <c r="P81" s="15">
        <f t="shared" si="8"/>
        <v>0</v>
      </c>
      <c r="Q81" s="15">
        <f t="shared" si="9"/>
        <v>0</v>
      </c>
      <c r="R81" s="17">
        <v>818</v>
      </c>
    </row>
    <row r="82" spans="1:18" ht="16.5" x14ac:dyDescent="0.25">
      <c r="A82" s="12">
        <v>820</v>
      </c>
      <c r="B82" s="13" t="s">
        <v>56</v>
      </c>
      <c r="C82" s="13" t="s">
        <v>43</v>
      </c>
      <c r="D82" s="14"/>
      <c r="E82" s="15">
        <v>6400</v>
      </c>
      <c r="F82" s="15">
        <v>300</v>
      </c>
      <c r="G82" s="15">
        <v>400</v>
      </c>
      <c r="H82" s="15">
        <f t="shared" si="10"/>
        <v>7100</v>
      </c>
      <c r="I82" s="15">
        <f t="shared" si="11"/>
        <v>0</v>
      </c>
      <c r="J82" s="16"/>
      <c r="K82" s="15"/>
      <c r="L82" s="15">
        <f t="shared" si="6"/>
        <v>0</v>
      </c>
      <c r="M82" s="16"/>
      <c r="N82" s="16"/>
      <c r="O82" s="15">
        <f t="shared" si="7"/>
        <v>0</v>
      </c>
      <c r="P82" s="15">
        <f t="shared" si="8"/>
        <v>0</v>
      </c>
      <c r="Q82" s="15">
        <f t="shared" si="9"/>
        <v>0</v>
      </c>
      <c r="R82" s="17">
        <v>820</v>
      </c>
    </row>
    <row r="83" spans="1:18" ht="16.5" x14ac:dyDescent="0.25">
      <c r="A83" s="12">
        <v>823</v>
      </c>
      <c r="B83" s="13" t="s">
        <v>98</v>
      </c>
      <c r="C83" s="13" t="s">
        <v>54</v>
      </c>
      <c r="D83" s="14">
        <v>166</v>
      </c>
      <c r="E83" s="15">
        <v>6400</v>
      </c>
      <c r="F83" s="15">
        <v>600</v>
      </c>
      <c r="G83" s="15">
        <v>400</v>
      </c>
      <c r="H83" s="15">
        <f t="shared" si="10"/>
        <v>7400</v>
      </c>
      <c r="I83" s="15">
        <f t="shared" si="11"/>
        <v>1228400</v>
      </c>
      <c r="J83" s="16"/>
      <c r="K83" s="15">
        <v>820000</v>
      </c>
      <c r="L83" s="15">
        <f t="shared" si="6"/>
        <v>3320</v>
      </c>
      <c r="M83" s="20"/>
      <c r="N83" s="20"/>
      <c r="O83" s="15">
        <f t="shared" si="7"/>
        <v>41500</v>
      </c>
      <c r="P83" s="15">
        <f t="shared" si="8"/>
        <v>864820</v>
      </c>
      <c r="Q83" s="15">
        <f t="shared" si="9"/>
        <v>363580</v>
      </c>
      <c r="R83" s="17">
        <v>823</v>
      </c>
    </row>
    <row r="84" spans="1:18" ht="16.5" x14ac:dyDescent="0.25">
      <c r="A84" s="12">
        <v>825</v>
      </c>
      <c r="B84" s="13" t="s">
        <v>99</v>
      </c>
      <c r="C84" s="13" t="s">
        <v>21</v>
      </c>
      <c r="D84" s="19"/>
      <c r="E84" s="15">
        <v>6400</v>
      </c>
      <c r="F84" s="15">
        <v>300</v>
      </c>
      <c r="G84" s="15">
        <v>400</v>
      </c>
      <c r="H84" s="15">
        <f t="shared" si="10"/>
        <v>7100</v>
      </c>
      <c r="I84" s="15">
        <f t="shared" si="11"/>
        <v>0</v>
      </c>
      <c r="J84" s="20"/>
      <c r="K84" s="15"/>
      <c r="L84" s="15">
        <f t="shared" si="6"/>
        <v>0</v>
      </c>
      <c r="M84" s="16"/>
      <c r="N84" s="16"/>
      <c r="O84" s="15">
        <f t="shared" si="7"/>
        <v>0</v>
      </c>
      <c r="P84" s="15">
        <f t="shared" si="8"/>
        <v>0</v>
      </c>
      <c r="Q84" s="15">
        <f t="shared" si="9"/>
        <v>0</v>
      </c>
      <c r="R84" s="17">
        <v>825</v>
      </c>
    </row>
    <row r="85" spans="1:18" ht="16.5" x14ac:dyDescent="0.25">
      <c r="A85" s="12">
        <v>827</v>
      </c>
      <c r="B85" s="13" t="s">
        <v>100</v>
      </c>
      <c r="C85" s="13" t="s">
        <v>21</v>
      </c>
      <c r="D85" s="14">
        <v>177</v>
      </c>
      <c r="E85" s="15">
        <v>6400</v>
      </c>
      <c r="F85" s="15">
        <v>600</v>
      </c>
      <c r="G85" s="15">
        <v>400</v>
      </c>
      <c r="H85" s="15">
        <f t="shared" si="10"/>
        <v>7400</v>
      </c>
      <c r="I85" s="15">
        <f t="shared" si="11"/>
        <v>1309800</v>
      </c>
      <c r="J85" s="16"/>
      <c r="K85" s="15">
        <v>820000</v>
      </c>
      <c r="L85" s="15">
        <f t="shared" si="6"/>
        <v>3540</v>
      </c>
      <c r="M85" s="20"/>
      <c r="N85" s="20"/>
      <c r="O85" s="15">
        <f t="shared" si="7"/>
        <v>44250</v>
      </c>
      <c r="P85" s="15">
        <f t="shared" si="8"/>
        <v>867790</v>
      </c>
      <c r="Q85" s="15">
        <f t="shared" si="9"/>
        <v>442010</v>
      </c>
      <c r="R85" s="17">
        <v>827</v>
      </c>
    </row>
    <row r="86" spans="1:18" ht="16.5" x14ac:dyDescent="0.25">
      <c r="A86" s="12">
        <v>832</v>
      </c>
      <c r="B86" s="13" t="s">
        <v>101</v>
      </c>
      <c r="C86" s="13" t="s">
        <v>47</v>
      </c>
      <c r="D86" s="19"/>
      <c r="E86" s="15">
        <v>6400</v>
      </c>
      <c r="F86" s="15">
        <v>300</v>
      </c>
      <c r="G86" s="15">
        <v>400</v>
      </c>
      <c r="H86" s="15">
        <f t="shared" si="10"/>
        <v>7100</v>
      </c>
      <c r="I86" s="15">
        <f t="shared" si="11"/>
        <v>0</v>
      </c>
      <c r="J86" s="20"/>
      <c r="K86" s="15"/>
      <c r="L86" s="15">
        <f t="shared" si="6"/>
        <v>0</v>
      </c>
      <c r="M86" s="20"/>
      <c r="N86" s="20"/>
      <c r="O86" s="15">
        <f t="shared" si="7"/>
        <v>0</v>
      </c>
      <c r="P86" s="15">
        <f t="shared" si="8"/>
        <v>0</v>
      </c>
      <c r="Q86" s="15">
        <f t="shared" si="9"/>
        <v>0</v>
      </c>
      <c r="R86" s="17">
        <v>832</v>
      </c>
    </row>
    <row r="87" spans="1:18" ht="16.5" x14ac:dyDescent="0.25">
      <c r="A87" s="12">
        <v>833</v>
      </c>
      <c r="B87" s="13" t="s">
        <v>102</v>
      </c>
      <c r="C87" s="13" t="s">
        <v>25</v>
      </c>
      <c r="D87" s="19"/>
      <c r="E87" s="15">
        <v>6400</v>
      </c>
      <c r="F87" s="15">
        <v>300</v>
      </c>
      <c r="G87" s="15">
        <v>400</v>
      </c>
      <c r="H87" s="15">
        <f t="shared" si="10"/>
        <v>7100</v>
      </c>
      <c r="I87" s="15">
        <f t="shared" si="11"/>
        <v>0</v>
      </c>
      <c r="J87" s="20"/>
      <c r="K87" s="15"/>
      <c r="L87" s="15">
        <f t="shared" si="6"/>
        <v>0</v>
      </c>
      <c r="M87" s="20"/>
      <c r="N87" s="20"/>
      <c r="O87" s="15">
        <f t="shared" si="7"/>
        <v>0</v>
      </c>
      <c r="P87" s="15">
        <f t="shared" si="8"/>
        <v>0</v>
      </c>
      <c r="Q87" s="15">
        <f t="shared" si="9"/>
        <v>0</v>
      </c>
      <c r="R87" s="17">
        <v>833</v>
      </c>
    </row>
    <row r="88" spans="1:18" ht="16.5" x14ac:dyDescent="0.25">
      <c r="A88" s="12">
        <v>836</v>
      </c>
      <c r="B88" s="13" t="s">
        <v>103</v>
      </c>
      <c r="C88" s="13" t="s">
        <v>47</v>
      </c>
      <c r="D88" s="19"/>
      <c r="E88" s="15">
        <v>6400</v>
      </c>
      <c r="F88" s="15">
        <v>400</v>
      </c>
      <c r="G88" s="15">
        <v>400</v>
      </c>
      <c r="H88" s="15">
        <f t="shared" si="10"/>
        <v>7200</v>
      </c>
      <c r="I88" s="15">
        <f t="shared" si="11"/>
        <v>0</v>
      </c>
      <c r="J88" s="20"/>
      <c r="K88" s="15"/>
      <c r="L88" s="15">
        <f t="shared" si="6"/>
        <v>0</v>
      </c>
      <c r="M88" s="20"/>
      <c r="N88" s="20"/>
      <c r="O88" s="15">
        <f t="shared" si="7"/>
        <v>0</v>
      </c>
      <c r="P88" s="15">
        <f t="shared" si="8"/>
        <v>0</v>
      </c>
      <c r="Q88" s="15">
        <f t="shared" si="9"/>
        <v>0</v>
      </c>
      <c r="R88" s="17">
        <v>836</v>
      </c>
    </row>
    <row r="89" spans="1:18" ht="16.5" x14ac:dyDescent="0.25">
      <c r="A89" s="12">
        <v>839</v>
      </c>
      <c r="B89" s="13" t="s">
        <v>104</v>
      </c>
      <c r="C89" s="13" t="s">
        <v>19</v>
      </c>
      <c r="D89" s="19"/>
      <c r="E89" s="15">
        <v>6400</v>
      </c>
      <c r="F89" s="15">
        <v>300</v>
      </c>
      <c r="G89" s="15">
        <v>400</v>
      </c>
      <c r="H89" s="15">
        <f t="shared" si="10"/>
        <v>7100</v>
      </c>
      <c r="I89" s="15">
        <f t="shared" si="11"/>
        <v>0</v>
      </c>
      <c r="J89" s="20"/>
      <c r="K89" s="15"/>
      <c r="L89" s="15">
        <f t="shared" si="6"/>
        <v>0</v>
      </c>
      <c r="M89" s="16"/>
      <c r="N89" s="16"/>
      <c r="O89" s="15">
        <f t="shared" si="7"/>
        <v>0</v>
      </c>
      <c r="P89" s="15">
        <f t="shared" si="8"/>
        <v>0</v>
      </c>
      <c r="Q89" s="15">
        <f t="shared" si="9"/>
        <v>0</v>
      </c>
      <c r="R89" s="17">
        <v>839</v>
      </c>
    </row>
    <row r="90" spans="1:18" ht="16.5" x14ac:dyDescent="0.25">
      <c r="A90" s="12">
        <v>841</v>
      </c>
      <c r="B90" s="13" t="s">
        <v>105</v>
      </c>
      <c r="C90" s="13" t="s">
        <v>43</v>
      </c>
      <c r="D90" s="14"/>
      <c r="E90" s="15">
        <v>6400</v>
      </c>
      <c r="F90" s="15">
        <v>300</v>
      </c>
      <c r="G90" s="15">
        <v>400</v>
      </c>
      <c r="H90" s="15">
        <f t="shared" si="10"/>
        <v>7100</v>
      </c>
      <c r="I90" s="15">
        <f t="shared" si="11"/>
        <v>0</v>
      </c>
      <c r="J90" s="16"/>
      <c r="K90" s="15"/>
      <c r="L90" s="15">
        <f t="shared" si="6"/>
        <v>0</v>
      </c>
      <c r="M90" s="20"/>
      <c r="N90" s="20"/>
      <c r="O90" s="15">
        <f t="shared" si="7"/>
        <v>0</v>
      </c>
      <c r="P90" s="15">
        <f t="shared" si="8"/>
        <v>0</v>
      </c>
      <c r="Q90" s="15">
        <f t="shared" si="9"/>
        <v>0</v>
      </c>
      <c r="R90" s="17">
        <v>841</v>
      </c>
    </row>
    <row r="91" spans="1:18" ht="16.5" x14ac:dyDescent="0.25">
      <c r="A91" s="12">
        <v>853</v>
      </c>
      <c r="B91" s="13" t="s">
        <v>418</v>
      </c>
      <c r="C91" s="13" t="s">
        <v>19</v>
      </c>
      <c r="D91" s="19"/>
      <c r="E91" s="15">
        <v>6400</v>
      </c>
      <c r="F91" s="15">
        <v>200</v>
      </c>
      <c r="G91" s="15">
        <v>400</v>
      </c>
      <c r="H91" s="15">
        <f t="shared" si="10"/>
        <v>7000</v>
      </c>
      <c r="I91" s="15">
        <f t="shared" si="11"/>
        <v>0</v>
      </c>
      <c r="J91" s="20"/>
      <c r="K91" s="15"/>
      <c r="L91" s="15">
        <f t="shared" si="6"/>
        <v>0</v>
      </c>
      <c r="M91" s="16"/>
      <c r="N91" s="16"/>
      <c r="O91" s="15">
        <f t="shared" si="7"/>
        <v>0</v>
      </c>
      <c r="P91" s="15">
        <f t="shared" si="8"/>
        <v>0</v>
      </c>
      <c r="Q91" s="15">
        <f t="shared" si="9"/>
        <v>0</v>
      </c>
      <c r="R91" s="17">
        <v>844</v>
      </c>
    </row>
    <row r="92" spans="1:18" ht="16.5" x14ac:dyDescent="0.25">
      <c r="A92" s="12">
        <v>855</v>
      </c>
      <c r="B92" s="13" t="s">
        <v>106</v>
      </c>
      <c r="C92" s="13" t="s">
        <v>30</v>
      </c>
      <c r="D92" s="14"/>
      <c r="E92" s="15">
        <v>6400</v>
      </c>
      <c r="F92" s="15">
        <v>500</v>
      </c>
      <c r="G92" s="15">
        <v>400</v>
      </c>
      <c r="H92" s="15">
        <f t="shared" si="10"/>
        <v>7300</v>
      </c>
      <c r="I92" s="15">
        <f t="shared" si="11"/>
        <v>0</v>
      </c>
      <c r="J92" s="16"/>
      <c r="K92" s="15"/>
      <c r="L92" s="15">
        <f t="shared" si="6"/>
        <v>0</v>
      </c>
      <c r="M92" s="16"/>
      <c r="N92" s="16"/>
      <c r="O92" s="15">
        <f t="shared" si="7"/>
        <v>0</v>
      </c>
      <c r="P92" s="15">
        <f t="shared" si="8"/>
        <v>0</v>
      </c>
      <c r="Q92" s="15">
        <f t="shared" si="9"/>
        <v>0</v>
      </c>
      <c r="R92" s="17">
        <v>855</v>
      </c>
    </row>
    <row r="93" spans="1:18" ht="16.5" x14ac:dyDescent="0.25">
      <c r="A93" s="12">
        <v>856</v>
      </c>
      <c r="B93" s="13" t="s">
        <v>107</v>
      </c>
      <c r="C93" s="13" t="s">
        <v>30</v>
      </c>
      <c r="D93" s="14"/>
      <c r="E93" s="15">
        <v>6400</v>
      </c>
      <c r="F93" s="15">
        <v>400</v>
      </c>
      <c r="G93" s="15">
        <v>400</v>
      </c>
      <c r="H93" s="15">
        <f t="shared" si="10"/>
        <v>7200</v>
      </c>
      <c r="I93" s="15">
        <f t="shared" si="11"/>
        <v>0</v>
      </c>
      <c r="J93" s="16"/>
      <c r="K93" s="15"/>
      <c r="L93" s="15">
        <f t="shared" si="6"/>
        <v>0</v>
      </c>
      <c r="M93" s="20"/>
      <c r="N93" s="20"/>
      <c r="O93" s="15">
        <f t="shared" si="7"/>
        <v>0</v>
      </c>
      <c r="P93" s="15">
        <f t="shared" si="8"/>
        <v>0</v>
      </c>
      <c r="Q93" s="15">
        <f t="shared" si="9"/>
        <v>0</v>
      </c>
      <c r="R93" s="17">
        <v>856</v>
      </c>
    </row>
    <row r="94" spans="1:18" ht="16.5" x14ac:dyDescent="0.25">
      <c r="A94" s="12">
        <v>862</v>
      </c>
      <c r="B94" s="13" t="s">
        <v>108</v>
      </c>
      <c r="C94" s="13" t="s">
        <v>30</v>
      </c>
      <c r="D94" s="19"/>
      <c r="E94" s="15">
        <v>6400</v>
      </c>
      <c r="F94" s="15">
        <v>300</v>
      </c>
      <c r="G94" s="15">
        <v>400</v>
      </c>
      <c r="H94" s="15">
        <f t="shared" si="10"/>
        <v>7100</v>
      </c>
      <c r="I94" s="15">
        <f t="shared" si="11"/>
        <v>0</v>
      </c>
      <c r="J94" s="20"/>
      <c r="K94" s="15"/>
      <c r="L94" s="15">
        <f t="shared" si="6"/>
        <v>0</v>
      </c>
      <c r="M94" s="16"/>
      <c r="N94" s="16"/>
      <c r="O94" s="15">
        <f t="shared" si="7"/>
        <v>0</v>
      </c>
      <c r="P94" s="15">
        <f t="shared" si="8"/>
        <v>0</v>
      </c>
      <c r="Q94" s="15">
        <f t="shared" si="9"/>
        <v>0</v>
      </c>
      <c r="R94" s="17">
        <v>862</v>
      </c>
    </row>
    <row r="95" spans="1:18" ht="16.5" x14ac:dyDescent="0.25">
      <c r="A95" s="12">
        <v>867</v>
      </c>
      <c r="B95" s="13" t="s">
        <v>109</v>
      </c>
      <c r="C95" s="13" t="s">
        <v>43</v>
      </c>
      <c r="D95" s="14">
        <v>144</v>
      </c>
      <c r="E95" s="15">
        <v>6400</v>
      </c>
      <c r="F95" s="15">
        <v>400</v>
      </c>
      <c r="G95" s="15">
        <v>400</v>
      </c>
      <c r="H95" s="15">
        <f t="shared" si="10"/>
        <v>7200</v>
      </c>
      <c r="I95" s="15">
        <f t="shared" si="11"/>
        <v>1036800</v>
      </c>
      <c r="J95" s="16"/>
      <c r="K95" s="15">
        <v>410000</v>
      </c>
      <c r="L95" s="15">
        <f t="shared" si="6"/>
        <v>2880</v>
      </c>
      <c r="M95" s="20"/>
      <c r="N95" s="20"/>
      <c r="O95" s="15">
        <f t="shared" si="7"/>
        <v>36000</v>
      </c>
      <c r="P95" s="15">
        <f t="shared" si="8"/>
        <v>448880</v>
      </c>
      <c r="Q95" s="15">
        <f t="shared" si="9"/>
        <v>587920</v>
      </c>
      <c r="R95" s="17">
        <v>867</v>
      </c>
    </row>
    <row r="96" spans="1:18" ht="16.5" x14ac:dyDescent="0.25">
      <c r="A96" s="12">
        <v>874</v>
      </c>
      <c r="B96" s="13" t="s">
        <v>110</v>
      </c>
      <c r="C96" s="13" t="s">
        <v>21</v>
      </c>
      <c r="D96" s="19"/>
      <c r="E96" s="15">
        <v>6400</v>
      </c>
      <c r="F96" s="15">
        <v>300</v>
      </c>
      <c r="G96" s="15">
        <v>400</v>
      </c>
      <c r="H96" s="15">
        <f t="shared" si="10"/>
        <v>7100</v>
      </c>
      <c r="I96" s="15">
        <f t="shared" si="11"/>
        <v>0</v>
      </c>
      <c r="J96" s="20"/>
      <c r="K96" s="15"/>
      <c r="L96" s="15">
        <f t="shared" si="6"/>
        <v>0</v>
      </c>
      <c r="M96" s="16"/>
      <c r="N96" s="16"/>
      <c r="O96" s="15">
        <f t="shared" si="7"/>
        <v>0</v>
      </c>
      <c r="P96" s="15">
        <f t="shared" si="8"/>
        <v>0</v>
      </c>
      <c r="Q96" s="15">
        <f t="shared" si="9"/>
        <v>0</v>
      </c>
      <c r="R96" s="17">
        <v>874</v>
      </c>
    </row>
    <row r="97" spans="1:18" ht="16.5" x14ac:dyDescent="0.25">
      <c r="A97" s="12">
        <v>876</v>
      </c>
      <c r="B97" s="13" t="s">
        <v>111</v>
      </c>
      <c r="C97" s="13" t="s">
        <v>21</v>
      </c>
      <c r="D97" s="14"/>
      <c r="E97" s="15">
        <v>6400</v>
      </c>
      <c r="F97" s="15">
        <v>200</v>
      </c>
      <c r="G97" s="15">
        <v>400</v>
      </c>
      <c r="H97" s="15">
        <f t="shared" si="10"/>
        <v>7000</v>
      </c>
      <c r="I97" s="15">
        <f t="shared" si="11"/>
        <v>0</v>
      </c>
      <c r="J97" s="16"/>
      <c r="K97" s="15"/>
      <c r="L97" s="15">
        <f t="shared" si="6"/>
        <v>0</v>
      </c>
      <c r="M97" s="20"/>
      <c r="N97" s="20"/>
      <c r="O97" s="15">
        <f t="shared" si="7"/>
        <v>0</v>
      </c>
      <c r="P97" s="15">
        <f t="shared" si="8"/>
        <v>0</v>
      </c>
      <c r="Q97" s="15">
        <f t="shared" si="9"/>
        <v>0</v>
      </c>
      <c r="R97" s="17">
        <v>876</v>
      </c>
    </row>
    <row r="98" spans="1:18" ht="16.5" x14ac:dyDescent="0.25">
      <c r="A98" s="12">
        <v>877</v>
      </c>
      <c r="B98" s="13" t="s">
        <v>112</v>
      </c>
      <c r="C98" s="13" t="s">
        <v>19</v>
      </c>
      <c r="D98" s="19"/>
      <c r="E98" s="15">
        <v>6400</v>
      </c>
      <c r="F98" s="15">
        <v>300</v>
      </c>
      <c r="G98" s="15">
        <v>400</v>
      </c>
      <c r="H98" s="15">
        <f t="shared" si="10"/>
        <v>7100</v>
      </c>
      <c r="I98" s="15">
        <f t="shared" si="11"/>
        <v>0</v>
      </c>
      <c r="J98" s="20"/>
      <c r="K98" s="15"/>
      <c r="L98" s="15">
        <f t="shared" si="6"/>
        <v>0</v>
      </c>
      <c r="M98" s="20"/>
      <c r="N98" s="20"/>
      <c r="O98" s="15">
        <f t="shared" si="7"/>
        <v>0</v>
      </c>
      <c r="P98" s="15">
        <f t="shared" si="8"/>
        <v>0</v>
      </c>
      <c r="Q98" s="15">
        <f t="shared" si="9"/>
        <v>0</v>
      </c>
      <c r="R98" s="17">
        <v>877</v>
      </c>
    </row>
    <row r="99" spans="1:18" ht="16.5" x14ac:dyDescent="0.25">
      <c r="A99" s="12">
        <v>878</v>
      </c>
      <c r="B99" s="13" t="s">
        <v>88</v>
      </c>
      <c r="C99" s="13" t="s">
        <v>47</v>
      </c>
      <c r="D99" s="19"/>
      <c r="E99" s="15">
        <v>6400</v>
      </c>
      <c r="F99" s="15">
        <v>300</v>
      </c>
      <c r="G99" s="15">
        <v>400</v>
      </c>
      <c r="H99" s="15">
        <f t="shared" si="10"/>
        <v>7100</v>
      </c>
      <c r="I99" s="15">
        <f t="shared" si="11"/>
        <v>0</v>
      </c>
      <c r="J99" s="20"/>
      <c r="K99" s="15"/>
      <c r="L99" s="15">
        <f t="shared" si="6"/>
        <v>0</v>
      </c>
      <c r="M99" s="16"/>
      <c r="N99" s="16"/>
      <c r="O99" s="15">
        <f t="shared" si="7"/>
        <v>0</v>
      </c>
      <c r="P99" s="15">
        <f t="shared" si="8"/>
        <v>0</v>
      </c>
      <c r="Q99" s="15">
        <f t="shared" si="9"/>
        <v>0</v>
      </c>
      <c r="R99" s="17">
        <v>878</v>
      </c>
    </row>
    <row r="100" spans="1:18" ht="16.5" x14ac:dyDescent="0.25">
      <c r="A100" s="12">
        <v>879</v>
      </c>
      <c r="B100" s="13" t="s">
        <v>113</v>
      </c>
      <c r="C100" s="13" t="s">
        <v>25</v>
      </c>
      <c r="D100" s="16"/>
      <c r="E100" s="15">
        <v>6400</v>
      </c>
      <c r="F100" s="15">
        <v>300</v>
      </c>
      <c r="G100" s="15">
        <v>400</v>
      </c>
      <c r="H100" s="15">
        <f t="shared" si="10"/>
        <v>7100</v>
      </c>
      <c r="I100" s="15">
        <f t="shared" si="11"/>
        <v>0</v>
      </c>
      <c r="J100" s="16"/>
      <c r="K100" s="15"/>
      <c r="L100" s="15">
        <f t="shared" si="6"/>
        <v>0</v>
      </c>
      <c r="M100" s="20"/>
      <c r="N100" s="20"/>
      <c r="O100" s="15">
        <f t="shared" si="7"/>
        <v>0</v>
      </c>
      <c r="P100" s="15">
        <f t="shared" si="8"/>
        <v>0</v>
      </c>
      <c r="Q100" s="15">
        <f t="shared" si="9"/>
        <v>0</v>
      </c>
      <c r="R100" s="17">
        <v>879</v>
      </c>
    </row>
    <row r="101" spans="1:18" ht="16.5" x14ac:dyDescent="0.25">
      <c r="A101" s="12">
        <v>880</v>
      </c>
      <c r="B101" s="13" t="s">
        <v>114</v>
      </c>
      <c r="C101" s="13" t="s">
        <v>25</v>
      </c>
      <c r="D101" s="19"/>
      <c r="E101" s="15">
        <v>6400</v>
      </c>
      <c r="F101" s="15">
        <v>300</v>
      </c>
      <c r="G101" s="15">
        <v>400</v>
      </c>
      <c r="H101" s="15">
        <f t="shared" si="10"/>
        <v>7100</v>
      </c>
      <c r="I101" s="15">
        <f t="shared" si="11"/>
        <v>0</v>
      </c>
      <c r="J101" s="20"/>
      <c r="K101" s="15"/>
      <c r="L101" s="15">
        <f t="shared" si="6"/>
        <v>0</v>
      </c>
      <c r="M101" s="16"/>
      <c r="N101" s="16"/>
      <c r="O101" s="15">
        <f t="shared" si="7"/>
        <v>0</v>
      </c>
      <c r="P101" s="15">
        <f t="shared" si="8"/>
        <v>0</v>
      </c>
      <c r="Q101" s="15">
        <f t="shared" si="9"/>
        <v>0</v>
      </c>
      <c r="R101" s="17">
        <v>880</v>
      </c>
    </row>
    <row r="102" spans="1:18" ht="16.5" x14ac:dyDescent="0.25">
      <c r="A102" s="12">
        <v>881</v>
      </c>
      <c r="B102" s="13" t="s">
        <v>115</v>
      </c>
      <c r="C102" s="13" t="s">
        <v>25</v>
      </c>
      <c r="D102" s="14">
        <v>221</v>
      </c>
      <c r="E102" s="15">
        <v>6400</v>
      </c>
      <c r="F102" s="15">
        <v>400</v>
      </c>
      <c r="G102" s="15">
        <v>400</v>
      </c>
      <c r="H102" s="15">
        <f t="shared" si="10"/>
        <v>7200</v>
      </c>
      <c r="I102" s="15">
        <f t="shared" si="11"/>
        <v>1591200</v>
      </c>
      <c r="J102" s="16"/>
      <c r="K102" s="15">
        <v>410000</v>
      </c>
      <c r="L102" s="15">
        <f t="shared" si="6"/>
        <v>4420</v>
      </c>
      <c r="M102" s="20"/>
      <c r="N102" s="20"/>
      <c r="O102" s="15">
        <f t="shared" si="7"/>
        <v>55250</v>
      </c>
      <c r="P102" s="15">
        <f t="shared" si="8"/>
        <v>469670</v>
      </c>
      <c r="Q102" s="15">
        <f t="shared" si="9"/>
        <v>1121530</v>
      </c>
      <c r="R102" s="17">
        <v>881</v>
      </c>
    </row>
    <row r="103" spans="1:18" ht="16.5" x14ac:dyDescent="0.25">
      <c r="A103" s="12">
        <v>882</v>
      </c>
      <c r="B103" s="13" t="s">
        <v>116</v>
      </c>
      <c r="C103" s="13" t="s">
        <v>21</v>
      </c>
      <c r="D103" s="19"/>
      <c r="E103" s="15">
        <v>6400</v>
      </c>
      <c r="F103" s="15">
        <v>300</v>
      </c>
      <c r="G103" s="15">
        <v>400</v>
      </c>
      <c r="H103" s="15">
        <f t="shared" si="10"/>
        <v>7100</v>
      </c>
      <c r="I103" s="15">
        <f t="shared" si="11"/>
        <v>0</v>
      </c>
      <c r="J103" s="20"/>
      <c r="K103" s="15"/>
      <c r="L103" s="15">
        <f t="shared" si="6"/>
        <v>0</v>
      </c>
      <c r="M103" s="16"/>
      <c r="N103" s="16"/>
      <c r="O103" s="15">
        <f t="shared" si="7"/>
        <v>0</v>
      </c>
      <c r="P103" s="15">
        <f t="shared" si="8"/>
        <v>0</v>
      </c>
      <c r="Q103" s="15">
        <f t="shared" si="9"/>
        <v>0</v>
      </c>
      <c r="R103" s="17">
        <v>882</v>
      </c>
    </row>
    <row r="104" spans="1:18" ht="16.5" x14ac:dyDescent="0.25">
      <c r="A104" s="12">
        <v>884</v>
      </c>
      <c r="B104" s="13" t="s">
        <v>117</v>
      </c>
      <c r="C104" s="13" t="s">
        <v>25</v>
      </c>
      <c r="D104" s="14"/>
      <c r="E104" s="15">
        <v>6400</v>
      </c>
      <c r="F104" s="15">
        <v>300</v>
      </c>
      <c r="G104" s="15">
        <v>400</v>
      </c>
      <c r="H104" s="15">
        <f t="shared" si="10"/>
        <v>7100</v>
      </c>
      <c r="I104" s="15">
        <f t="shared" si="11"/>
        <v>0</v>
      </c>
      <c r="J104" s="16"/>
      <c r="K104" s="15"/>
      <c r="L104" s="15">
        <f t="shared" si="6"/>
        <v>0</v>
      </c>
      <c r="M104" s="16"/>
      <c r="N104" s="16"/>
      <c r="O104" s="15">
        <f t="shared" si="7"/>
        <v>0</v>
      </c>
      <c r="P104" s="15">
        <f t="shared" si="8"/>
        <v>0</v>
      </c>
      <c r="Q104" s="15">
        <f t="shared" si="9"/>
        <v>0</v>
      </c>
      <c r="R104" s="17">
        <v>884</v>
      </c>
    </row>
    <row r="105" spans="1:18" ht="16.5" x14ac:dyDescent="0.25">
      <c r="A105" s="12">
        <v>886</v>
      </c>
      <c r="B105" s="13" t="s">
        <v>118</v>
      </c>
      <c r="C105" s="13" t="s">
        <v>82</v>
      </c>
      <c r="D105" s="16"/>
      <c r="E105" s="15">
        <v>6400</v>
      </c>
      <c r="F105" s="15">
        <v>300</v>
      </c>
      <c r="G105" s="15">
        <v>400</v>
      </c>
      <c r="H105" s="15">
        <f t="shared" si="10"/>
        <v>7100</v>
      </c>
      <c r="I105" s="15">
        <f t="shared" si="11"/>
        <v>0</v>
      </c>
      <c r="J105" s="16"/>
      <c r="K105" s="15"/>
      <c r="L105" s="15">
        <f t="shared" si="6"/>
        <v>0</v>
      </c>
      <c r="M105" s="20"/>
      <c r="N105" s="20"/>
      <c r="O105" s="15">
        <f t="shared" si="7"/>
        <v>0</v>
      </c>
      <c r="P105" s="15">
        <f t="shared" si="8"/>
        <v>0</v>
      </c>
      <c r="Q105" s="15">
        <f t="shared" si="9"/>
        <v>0</v>
      </c>
      <c r="R105" s="17">
        <v>886</v>
      </c>
    </row>
    <row r="106" spans="1:18" ht="16.5" x14ac:dyDescent="0.25">
      <c r="A106" s="12">
        <v>888</v>
      </c>
      <c r="B106" s="13" t="s">
        <v>119</v>
      </c>
      <c r="C106" s="13" t="s">
        <v>43</v>
      </c>
      <c r="D106" s="19"/>
      <c r="E106" s="15">
        <v>6400</v>
      </c>
      <c r="F106" s="15">
        <v>300</v>
      </c>
      <c r="G106" s="15">
        <v>400</v>
      </c>
      <c r="H106" s="15">
        <f t="shared" si="10"/>
        <v>7100</v>
      </c>
      <c r="I106" s="15">
        <f t="shared" si="11"/>
        <v>0</v>
      </c>
      <c r="J106" s="20"/>
      <c r="K106" s="15"/>
      <c r="L106" s="15">
        <f t="shared" si="6"/>
        <v>0</v>
      </c>
      <c r="M106" s="16"/>
      <c r="N106" s="16"/>
      <c r="O106" s="15">
        <f t="shared" si="7"/>
        <v>0</v>
      </c>
      <c r="P106" s="15">
        <f t="shared" si="8"/>
        <v>0</v>
      </c>
      <c r="Q106" s="15">
        <f t="shared" si="9"/>
        <v>0</v>
      </c>
      <c r="R106" s="17">
        <v>888</v>
      </c>
    </row>
    <row r="107" spans="1:18" ht="16.5" x14ac:dyDescent="0.25">
      <c r="A107" s="12">
        <v>892</v>
      </c>
      <c r="B107" s="13" t="s">
        <v>120</v>
      </c>
      <c r="C107" s="13" t="s">
        <v>23</v>
      </c>
      <c r="D107" s="14"/>
      <c r="E107" s="15">
        <v>6400</v>
      </c>
      <c r="F107" s="15">
        <v>400</v>
      </c>
      <c r="G107" s="15">
        <v>400</v>
      </c>
      <c r="H107" s="15">
        <f t="shared" si="10"/>
        <v>7200</v>
      </c>
      <c r="I107" s="15">
        <f t="shared" si="11"/>
        <v>0</v>
      </c>
      <c r="J107" s="16"/>
      <c r="K107" s="15"/>
      <c r="L107" s="15">
        <f t="shared" si="6"/>
        <v>0</v>
      </c>
      <c r="M107" s="16"/>
      <c r="N107" s="16"/>
      <c r="O107" s="15">
        <f t="shared" si="7"/>
        <v>0</v>
      </c>
      <c r="P107" s="15">
        <f t="shared" si="8"/>
        <v>0</v>
      </c>
      <c r="Q107" s="15">
        <f t="shared" si="9"/>
        <v>0</v>
      </c>
      <c r="R107" s="17">
        <v>892</v>
      </c>
    </row>
    <row r="108" spans="1:18" ht="16.5" x14ac:dyDescent="0.25">
      <c r="A108" s="12">
        <v>897</v>
      </c>
      <c r="B108" s="13" t="s">
        <v>121</v>
      </c>
      <c r="C108" s="13" t="s">
        <v>25</v>
      </c>
      <c r="D108" s="14"/>
      <c r="E108" s="15">
        <v>6400</v>
      </c>
      <c r="F108" s="15">
        <v>300</v>
      </c>
      <c r="G108" s="15">
        <v>400</v>
      </c>
      <c r="H108" s="15">
        <f t="shared" si="10"/>
        <v>7100</v>
      </c>
      <c r="I108" s="15">
        <f t="shared" si="11"/>
        <v>0</v>
      </c>
      <c r="J108" s="16"/>
      <c r="K108" s="15"/>
      <c r="L108" s="15">
        <f t="shared" si="6"/>
        <v>0</v>
      </c>
      <c r="M108" s="16"/>
      <c r="N108" s="16"/>
      <c r="O108" s="15">
        <f t="shared" si="7"/>
        <v>0</v>
      </c>
      <c r="P108" s="15">
        <f t="shared" si="8"/>
        <v>0</v>
      </c>
      <c r="Q108" s="15">
        <f t="shared" si="9"/>
        <v>0</v>
      </c>
      <c r="R108" s="17">
        <v>897</v>
      </c>
    </row>
    <row r="109" spans="1:18" ht="16.5" x14ac:dyDescent="0.25">
      <c r="A109" s="12">
        <v>899</v>
      </c>
      <c r="B109" s="13" t="s">
        <v>122</v>
      </c>
      <c r="C109" s="13" t="s">
        <v>47</v>
      </c>
      <c r="D109" s="14"/>
      <c r="E109" s="15">
        <v>6400</v>
      </c>
      <c r="F109" s="15">
        <v>500</v>
      </c>
      <c r="G109" s="15">
        <v>400</v>
      </c>
      <c r="H109" s="15">
        <f t="shared" si="10"/>
        <v>7300</v>
      </c>
      <c r="I109" s="15">
        <f t="shared" si="11"/>
        <v>0</v>
      </c>
      <c r="J109" s="16"/>
      <c r="K109" s="15"/>
      <c r="L109" s="15">
        <f t="shared" si="6"/>
        <v>0</v>
      </c>
      <c r="M109" s="16"/>
      <c r="N109" s="16"/>
      <c r="O109" s="15">
        <f t="shared" si="7"/>
        <v>0</v>
      </c>
      <c r="P109" s="15">
        <f t="shared" si="8"/>
        <v>0</v>
      </c>
      <c r="Q109" s="15">
        <f t="shared" si="9"/>
        <v>0</v>
      </c>
      <c r="R109" s="17">
        <v>899</v>
      </c>
    </row>
    <row r="110" spans="1:18" ht="16.5" x14ac:dyDescent="0.25">
      <c r="A110" s="12">
        <v>900</v>
      </c>
      <c r="B110" s="13" t="s">
        <v>123</v>
      </c>
      <c r="C110" s="13" t="s">
        <v>25</v>
      </c>
      <c r="D110" s="14"/>
      <c r="E110" s="15">
        <v>6400</v>
      </c>
      <c r="F110" s="15">
        <v>300</v>
      </c>
      <c r="G110" s="15">
        <v>400</v>
      </c>
      <c r="H110" s="15">
        <f t="shared" si="10"/>
        <v>7100</v>
      </c>
      <c r="I110" s="15">
        <f t="shared" si="11"/>
        <v>0</v>
      </c>
      <c r="J110" s="16"/>
      <c r="K110" s="15"/>
      <c r="L110" s="15">
        <f t="shared" si="6"/>
        <v>0</v>
      </c>
      <c r="M110" s="16"/>
      <c r="N110" s="16"/>
      <c r="O110" s="15">
        <f t="shared" si="7"/>
        <v>0</v>
      </c>
      <c r="P110" s="15">
        <f t="shared" si="8"/>
        <v>0</v>
      </c>
      <c r="Q110" s="15">
        <f t="shared" si="9"/>
        <v>0</v>
      </c>
      <c r="R110" s="17">
        <v>900</v>
      </c>
    </row>
    <row r="111" spans="1:18" ht="16.5" x14ac:dyDescent="0.25">
      <c r="A111" s="12">
        <v>901</v>
      </c>
      <c r="B111" s="13" t="s">
        <v>112</v>
      </c>
      <c r="C111" s="13" t="s">
        <v>25</v>
      </c>
      <c r="D111" s="14"/>
      <c r="E111" s="15">
        <v>6400</v>
      </c>
      <c r="F111" s="15">
        <v>300</v>
      </c>
      <c r="G111" s="15">
        <v>400</v>
      </c>
      <c r="H111" s="15">
        <f t="shared" si="10"/>
        <v>7100</v>
      </c>
      <c r="I111" s="15">
        <f t="shared" si="11"/>
        <v>0</v>
      </c>
      <c r="J111" s="16"/>
      <c r="K111" s="15"/>
      <c r="L111" s="15">
        <f t="shared" si="6"/>
        <v>0</v>
      </c>
      <c r="M111" s="16"/>
      <c r="N111" s="16"/>
      <c r="O111" s="15">
        <f t="shared" si="7"/>
        <v>0</v>
      </c>
      <c r="P111" s="15">
        <f t="shared" si="8"/>
        <v>0</v>
      </c>
      <c r="Q111" s="15">
        <f t="shared" si="9"/>
        <v>0</v>
      </c>
      <c r="R111" s="17">
        <v>901</v>
      </c>
    </row>
    <row r="112" spans="1:18" ht="16.5" x14ac:dyDescent="0.25">
      <c r="A112" s="12">
        <v>907</v>
      </c>
      <c r="B112" s="13" t="s">
        <v>124</v>
      </c>
      <c r="C112" s="13" t="s">
        <v>23</v>
      </c>
      <c r="D112" s="16"/>
      <c r="E112" s="15">
        <v>6400</v>
      </c>
      <c r="F112" s="15">
        <v>300</v>
      </c>
      <c r="G112" s="15">
        <v>400</v>
      </c>
      <c r="H112" s="15">
        <f t="shared" si="10"/>
        <v>7100</v>
      </c>
      <c r="I112" s="15">
        <f t="shared" si="11"/>
        <v>0</v>
      </c>
      <c r="J112" s="16"/>
      <c r="K112" s="15"/>
      <c r="L112" s="15">
        <f t="shared" si="6"/>
        <v>0</v>
      </c>
      <c r="M112" s="20"/>
      <c r="N112" s="20"/>
      <c r="O112" s="15">
        <f t="shared" si="7"/>
        <v>0</v>
      </c>
      <c r="P112" s="15">
        <f t="shared" si="8"/>
        <v>0</v>
      </c>
      <c r="Q112" s="15">
        <f t="shared" si="9"/>
        <v>0</v>
      </c>
      <c r="R112" s="17">
        <v>907</v>
      </c>
    </row>
    <row r="113" spans="1:18" ht="16.5" x14ac:dyDescent="0.25">
      <c r="A113" s="12">
        <v>913</v>
      </c>
      <c r="B113" s="13" t="s">
        <v>125</v>
      </c>
      <c r="C113" s="13" t="s">
        <v>47</v>
      </c>
      <c r="D113" s="19"/>
      <c r="E113" s="15">
        <v>6400</v>
      </c>
      <c r="F113" s="15">
        <v>400</v>
      </c>
      <c r="G113" s="15">
        <v>400</v>
      </c>
      <c r="H113" s="15">
        <f t="shared" si="10"/>
        <v>7200</v>
      </c>
      <c r="I113" s="15">
        <f t="shared" si="11"/>
        <v>0</v>
      </c>
      <c r="J113" s="20"/>
      <c r="K113" s="15"/>
      <c r="L113" s="15">
        <f t="shared" si="6"/>
        <v>0</v>
      </c>
      <c r="M113" s="16"/>
      <c r="N113" s="16"/>
      <c r="O113" s="15">
        <f t="shared" si="7"/>
        <v>0</v>
      </c>
      <c r="P113" s="15">
        <f t="shared" si="8"/>
        <v>0</v>
      </c>
      <c r="Q113" s="15">
        <f t="shared" si="9"/>
        <v>0</v>
      </c>
      <c r="R113" s="17">
        <v>913</v>
      </c>
    </row>
    <row r="114" spans="1:18" ht="16.5" x14ac:dyDescent="0.25">
      <c r="A114" s="12">
        <v>914</v>
      </c>
      <c r="B114" s="13" t="s">
        <v>126</v>
      </c>
      <c r="C114" s="13" t="s">
        <v>36</v>
      </c>
      <c r="D114" s="14">
        <v>1088</v>
      </c>
      <c r="E114" s="15">
        <v>6400</v>
      </c>
      <c r="F114" s="15">
        <v>600</v>
      </c>
      <c r="G114" s="15">
        <v>400</v>
      </c>
      <c r="H114" s="15">
        <f t="shared" si="10"/>
        <v>7400</v>
      </c>
      <c r="I114" s="15">
        <f t="shared" si="11"/>
        <v>8051200</v>
      </c>
      <c r="J114" s="16"/>
      <c r="K114" s="15"/>
      <c r="L114" s="15">
        <f t="shared" si="6"/>
        <v>21760</v>
      </c>
      <c r="M114" s="16"/>
      <c r="N114" s="16"/>
      <c r="O114" s="15">
        <f t="shared" si="7"/>
        <v>272000</v>
      </c>
      <c r="P114" s="15">
        <f t="shared" si="8"/>
        <v>293760</v>
      </c>
      <c r="Q114" s="15">
        <f t="shared" si="9"/>
        <v>7757440</v>
      </c>
      <c r="R114" s="17">
        <v>914</v>
      </c>
    </row>
    <row r="115" spans="1:18" ht="16.5" x14ac:dyDescent="0.25">
      <c r="A115" s="12">
        <v>915</v>
      </c>
      <c r="B115" s="13" t="s">
        <v>127</v>
      </c>
      <c r="C115" s="13" t="s">
        <v>25</v>
      </c>
      <c r="D115" s="14"/>
      <c r="E115" s="15">
        <v>6400</v>
      </c>
      <c r="F115" s="15">
        <v>400</v>
      </c>
      <c r="G115" s="15">
        <v>400</v>
      </c>
      <c r="H115" s="15">
        <f t="shared" si="10"/>
        <v>7200</v>
      </c>
      <c r="I115" s="15">
        <f t="shared" si="11"/>
        <v>0</v>
      </c>
      <c r="J115" s="16"/>
      <c r="K115" s="15"/>
      <c r="L115" s="15">
        <f t="shared" si="6"/>
        <v>0</v>
      </c>
      <c r="M115" s="20"/>
      <c r="N115" s="20"/>
      <c r="O115" s="15">
        <f t="shared" si="7"/>
        <v>0</v>
      </c>
      <c r="P115" s="15">
        <f t="shared" si="8"/>
        <v>0</v>
      </c>
      <c r="Q115" s="15">
        <f t="shared" si="9"/>
        <v>0</v>
      </c>
      <c r="R115" s="17">
        <v>915</v>
      </c>
    </row>
    <row r="116" spans="1:18" ht="16.5" x14ac:dyDescent="0.25">
      <c r="A116" s="12">
        <v>916</v>
      </c>
      <c r="B116" s="13" t="s">
        <v>128</v>
      </c>
      <c r="C116" s="13" t="s">
        <v>25</v>
      </c>
      <c r="D116" s="19"/>
      <c r="E116" s="15">
        <v>6400</v>
      </c>
      <c r="F116" s="15">
        <v>400</v>
      </c>
      <c r="G116" s="15">
        <v>400</v>
      </c>
      <c r="H116" s="15">
        <f t="shared" si="10"/>
        <v>7200</v>
      </c>
      <c r="I116" s="15">
        <f t="shared" si="11"/>
        <v>0</v>
      </c>
      <c r="J116" s="20"/>
      <c r="K116" s="15"/>
      <c r="L116" s="15">
        <f t="shared" si="6"/>
        <v>0</v>
      </c>
      <c r="M116" s="20"/>
      <c r="N116" s="20"/>
      <c r="O116" s="15">
        <f t="shared" si="7"/>
        <v>0</v>
      </c>
      <c r="P116" s="15">
        <f t="shared" si="8"/>
        <v>0</v>
      </c>
      <c r="Q116" s="15">
        <f t="shared" si="9"/>
        <v>0</v>
      </c>
      <c r="R116" s="17">
        <v>916</v>
      </c>
    </row>
    <row r="117" spans="1:18" ht="16.5" x14ac:dyDescent="0.25">
      <c r="A117" s="12">
        <v>917</v>
      </c>
      <c r="B117" s="13" t="s">
        <v>129</v>
      </c>
      <c r="C117" s="13" t="s">
        <v>25</v>
      </c>
      <c r="D117" s="19"/>
      <c r="E117" s="15">
        <v>6400</v>
      </c>
      <c r="F117" s="15">
        <v>300</v>
      </c>
      <c r="G117" s="15">
        <v>400</v>
      </c>
      <c r="H117" s="15">
        <f t="shared" si="10"/>
        <v>7100</v>
      </c>
      <c r="I117" s="15">
        <f t="shared" si="11"/>
        <v>0</v>
      </c>
      <c r="J117" s="20"/>
      <c r="K117" s="15"/>
      <c r="L117" s="15">
        <f t="shared" si="6"/>
        <v>0</v>
      </c>
      <c r="M117" s="20"/>
      <c r="N117" s="20"/>
      <c r="O117" s="15">
        <f t="shared" si="7"/>
        <v>0</v>
      </c>
      <c r="P117" s="15">
        <f t="shared" si="8"/>
        <v>0</v>
      </c>
      <c r="Q117" s="15">
        <f t="shared" si="9"/>
        <v>0</v>
      </c>
      <c r="R117" s="17">
        <v>917</v>
      </c>
    </row>
    <row r="118" spans="1:18" ht="16.5" x14ac:dyDescent="0.25">
      <c r="A118" s="12">
        <v>918</v>
      </c>
      <c r="B118" s="13" t="s">
        <v>130</v>
      </c>
      <c r="C118" s="13" t="s">
        <v>23</v>
      </c>
      <c r="D118" s="19">
        <v>64</v>
      </c>
      <c r="E118" s="15">
        <v>6400</v>
      </c>
      <c r="F118" s="15">
        <v>600</v>
      </c>
      <c r="G118" s="15">
        <v>400</v>
      </c>
      <c r="H118" s="15">
        <f t="shared" si="10"/>
        <v>7400</v>
      </c>
      <c r="I118" s="15">
        <f t="shared" si="11"/>
        <v>473600</v>
      </c>
      <c r="J118" s="20"/>
      <c r="K118" s="15">
        <v>410000</v>
      </c>
      <c r="L118" s="15">
        <f t="shared" si="6"/>
        <v>1280</v>
      </c>
      <c r="M118" s="16"/>
      <c r="N118" s="16"/>
      <c r="O118" s="15">
        <f t="shared" si="7"/>
        <v>16000</v>
      </c>
      <c r="P118" s="15">
        <f t="shared" si="8"/>
        <v>427280</v>
      </c>
      <c r="Q118" s="15">
        <f t="shared" si="9"/>
        <v>46320</v>
      </c>
      <c r="R118" s="17">
        <v>918</v>
      </c>
    </row>
    <row r="119" spans="1:18" ht="16.5" x14ac:dyDescent="0.25">
      <c r="A119" s="12">
        <v>920</v>
      </c>
      <c r="B119" s="13" t="s">
        <v>131</v>
      </c>
      <c r="C119" s="13" t="s">
        <v>36</v>
      </c>
      <c r="D119" s="14">
        <v>180</v>
      </c>
      <c r="E119" s="15">
        <v>6400</v>
      </c>
      <c r="F119" s="15">
        <v>500</v>
      </c>
      <c r="G119" s="15">
        <v>400</v>
      </c>
      <c r="H119" s="15">
        <f t="shared" si="10"/>
        <v>7300</v>
      </c>
      <c r="I119" s="15">
        <f t="shared" si="11"/>
        <v>1314000</v>
      </c>
      <c r="J119" s="16"/>
      <c r="K119" s="15"/>
      <c r="L119" s="15">
        <f t="shared" si="6"/>
        <v>3600</v>
      </c>
      <c r="M119" s="16"/>
      <c r="N119" s="16"/>
      <c r="O119" s="15">
        <f t="shared" si="7"/>
        <v>45000</v>
      </c>
      <c r="P119" s="15">
        <f t="shared" si="8"/>
        <v>48600</v>
      </c>
      <c r="Q119" s="15">
        <f t="shared" si="9"/>
        <v>1265400</v>
      </c>
      <c r="R119" s="17">
        <v>920</v>
      </c>
    </row>
    <row r="120" spans="1:18" ht="16.5" x14ac:dyDescent="0.25">
      <c r="A120" s="12">
        <v>923</v>
      </c>
      <c r="B120" s="13" t="s">
        <v>132</v>
      </c>
      <c r="C120" s="13" t="s">
        <v>25</v>
      </c>
      <c r="D120" s="14">
        <v>63</v>
      </c>
      <c r="E120" s="15">
        <v>6400</v>
      </c>
      <c r="F120" s="15">
        <v>500</v>
      </c>
      <c r="G120" s="15">
        <v>400</v>
      </c>
      <c r="H120" s="15">
        <f t="shared" si="10"/>
        <v>7300</v>
      </c>
      <c r="I120" s="15">
        <f t="shared" si="11"/>
        <v>459900</v>
      </c>
      <c r="J120" s="16"/>
      <c r="K120" s="15">
        <v>410000</v>
      </c>
      <c r="L120" s="15">
        <f t="shared" si="6"/>
        <v>1260</v>
      </c>
      <c r="M120" s="16"/>
      <c r="N120" s="16"/>
      <c r="O120" s="15">
        <f t="shared" si="7"/>
        <v>15750</v>
      </c>
      <c r="P120" s="15">
        <f t="shared" si="8"/>
        <v>427010</v>
      </c>
      <c r="Q120" s="15">
        <f t="shared" si="9"/>
        <v>32890</v>
      </c>
      <c r="R120" s="17">
        <v>923</v>
      </c>
    </row>
    <row r="121" spans="1:18" ht="16.5" x14ac:dyDescent="0.25">
      <c r="A121" s="12">
        <v>924</v>
      </c>
      <c r="B121" s="13" t="s">
        <v>133</v>
      </c>
      <c r="C121" s="13" t="s">
        <v>30</v>
      </c>
      <c r="D121" s="14">
        <v>60</v>
      </c>
      <c r="E121" s="15">
        <v>6400</v>
      </c>
      <c r="F121" s="15">
        <v>500</v>
      </c>
      <c r="G121" s="15">
        <v>400</v>
      </c>
      <c r="H121" s="15">
        <f t="shared" si="10"/>
        <v>7300</v>
      </c>
      <c r="I121" s="15">
        <f t="shared" si="11"/>
        <v>438000</v>
      </c>
      <c r="J121" s="16"/>
      <c r="K121" s="15">
        <v>205000</v>
      </c>
      <c r="L121" s="15">
        <f t="shared" si="6"/>
        <v>1200</v>
      </c>
      <c r="M121" s="16"/>
      <c r="N121" s="16"/>
      <c r="O121" s="15">
        <f t="shared" si="7"/>
        <v>15000</v>
      </c>
      <c r="P121" s="15">
        <f t="shared" si="8"/>
        <v>221200</v>
      </c>
      <c r="Q121" s="15">
        <f t="shared" si="9"/>
        <v>216800</v>
      </c>
      <c r="R121" s="17">
        <v>924</v>
      </c>
    </row>
    <row r="122" spans="1:18" ht="16.5" x14ac:dyDescent="0.25">
      <c r="A122" s="12">
        <v>925</v>
      </c>
      <c r="B122" s="13" t="s">
        <v>134</v>
      </c>
      <c r="C122" s="13" t="s">
        <v>25</v>
      </c>
      <c r="D122" s="14"/>
      <c r="E122" s="15">
        <v>6400</v>
      </c>
      <c r="F122" s="15">
        <v>400</v>
      </c>
      <c r="G122" s="15">
        <v>400</v>
      </c>
      <c r="H122" s="15">
        <f t="shared" si="10"/>
        <v>7200</v>
      </c>
      <c r="I122" s="15">
        <f t="shared" si="11"/>
        <v>0</v>
      </c>
      <c r="J122" s="16"/>
      <c r="K122" s="15"/>
      <c r="L122" s="15">
        <f t="shared" si="6"/>
        <v>0</v>
      </c>
      <c r="M122" s="20"/>
      <c r="N122" s="20"/>
      <c r="O122" s="15">
        <f t="shared" si="7"/>
        <v>0</v>
      </c>
      <c r="P122" s="15">
        <f t="shared" si="8"/>
        <v>0</v>
      </c>
      <c r="Q122" s="15">
        <f t="shared" si="9"/>
        <v>0</v>
      </c>
      <c r="R122" s="17">
        <v>925</v>
      </c>
    </row>
    <row r="123" spans="1:18" ht="16.5" x14ac:dyDescent="0.25">
      <c r="A123" s="12">
        <v>927</v>
      </c>
      <c r="B123" s="13" t="s">
        <v>135</v>
      </c>
      <c r="C123" s="13" t="s">
        <v>25</v>
      </c>
      <c r="D123" s="19">
        <v>73</v>
      </c>
      <c r="E123" s="15">
        <v>6400</v>
      </c>
      <c r="F123" s="15">
        <v>400</v>
      </c>
      <c r="G123" s="15">
        <v>400</v>
      </c>
      <c r="H123" s="15">
        <f t="shared" si="10"/>
        <v>7200</v>
      </c>
      <c r="I123" s="15">
        <f t="shared" si="11"/>
        <v>525600</v>
      </c>
      <c r="J123" s="20"/>
      <c r="K123" s="15">
        <v>205000</v>
      </c>
      <c r="L123" s="15">
        <f t="shared" si="6"/>
        <v>1460</v>
      </c>
      <c r="M123" s="20"/>
      <c r="N123" s="20"/>
      <c r="O123" s="15">
        <f t="shared" si="7"/>
        <v>18250</v>
      </c>
      <c r="P123" s="15">
        <f t="shared" si="8"/>
        <v>224710</v>
      </c>
      <c r="Q123" s="15">
        <f t="shared" si="9"/>
        <v>300890</v>
      </c>
      <c r="R123" s="17">
        <v>927</v>
      </c>
    </row>
    <row r="124" spans="1:18" ht="16.5" x14ac:dyDescent="0.25">
      <c r="A124" s="12">
        <v>930</v>
      </c>
      <c r="B124" s="13" t="s">
        <v>136</v>
      </c>
      <c r="C124" s="13" t="s">
        <v>21</v>
      </c>
      <c r="D124" s="19"/>
      <c r="E124" s="15">
        <v>6400</v>
      </c>
      <c r="F124" s="15">
        <v>300</v>
      </c>
      <c r="G124" s="15">
        <v>400</v>
      </c>
      <c r="H124" s="15">
        <f t="shared" si="10"/>
        <v>7100</v>
      </c>
      <c r="I124" s="15">
        <f t="shared" si="11"/>
        <v>0</v>
      </c>
      <c r="J124" s="20"/>
      <c r="K124" s="15"/>
      <c r="L124" s="15">
        <f t="shared" si="6"/>
        <v>0</v>
      </c>
      <c r="M124" s="16"/>
      <c r="N124" s="16"/>
      <c r="O124" s="15">
        <f t="shared" si="7"/>
        <v>0</v>
      </c>
      <c r="P124" s="15">
        <f t="shared" si="8"/>
        <v>0</v>
      </c>
      <c r="Q124" s="15">
        <f t="shared" si="9"/>
        <v>0</v>
      </c>
      <c r="R124" s="17">
        <v>930</v>
      </c>
    </row>
    <row r="125" spans="1:18" ht="16.5" x14ac:dyDescent="0.25">
      <c r="A125" s="12">
        <v>931</v>
      </c>
      <c r="B125" s="13" t="s">
        <v>137</v>
      </c>
      <c r="C125" s="13" t="s">
        <v>138</v>
      </c>
      <c r="D125" s="14"/>
      <c r="E125" s="15">
        <v>6400</v>
      </c>
      <c r="F125" s="15">
        <v>400</v>
      </c>
      <c r="G125" s="15">
        <v>400</v>
      </c>
      <c r="H125" s="15">
        <f t="shared" si="10"/>
        <v>7200</v>
      </c>
      <c r="I125" s="15">
        <f t="shared" si="11"/>
        <v>0</v>
      </c>
      <c r="J125" s="16"/>
      <c r="K125" s="15"/>
      <c r="L125" s="15">
        <f t="shared" si="6"/>
        <v>0</v>
      </c>
      <c r="M125" s="16"/>
      <c r="N125" s="16"/>
      <c r="O125" s="15">
        <f t="shared" si="7"/>
        <v>0</v>
      </c>
      <c r="P125" s="15">
        <f t="shared" si="8"/>
        <v>0</v>
      </c>
      <c r="Q125" s="15">
        <f t="shared" si="9"/>
        <v>0</v>
      </c>
      <c r="R125" s="17">
        <v>931</v>
      </c>
    </row>
    <row r="126" spans="1:18" ht="16.5" x14ac:dyDescent="0.25">
      <c r="A126" s="12">
        <v>933</v>
      </c>
      <c r="B126" s="13" t="s">
        <v>264</v>
      </c>
      <c r="C126" s="13" t="s">
        <v>420</v>
      </c>
      <c r="D126" s="14">
        <v>107</v>
      </c>
      <c r="E126" s="15">
        <v>6400</v>
      </c>
      <c r="F126" s="15">
        <v>500</v>
      </c>
      <c r="G126" s="15">
        <v>400</v>
      </c>
      <c r="H126" s="15">
        <f t="shared" si="10"/>
        <v>7300</v>
      </c>
      <c r="I126" s="15">
        <f t="shared" si="11"/>
        <v>781100</v>
      </c>
      <c r="J126" s="16"/>
      <c r="K126" s="15">
        <v>410000</v>
      </c>
      <c r="L126" s="15">
        <f t="shared" si="6"/>
        <v>2140</v>
      </c>
      <c r="M126" s="20"/>
      <c r="N126" s="20"/>
      <c r="O126" s="15">
        <f t="shared" si="7"/>
        <v>26750</v>
      </c>
      <c r="P126" s="15">
        <f t="shared" si="8"/>
        <v>438890</v>
      </c>
      <c r="Q126" s="15">
        <f t="shared" si="9"/>
        <v>342210</v>
      </c>
      <c r="R126" s="17">
        <v>933</v>
      </c>
    </row>
    <row r="127" spans="1:18" ht="16.5" x14ac:dyDescent="0.25">
      <c r="A127" s="12">
        <v>936</v>
      </c>
      <c r="B127" s="13" t="s">
        <v>69</v>
      </c>
      <c r="C127" s="13" t="s">
        <v>36</v>
      </c>
      <c r="D127" s="19">
        <v>199</v>
      </c>
      <c r="E127" s="15">
        <v>6400</v>
      </c>
      <c r="F127" s="15">
        <v>500</v>
      </c>
      <c r="G127" s="15">
        <v>400</v>
      </c>
      <c r="H127" s="15">
        <f t="shared" si="10"/>
        <v>7300</v>
      </c>
      <c r="I127" s="15">
        <f t="shared" si="11"/>
        <v>1452700</v>
      </c>
      <c r="J127" s="20"/>
      <c r="K127" s="15"/>
      <c r="L127" s="15">
        <f t="shared" si="6"/>
        <v>3980</v>
      </c>
      <c r="M127" s="16"/>
      <c r="N127" s="16"/>
      <c r="O127" s="15">
        <f t="shared" si="7"/>
        <v>49750</v>
      </c>
      <c r="P127" s="15">
        <f t="shared" si="8"/>
        <v>53730</v>
      </c>
      <c r="Q127" s="15">
        <f t="shared" si="9"/>
        <v>1398970</v>
      </c>
      <c r="R127" s="17">
        <v>936</v>
      </c>
    </row>
    <row r="128" spans="1:18" ht="16.5" x14ac:dyDescent="0.25">
      <c r="A128" s="12">
        <v>938</v>
      </c>
      <c r="B128" s="13" t="s">
        <v>139</v>
      </c>
      <c r="C128" s="13" t="s">
        <v>36</v>
      </c>
      <c r="D128" s="14">
        <v>138</v>
      </c>
      <c r="E128" s="15">
        <v>6400</v>
      </c>
      <c r="F128" s="15">
        <v>600</v>
      </c>
      <c r="G128" s="15">
        <v>400</v>
      </c>
      <c r="H128" s="15">
        <f t="shared" si="10"/>
        <v>7400</v>
      </c>
      <c r="I128" s="15">
        <f t="shared" si="11"/>
        <v>1021200</v>
      </c>
      <c r="J128" s="16"/>
      <c r="K128" s="15"/>
      <c r="L128" s="15">
        <f t="shared" si="6"/>
        <v>2760</v>
      </c>
      <c r="M128" s="16"/>
      <c r="N128" s="16"/>
      <c r="O128" s="15">
        <f t="shared" si="7"/>
        <v>34500</v>
      </c>
      <c r="P128" s="15">
        <f t="shared" si="8"/>
        <v>37260</v>
      </c>
      <c r="Q128" s="15">
        <f t="shared" si="9"/>
        <v>983940</v>
      </c>
      <c r="R128" s="17">
        <v>938</v>
      </c>
    </row>
    <row r="129" spans="1:18" ht="16.5" x14ac:dyDescent="0.25">
      <c r="A129" s="12">
        <v>939</v>
      </c>
      <c r="B129" s="13" t="s">
        <v>140</v>
      </c>
      <c r="C129" s="13" t="s">
        <v>25</v>
      </c>
      <c r="D129" s="14">
        <v>104</v>
      </c>
      <c r="E129" s="15">
        <v>6400</v>
      </c>
      <c r="F129" s="15">
        <v>400</v>
      </c>
      <c r="G129" s="15">
        <v>400</v>
      </c>
      <c r="H129" s="15">
        <f t="shared" si="10"/>
        <v>7200</v>
      </c>
      <c r="I129" s="15">
        <f t="shared" si="11"/>
        <v>748800</v>
      </c>
      <c r="J129" s="16"/>
      <c r="K129" s="23">
        <v>410000</v>
      </c>
      <c r="L129" s="15">
        <f t="shared" si="6"/>
        <v>2080</v>
      </c>
      <c r="M129" s="16"/>
      <c r="N129" s="16"/>
      <c r="O129" s="15">
        <f t="shared" si="7"/>
        <v>26000</v>
      </c>
      <c r="P129" s="15">
        <f t="shared" si="8"/>
        <v>438080</v>
      </c>
      <c r="Q129" s="15">
        <f t="shared" si="9"/>
        <v>310720</v>
      </c>
      <c r="R129" s="17">
        <v>939</v>
      </c>
    </row>
    <row r="130" spans="1:18" ht="16.5" x14ac:dyDescent="0.25">
      <c r="A130" s="12">
        <v>946</v>
      </c>
      <c r="B130" s="13" t="s">
        <v>141</v>
      </c>
      <c r="C130" s="13" t="s">
        <v>23</v>
      </c>
      <c r="D130" s="14">
        <v>491</v>
      </c>
      <c r="E130" s="15">
        <v>6400</v>
      </c>
      <c r="F130" s="15">
        <v>500</v>
      </c>
      <c r="G130" s="15">
        <v>400</v>
      </c>
      <c r="H130" s="15">
        <f t="shared" si="10"/>
        <v>7300</v>
      </c>
      <c r="I130" s="15">
        <f t="shared" si="11"/>
        <v>3584300</v>
      </c>
      <c r="J130" s="16"/>
      <c r="K130" s="15">
        <v>410000</v>
      </c>
      <c r="L130" s="15">
        <f t="shared" si="6"/>
        <v>9820</v>
      </c>
      <c r="M130" s="20"/>
      <c r="N130" s="20"/>
      <c r="O130" s="15">
        <f t="shared" si="7"/>
        <v>122750</v>
      </c>
      <c r="P130" s="15">
        <f t="shared" si="8"/>
        <v>542570</v>
      </c>
      <c r="Q130" s="15">
        <f t="shared" si="9"/>
        <v>3041730</v>
      </c>
      <c r="R130" s="17">
        <v>946</v>
      </c>
    </row>
    <row r="131" spans="1:18" ht="16.5" x14ac:dyDescent="0.25">
      <c r="A131" s="12">
        <v>948</v>
      </c>
      <c r="B131" s="13" t="s">
        <v>142</v>
      </c>
      <c r="C131" s="13" t="s">
        <v>25</v>
      </c>
      <c r="D131" s="19"/>
      <c r="E131" s="15">
        <v>6400</v>
      </c>
      <c r="F131" s="15">
        <v>300</v>
      </c>
      <c r="G131" s="15">
        <v>400</v>
      </c>
      <c r="H131" s="15">
        <f t="shared" si="10"/>
        <v>7100</v>
      </c>
      <c r="I131" s="15">
        <f t="shared" si="11"/>
        <v>0</v>
      </c>
      <c r="J131" s="20"/>
      <c r="K131" s="15"/>
      <c r="L131" s="15">
        <f t="shared" si="6"/>
        <v>0</v>
      </c>
      <c r="M131" s="16"/>
      <c r="N131" s="16"/>
      <c r="O131" s="15">
        <f t="shared" si="7"/>
        <v>0</v>
      </c>
      <c r="P131" s="15">
        <f t="shared" si="8"/>
        <v>0</v>
      </c>
      <c r="Q131" s="15">
        <f t="shared" si="9"/>
        <v>0</v>
      </c>
      <c r="R131" s="17">
        <v>948</v>
      </c>
    </row>
    <row r="132" spans="1:18" ht="16.5" x14ac:dyDescent="0.25">
      <c r="A132" s="12">
        <v>951</v>
      </c>
      <c r="B132" s="13" t="s">
        <v>143</v>
      </c>
      <c r="C132" s="13" t="s">
        <v>25</v>
      </c>
      <c r="D132" s="14"/>
      <c r="E132" s="15">
        <v>6400</v>
      </c>
      <c r="F132" s="15">
        <v>300</v>
      </c>
      <c r="G132" s="15">
        <v>400</v>
      </c>
      <c r="H132" s="15">
        <f t="shared" si="10"/>
        <v>7100</v>
      </c>
      <c r="I132" s="15">
        <f t="shared" si="11"/>
        <v>0</v>
      </c>
      <c r="J132" s="16"/>
      <c r="K132" s="15"/>
      <c r="L132" s="15">
        <f t="shared" si="6"/>
        <v>0</v>
      </c>
      <c r="M132" s="16"/>
      <c r="N132" s="16"/>
      <c r="O132" s="15">
        <f t="shared" si="7"/>
        <v>0</v>
      </c>
      <c r="P132" s="15">
        <f t="shared" si="8"/>
        <v>0</v>
      </c>
      <c r="Q132" s="15">
        <f t="shared" si="9"/>
        <v>0</v>
      </c>
      <c r="R132" s="17">
        <v>951</v>
      </c>
    </row>
    <row r="133" spans="1:18" ht="16.5" x14ac:dyDescent="0.25">
      <c r="A133" s="12">
        <v>952</v>
      </c>
      <c r="B133" s="13" t="s">
        <v>144</v>
      </c>
      <c r="C133" s="13" t="s">
        <v>43</v>
      </c>
      <c r="D133" s="14"/>
      <c r="E133" s="15">
        <v>6400</v>
      </c>
      <c r="F133" s="15">
        <v>400</v>
      </c>
      <c r="G133" s="15">
        <v>400</v>
      </c>
      <c r="H133" s="15">
        <f t="shared" si="10"/>
        <v>7200</v>
      </c>
      <c r="I133" s="15">
        <f t="shared" si="11"/>
        <v>0</v>
      </c>
      <c r="J133" s="16"/>
      <c r="K133" s="15"/>
      <c r="L133" s="15">
        <f t="shared" ref="L133:L196" si="12">D133*20</f>
        <v>0</v>
      </c>
      <c r="M133" s="20"/>
      <c r="N133" s="20"/>
      <c r="O133" s="15">
        <f t="shared" ref="O133:O196" si="13">250*D133</f>
        <v>0</v>
      </c>
      <c r="P133" s="15">
        <f t="shared" ref="P133:P196" si="14">SUM(J133:O133)</f>
        <v>0</v>
      </c>
      <c r="Q133" s="15">
        <f t="shared" ref="Q133:Q196" si="15">I133-P133</f>
        <v>0</v>
      </c>
      <c r="R133" s="17">
        <v>952</v>
      </c>
    </row>
    <row r="134" spans="1:18" ht="16.5" x14ac:dyDescent="0.25">
      <c r="A134" s="12">
        <v>953</v>
      </c>
      <c r="B134" s="13" t="s">
        <v>145</v>
      </c>
      <c r="C134" s="13" t="s">
        <v>25</v>
      </c>
      <c r="D134" s="19">
        <v>41</v>
      </c>
      <c r="E134" s="15">
        <v>6400</v>
      </c>
      <c r="F134" s="15">
        <v>400</v>
      </c>
      <c r="G134" s="15">
        <v>400</v>
      </c>
      <c r="H134" s="15">
        <f t="shared" ref="H134:H197" si="16">SUM(E134:G134)</f>
        <v>7200</v>
      </c>
      <c r="I134" s="15">
        <f t="shared" ref="I134:I197" si="17">H134*D134</f>
        <v>295200</v>
      </c>
      <c r="J134" s="20"/>
      <c r="K134" s="15">
        <v>205000</v>
      </c>
      <c r="L134" s="15">
        <f t="shared" si="12"/>
        <v>820</v>
      </c>
      <c r="M134" s="20"/>
      <c r="N134" s="20"/>
      <c r="O134" s="15">
        <f t="shared" si="13"/>
        <v>10250</v>
      </c>
      <c r="P134" s="15">
        <f t="shared" si="14"/>
        <v>216070</v>
      </c>
      <c r="Q134" s="15">
        <f t="shared" si="15"/>
        <v>79130</v>
      </c>
      <c r="R134" s="17">
        <v>953</v>
      </c>
    </row>
    <row r="135" spans="1:18" ht="16.5" x14ac:dyDescent="0.25">
      <c r="A135" s="12">
        <v>957</v>
      </c>
      <c r="B135" s="13" t="s">
        <v>146</v>
      </c>
      <c r="C135" s="13" t="s">
        <v>43</v>
      </c>
      <c r="D135" s="19"/>
      <c r="E135" s="15">
        <v>6400</v>
      </c>
      <c r="F135" s="15">
        <v>400</v>
      </c>
      <c r="G135" s="15">
        <v>400</v>
      </c>
      <c r="H135" s="15">
        <f t="shared" si="16"/>
        <v>7200</v>
      </c>
      <c r="I135" s="15">
        <f t="shared" si="17"/>
        <v>0</v>
      </c>
      <c r="J135" s="20"/>
      <c r="K135" s="15"/>
      <c r="L135" s="15">
        <f t="shared" si="12"/>
        <v>0</v>
      </c>
      <c r="M135" s="20"/>
      <c r="N135" s="20"/>
      <c r="O135" s="15">
        <f t="shared" si="13"/>
        <v>0</v>
      </c>
      <c r="P135" s="15">
        <f t="shared" si="14"/>
        <v>0</v>
      </c>
      <c r="Q135" s="15">
        <f t="shared" si="15"/>
        <v>0</v>
      </c>
      <c r="R135" s="17">
        <v>957</v>
      </c>
    </row>
    <row r="136" spans="1:18" ht="16.5" x14ac:dyDescent="0.25">
      <c r="A136" s="12">
        <v>959</v>
      </c>
      <c r="B136" s="13" t="s">
        <v>147</v>
      </c>
      <c r="C136" s="13" t="s">
        <v>43</v>
      </c>
      <c r="D136" s="19"/>
      <c r="E136" s="15">
        <v>6400</v>
      </c>
      <c r="F136" s="15">
        <v>300</v>
      </c>
      <c r="G136" s="15">
        <v>400</v>
      </c>
      <c r="H136" s="15">
        <f t="shared" si="16"/>
        <v>7100</v>
      </c>
      <c r="I136" s="15">
        <f t="shared" si="17"/>
        <v>0</v>
      </c>
      <c r="J136" s="20"/>
      <c r="K136" s="15"/>
      <c r="L136" s="15">
        <f t="shared" si="12"/>
        <v>0</v>
      </c>
      <c r="M136" s="20"/>
      <c r="N136" s="20"/>
      <c r="O136" s="15">
        <f t="shared" si="13"/>
        <v>0</v>
      </c>
      <c r="P136" s="15">
        <f t="shared" si="14"/>
        <v>0</v>
      </c>
      <c r="Q136" s="15">
        <f t="shared" si="15"/>
        <v>0</v>
      </c>
      <c r="R136" s="17">
        <v>959</v>
      </c>
    </row>
    <row r="137" spans="1:18" ht="16.5" x14ac:dyDescent="0.25">
      <c r="A137" s="12">
        <v>962</v>
      </c>
      <c r="B137" s="13" t="s">
        <v>148</v>
      </c>
      <c r="C137" s="13" t="s">
        <v>21</v>
      </c>
      <c r="D137" s="19"/>
      <c r="E137" s="15">
        <v>6400</v>
      </c>
      <c r="F137" s="15">
        <v>300</v>
      </c>
      <c r="G137" s="15">
        <v>400</v>
      </c>
      <c r="H137" s="15">
        <f t="shared" si="16"/>
        <v>7100</v>
      </c>
      <c r="I137" s="15">
        <f t="shared" si="17"/>
        <v>0</v>
      </c>
      <c r="J137" s="20"/>
      <c r="K137" s="15"/>
      <c r="L137" s="15">
        <f t="shared" si="12"/>
        <v>0</v>
      </c>
      <c r="M137" s="16"/>
      <c r="N137" s="16"/>
      <c r="O137" s="15">
        <f t="shared" si="13"/>
        <v>0</v>
      </c>
      <c r="P137" s="15">
        <f t="shared" si="14"/>
        <v>0</v>
      </c>
      <c r="Q137" s="15">
        <f t="shared" si="15"/>
        <v>0</v>
      </c>
      <c r="R137" s="17">
        <v>962</v>
      </c>
    </row>
    <row r="138" spans="1:18" ht="16.5" x14ac:dyDescent="0.25">
      <c r="A138" s="12">
        <v>963</v>
      </c>
      <c r="B138" s="13" t="s">
        <v>149</v>
      </c>
      <c r="C138" s="13" t="s">
        <v>25</v>
      </c>
      <c r="D138" s="14"/>
      <c r="E138" s="15">
        <v>6400</v>
      </c>
      <c r="F138" s="15">
        <v>300</v>
      </c>
      <c r="G138" s="15">
        <v>400</v>
      </c>
      <c r="H138" s="15">
        <f t="shared" si="16"/>
        <v>7100</v>
      </c>
      <c r="I138" s="15">
        <f t="shared" si="17"/>
        <v>0</v>
      </c>
      <c r="J138" s="16"/>
      <c r="K138" s="15"/>
      <c r="L138" s="15">
        <f t="shared" si="12"/>
        <v>0</v>
      </c>
      <c r="M138" s="16"/>
      <c r="N138" s="16"/>
      <c r="O138" s="15">
        <f t="shared" si="13"/>
        <v>0</v>
      </c>
      <c r="P138" s="15">
        <f t="shared" si="14"/>
        <v>0</v>
      </c>
      <c r="Q138" s="15">
        <f t="shared" si="15"/>
        <v>0</v>
      </c>
      <c r="R138" s="17">
        <v>963</v>
      </c>
    </row>
    <row r="139" spans="1:18" ht="16.5" x14ac:dyDescent="0.25">
      <c r="A139" s="12">
        <v>964</v>
      </c>
      <c r="B139" s="13" t="s">
        <v>150</v>
      </c>
      <c r="C139" s="13" t="s">
        <v>47</v>
      </c>
      <c r="D139" s="14">
        <v>60</v>
      </c>
      <c r="E139" s="15">
        <v>6400</v>
      </c>
      <c r="F139" s="15">
        <v>400</v>
      </c>
      <c r="G139" s="15">
        <v>400</v>
      </c>
      <c r="H139" s="15">
        <f t="shared" si="16"/>
        <v>7200</v>
      </c>
      <c r="I139" s="15">
        <f t="shared" si="17"/>
        <v>432000</v>
      </c>
      <c r="J139" s="16"/>
      <c r="K139" s="15">
        <v>410000</v>
      </c>
      <c r="L139" s="15">
        <f t="shared" si="12"/>
        <v>1200</v>
      </c>
      <c r="M139" s="16"/>
      <c r="N139" s="16"/>
      <c r="O139" s="15">
        <f t="shared" si="13"/>
        <v>15000</v>
      </c>
      <c r="P139" s="15">
        <f t="shared" si="14"/>
        <v>426200</v>
      </c>
      <c r="Q139" s="15">
        <f t="shared" si="15"/>
        <v>5800</v>
      </c>
      <c r="R139" s="17">
        <v>964</v>
      </c>
    </row>
    <row r="140" spans="1:18" ht="16.5" x14ac:dyDescent="0.25">
      <c r="A140" s="12">
        <v>965</v>
      </c>
      <c r="B140" s="13" t="s">
        <v>151</v>
      </c>
      <c r="C140" s="13" t="s">
        <v>19</v>
      </c>
      <c r="D140" s="14"/>
      <c r="E140" s="15">
        <v>6400</v>
      </c>
      <c r="F140" s="15">
        <v>400</v>
      </c>
      <c r="G140" s="15">
        <v>400</v>
      </c>
      <c r="H140" s="15">
        <f t="shared" si="16"/>
        <v>7200</v>
      </c>
      <c r="I140" s="15">
        <f t="shared" si="17"/>
        <v>0</v>
      </c>
      <c r="J140" s="16"/>
      <c r="K140" s="15"/>
      <c r="L140" s="15">
        <f t="shared" si="12"/>
        <v>0</v>
      </c>
      <c r="M140" s="20"/>
      <c r="N140" s="20"/>
      <c r="O140" s="15">
        <f t="shared" si="13"/>
        <v>0</v>
      </c>
      <c r="P140" s="15">
        <f t="shared" si="14"/>
        <v>0</v>
      </c>
      <c r="Q140" s="15">
        <f t="shared" si="15"/>
        <v>0</v>
      </c>
      <c r="R140" s="17">
        <v>965</v>
      </c>
    </row>
    <row r="141" spans="1:18" ht="16.5" x14ac:dyDescent="0.25">
      <c r="A141" s="12">
        <v>967</v>
      </c>
      <c r="B141" s="13" t="s">
        <v>152</v>
      </c>
      <c r="C141" s="13" t="s">
        <v>30</v>
      </c>
      <c r="D141" s="19"/>
      <c r="E141" s="15">
        <v>6400</v>
      </c>
      <c r="F141" s="15">
        <v>300</v>
      </c>
      <c r="G141" s="15">
        <v>400</v>
      </c>
      <c r="H141" s="15">
        <f t="shared" si="16"/>
        <v>7100</v>
      </c>
      <c r="I141" s="15">
        <f t="shared" si="17"/>
        <v>0</v>
      </c>
      <c r="J141" s="20"/>
      <c r="K141" s="15"/>
      <c r="L141" s="15">
        <f t="shared" si="12"/>
        <v>0</v>
      </c>
      <c r="M141" s="16"/>
      <c r="N141" s="16"/>
      <c r="O141" s="15">
        <f t="shared" si="13"/>
        <v>0</v>
      </c>
      <c r="P141" s="15">
        <f t="shared" si="14"/>
        <v>0</v>
      </c>
      <c r="Q141" s="15">
        <f t="shared" si="15"/>
        <v>0</v>
      </c>
      <c r="R141" s="17">
        <v>967</v>
      </c>
    </row>
    <row r="142" spans="1:18" ht="16.5" x14ac:dyDescent="0.25">
      <c r="A142" s="12">
        <v>969</v>
      </c>
      <c r="B142" s="13" t="s">
        <v>153</v>
      </c>
      <c r="C142" s="13" t="s">
        <v>25</v>
      </c>
      <c r="D142" s="14"/>
      <c r="E142" s="15">
        <v>6400</v>
      </c>
      <c r="F142" s="15">
        <v>300</v>
      </c>
      <c r="G142" s="15">
        <v>400</v>
      </c>
      <c r="H142" s="15">
        <f t="shared" si="16"/>
        <v>7100</v>
      </c>
      <c r="I142" s="15">
        <f t="shared" si="17"/>
        <v>0</v>
      </c>
      <c r="J142" s="16"/>
      <c r="K142" s="15"/>
      <c r="L142" s="15">
        <f t="shared" si="12"/>
        <v>0</v>
      </c>
      <c r="M142" s="20"/>
      <c r="N142" s="20"/>
      <c r="O142" s="15">
        <f t="shared" si="13"/>
        <v>0</v>
      </c>
      <c r="P142" s="15">
        <f t="shared" si="14"/>
        <v>0</v>
      </c>
      <c r="Q142" s="15">
        <f t="shared" si="15"/>
        <v>0</v>
      </c>
      <c r="R142" s="17">
        <v>969</v>
      </c>
    </row>
    <row r="143" spans="1:18" ht="16.5" x14ac:dyDescent="0.25">
      <c r="A143" s="12">
        <v>976</v>
      </c>
      <c r="B143" s="13" t="s">
        <v>154</v>
      </c>
      <c r="C143" s="13" t="s">
        <v>54</v>
      </c>
      <c r="D143" s="19"/>
      <c r="E143" s="15">
        <v>6400</v>
      </c>
      <c r="F143" s="15">
        <v>300</v>
      </c>
      <c r="G143" s="15">
        <v>400</v>
      </c>
      <c r="H143" s="15">
        <f t="shared" si="16"/>
        <v>7100</v>
      </c>
      <c r="I143" s="15">
        <f t="shared" si="17"/>
        <v>0</v>
      </c>
      <c r="J143" s="20"/>
      <c r="K143" s="15"/>
      <c r="L143" s="15">
        <f t="shared" si="12"/>
        <v>0</v>
      </c>
      <c r="M143" s="16"/>
      <c r="N143" s="16"/>
      <c r="O143" s="15">
        <f t="shared" si="13"/>
        <v>0</v>
      </c>
      <c r="P143" s="15">
        <f t="shared" si="14"/>
        <v>0</v>
      </c>
      <c r="Q143" s="15">
        <f t="shared" si="15"/>
        <v>0</v>
      </c>
      <c r="R143" s="17">
        <v>976</v>
      </c>
    </row>
    <row r="144" spans="1:18" ht="16.5" x14ac:dyDescent="0.25">
      <c r="A144" s="12">
        <v>980</v>
      </c>
      <c r="B144" s="13" t="s">
        <v>155</v>
      </c>
      <c r="C144" s="13" t="s">
        <v>25</v>
      </c>
      <c r="D144" s="16"/>
      <c r="E144" s="15">
        <v>6400</v>
      </c>
      <c r="F144" s="15">
        <v>500</v>
      </c>
      <c r="G144" s="15">
        <v>400</v>
      </c>
      <c r="H144" s="15">
        <f t="shared" si="16"/>
        <v>7300</v>
      </c>
      <c r="I144" s="15">
        <f t="shared" si="17"/>
        <v>0</v>
      </c>
      <c r="J144" s="16"/>
      <c r="K144" s="15"/>
      <c r="L144" s="15">
        <f t="shared" si="12"/>
        <v>0</v>
      </c>
      <c r="M144" s="16"/>
      <c r="N144" s="16"/>
      <c r="O144" s="15">
        <f t="shared" si="13"/>
        <v>0</v>
      </c>
      <c r="P144" s="15">
        <f t="shared" si="14"/>
        <v>0</v>
      </c>
      <c r="Q144" s="15">
        <f t="shared" si="15"/>
        <v>0</v>
      </c>
      <c r="R144" s="17">
        <v>980</v>
      </c>
    </row>
    <row r="145" spans="1:18" ht="16.5" x14ac:dyDescent="0.25">
      <c r="A145" s="12">
        <v>983</v>
      </c>
      <c r="B145" s="13" t="s">
        <v>156</v>
      </c>
      <c r="C145" s="13" t="s">
        <v>138</v>
      </c>
      <c r="D145" s="14">
        <v>126</v>
      </c>
      <c r="E145" s="15">
        <v>6400</v>
      </c>
      <c r="F145" s="15">
        <v>500</v>
      </c>
      <c r="G145" s="15">
        <v>400</v>
      </c>
      <c r="H145" s="15">
        <f t="shared" si="16"/>
        <v>7300</v>
      </c>
      <c r="I145" s="15">
        <f t="shared" si="17"/>
        <v>919800</v>
      </c>
      <c r="J145" s="16"/>
      <c r="K145" s="15"/>
      <c r="L145" s="15">
        <f t="shared" si="12"/>
        <v>2520</v>
      </c>
      <c r="M145" s="16"/>
      <c r="N145" s="16"/>
      <c r="O145" s="15">
        <f t="shared" si="13"/>
        <v>31500</v>
      </c>
      <c r="P145" s="15">
        <f t="shared" si="14"/>
        <v>34020</v>
      </c>
      <c r="Q145" s="15">
        <f t="shared" si="15"/>
        <v>885780</v>
      </c>
      <c r="R145" s="17">
        <v>983</v>
      </c>
    </row>
    <row r="146" spans="1:18" ht="16.5" x14ac:dyDescent="0.25">
      <c r="A146" s="12">
        <v>984</v>
      </c>
      <c r="B146" s="13" t="s">
        <v>157</v>
      </c>
      <c r="C146" s="13" t="s">
        <v>30</v>
      </c>
      <c r="D146" s="14">
        <v>63</v>
      </c>
      <c r="E146" s="15">
        <v>6400</v>
      </c>
      <c r="F146" s="15">
        <v>400</v>
      </c>
      <c r="G146" s="15">
        <v>400</v>
      </c>
      <c r="H146" s="15">
        <f t="shared" si="16"/>
        <v>7200</v>
      </c>
      <c r="I146" s="15">
        <f t="shared" si="17"/>
        <v>453600</v>
      </c>
      <c r="J146" s="16"/>
      <c r="K146" s="15">
        <v>205000</v>
      </c>
      <c r="L146" s="15">
        <f t="shared" si="12"/>
        <v>1260</v>
      </c>
      <c r="M146" s="16"/>
      <c r="N146" s="16"/>
      <c r="O146" s="15">
        <f t="shared" si="13"/>
        <v>15750</v>
      </c>
      <c r="P146" s="15">
        <f t="shared" si="14"/>
        <v>222010</v>
      </c>
      <c r="Q146" s="15">
        <f t="shared" si="15"/>
        <v>231590</v>
      </c>
      <c r="R146" s="17">
        <v>984</v>
      </c>
    </row>
    <row r="147" spans="1:18" ht="16.5" x14ac:dyDescent="0.25">
      <c r="A147" s="12">
        <v>986</v>
      </c>
      <c r="B147" s="13" t="s">
        <v>158</v>
      </c>
      <c r="C147" s="13" t="s">
        <v>25</v>
      </c>
      <c r="D147" s="14"/>
      <c r="E147" s="15">
        <v>6400</v>
      </c>
      <c r="F147" s="15">
        <v>300</v>
      </c>
      <c r="G147" s="15">
        <v>400</v>
      </c>
      <c r="H147" s="15">
        <f t="shared" si="16"/>
        <v>7100</v>
      </c>
      <c r="I147" s="15">
        <f t="shared" si="17"/>
        <v>0</v>
      </c>
      <c r="J147" s="16"/>
      <c r="K147" s="15"/>
      <c r="L147" s="15">
        <f t="shared" si="12"/>
        <v>0</v>
      </c>
      <c r="M147" s="20"/>
      <c r="N147" s="20"/>
      <c r="O147" s="15">
        <f t="shared" si="13"/>
        <v>0</v>
      </c>
      <c r="P147" s="15">
        <f t="shared" si="14"/>
        <v>0</v>
      </c>
      <c r="Q147" s="15">
        <f t="shared" si="15"/>
        <v>0</v>
      </c>
      <c r="R147" s="17">
        <v>986</v>
      </c>
    </row>
    <row r="148" spans="1:18" ht="16.5" x14ac:dyDescent="0.25">
      <c r="A148" s="12">
        <v>993</v>
      </c>
      <c r="B148" s="13" t="s">
        <v>99</v>
      </c>
      <c r="C148" s="13" t="s">
        <v>47</v>
      </c>
      <c r="D148" s="19"/>
      <c r="E148" s="15">
        <v>6400</v>
      </c>
      <c r="F148" s="15">
        <v>300</v>
      </c>
      <c r="G148" s="15">
        <v>400</v>
      </c>
      <c r="H148" s="15">
        <f t="shared" si="16"/>
        <v>7100</v>
      </c>
      <c r="I148" s="15">
        <f t="shared" si="17"/>
        <v>0</v>
      </c>
      <c r="J148" s="20"/>
      <c r="K148" s="15"/>
      <c r="L148" s="15">
        <f t="shared" si="12"/>
        <v>0</v>
      </c>
      <c r="M148" s="16"/>
      <c r="N148" s="16"/>
      <c r="O148" s="15">
        <f t="shared" si="13"/>
        <v>0</v>
      </c>
      <c r="P148" s="15">
        <f t="shared" si="14"/>
        <v>0</v>
      </c>
      <c r="Q148" s="15">
        <f t="shared" si="15"/>
        <v>0</v>
      </c>
      <c r="R148" s="17">
        <v>993</v>
      </c>
    </row>
    <row r="149" spans="1:18" ht="16.5" x14ac:dyDescent="0.25">
      <c r="A149" s="12">
        <v>1003</v>
      </c>
      <c r="B149" s="13" t="s">
        <v>127</v>
      </c>
      <c r="C149" s="13" t="s">
        <v>30</v>
      </c>
      <c r="D149" s="14">
        <v>219</v>
      </c>
      <c r="E149" s="15">
        <v>6400</v>
      </c>
      <c r="F149" s="15">
        <v>600</v>
      </c>
      <c r="G149" s="15">
        <v>400</v>
      </c>
      <c r="H149" s="15">
        <f t="shared" si="16"/>
        <v>7400</v>
      </c>
      <c r="I149" s="15">
        <f t="shared" si="17"/>
        <v>1620600</v>
      </c>
      <c r="J149" s="16"/>
      <c r="K149" s="15">
        <v>410000</v>
      </c>
      <c r="L149" s="15">
        <f t="shared" si="12"/>
        <v>4380</v>
      </c>
      <c r="M149" s="16"/>
      <c r="N149" s="16"/>
      <c r="O149" s="15">
        <f t="shared" si="13"/>
        <v>54750</v>
      </c>
      <c r="P149" s="15">
        <f t="shared" si="14"/>
        <v>469130</v>
      </c>
      <c r="Q149" s="15">
        <f t="shared" si="15"/>
        <v>1151470</v>
      </c>
      <c r="R149" s="17">
        <v>1003</v>
      </c>
    </row>
    <row r="150" spans="1:18" ht="16.5" x14ac:dyDescent="0.25">
      <c r="A150" s="12">
        <v>1005</v>
      </c>
      <c r="B150" s="13" t="s">
        <v>159</v>
      </c>
      <c r="C150" s="13" t="s">
        <v>43</v>
      </c>
      <c r="D150" s="14"/>
      <c r="E150" s="15">
        <v>6400</v>
      </c>
      <c r="F150" s="15">
        <v>300</v>
      </c>
      <c r="G150" s="15">
        <v>400</v>
      </c>
      <c r="H150" s="15">
        <f t="shared" si="16"/>
        <v>7100</v>
      </c>
      <c r="I150" s="15">
        <f t="shared" si="17"/>
        <v>0</v>
      </c>
      <c r="J150" s="16"/>
      <c r="K150" s="15"/>
      <c r="L150" s="15">
        <f t="shared" si="12"/>
        <v>0</v>
      </c>
      <c r="M150" s="16"/>
      <c r="N150" s="16"/>
      <c r="O150" s="15">
        <f t="shared" si="13"/>
        <v>0</v>
      </c>
      <c r="P150" s="15">
        <f t="shared" si="14"/>
        <v>0</v>
      </c>
      <c r="Q150" s="15">
        <f t="shared" si="15"/>
        <v>0</v>
      </c>
      <c r="R150" s="17">
        <v>1005</v>
      </c>
    </row>
    <row r="151" spans="1:18" ht="16.5" x14ac:dyDescent="0.25">
      <c r="A151" s="12">
        <v>1007</v>
      </c>
      <c r="B151" s="13" t="s">
        <v>160</v>
      </c>
      <c r="C151" s="13" t="s">
        <v>30</v>
      </c>
      <c r="D151" s="14"/>
      <c r="E151" s="15">
        <v>6400</v>
      </c>
      <c r="F151" s="15">
        <v>300</v>
      </c>
      <c r="G151" s="15">
        <v>400</v>
      </c>
      <c r="H151" s="15">
        <f t="shared" si="16"/>
        <v>7100</v>
      </c>
      <c r="I151" s="15">
        <f t="shared" si="17"/>
        <v>0</v>
      </c>
      <c r="J151" s="16"/>
      <c r="K151" s="15"/>
      <c r="L151" s="15">
        <f t="shared" si="12"/>
        <v>0</v>
      </c>
      <c r="M151" s="16"/>
      <c r="N151" s="16"/>
      <c r="O151" s="15">
        <f t="shared" si="13"/>
        <v>0</v>
      </c>
      <c r="P151" s="15">
        <f t="shared" si="14"/>
        <v>0</v>
      </c>
      <c r="Q151" s="15">
        <f t="shared" si="15"/>
        <v>0</v>
      </c>
      <c r="R151" s="17">
        <v>1007</v>
      </c>
    </row>
    <row r="152" spans="1:18" ht="16.5" x14ac:dyDescent="0.25">
      <c r="A152" s="12">
        <v>1008</v>
      </c>
      <c r="B152" s="13" t="s">
        <v>161</v>
      </c>
      <c r="C152" s="13" t="s">
        <v>82</v>
      </c>
      <c r="D152" s="14"/>
      <c r="E152" s="15">
        <v>6400</v>
      </c>
      <c r="F152" s="15">
        <v>300</v>
      </c>
      <c r="G152" s="15">
        <v>400</v>
      </c>
      <c r="H152" s="15">
        <f t="shared" si="16"/>
        <v>7100</v>
      </c>
      <c r="I152" s="15">
        <f t="shared" si="17"/>
        <v>0</v>
      </c>
      <c r="J152" s="16"/>
      <c r="K152" s="15"/>
      <c r="L152" s="15">
        <f t="shared" si="12"/>
        <v>0</v>
      </c>
      <c r="M152" s="16"/>
      <c r="N152" s="16"/>
      <c r="O152" s="15">
        <f t="shared" si="13"/>
        <v>0</v>
      </c>
      <c r="P152" s="15">
        <f t="shared" si="14"/>
        <v>0</v>
      </c>
      <c r="Q152" s="15">
        <f t="shared" si="15"/>
        <v>0</v>
      </c>
      <c r="R152" s="17">
        <v>1008</v>
      </c>
    </row>
    <row r="153" spans="1:18" ht="16.5" x14ac:dyDescent="0.25">
      <c r="A153" s="12">
        <v>1015</v>
      </c>
      <c r="B153" s="13" t="s">
        <v>421</v>
      </c>
      <c r="C153" s="13" t="s">
        <v>23</v>
      </c>
      <c r="D153" s="14"/>
      <c r="E153" s="15">
        <v>6400</v>
      </c>
      <c r="F153" s="15">
        <v>300</v>
      </c>
      <c r="G153" s="15">
        <v>400</v>
      </c>
      <c r="H153" s="15">
        <f t="shared" si="16"/>
        <v>7100</v>
      </c>
      <c r="I153" s="15">
        <f t="shared" si="17"/>
        <v>0</v>
      </c>
      <c r="J153" s="16"/>
      <c r="K153" s="15"/>
      <c r="L153" s="15">
        <f t="shared" si="12"/>
        <v>0</v>
      </c>
      <c r="M153" s="16"/>
      <c r="N153" s="16"/>
      <c r="O153" s="15">
        <f t="shared" si="13"/>
        <v>0</v>
      </c>
      <c r="P153" s="15">
        <f t="shared" si="14"/>
        <v>0</v>
      </c>
      <c r="Q153" s="15">
        <f t="shared" si="15"/>
        <v>0</v>
      </c>
      <c r="R153" s="17">
        <v>1015</v>
      </c>
    </row>
    <row r="154" spans="1:18" ht="16.5" x14ac:dyDescent="0.25">
      <c r="A154" s="12">
        <v>1019</v>
      </c>
      <c r="B154" s="13" t="s">
        <v>162</v>
      </c>
      <c r="C154" s="13" t="s">
        <v>25</v>
      </c>
      <c r="D154" s="14"/>
      <c r="E154" s="15">
        <v>6400</v>
      </c>
      <c r="F154" s="15">
        <v>300</v>
      </c>
      <c r="G154" s="15">
        <v>400</v>
      </c>
      <c r="H154" s="15">
        <f t="shared" si="16"/>
        <v>7100</v>
      </c>
      <c r="I154" s="15">
        <f t="shared" si="17"/>
        <v>0</v>
      </c>
      <c r="J154" s="16"/>
      <c r="K154" s="15"/>
      <c r="L154" s="15">
        <f t="shared" si="12"/>
        <v>0</v>
      </c>
      <c r="M154" s="20"/>
      <c r="N154" s="20"/>
      <c r="O154" s="15">
        <f t="shared" si="13"/>
        <v>0</v>
      </c>
      <c r="P154" s="15">
        <f t="shared" si="14"/>
        <v>0</v>
      </c>
      <c r="Q154" s="15">
        <f t="shared" si="15"/>
        <v>0</v>
      </c>
      <c r="R154" s="17">
        <v>1019</v>
      </c>
    </row>
    <row r="155" spans="1:18" ht="16.5" x14ac:dyDescent="0.25">
      <c r="A155" s="12">
        <v>1044</v>
      </c>
      <c r="B155" s="13" t="s">
        <v>163</v>
      </c>
      <c r="C155" s="13" t="s">
        <v>21</v>
      </c>
      <c r="D155" s="19"/>
      <c r="E155" s="15">
        <v>6400</v>
      </c>
      <c r="F155" s="15">
        <v>300</v>
      </c>
      <c r="G155" s="15">
        <v>400</v>
      </c>
      <c r="H155" s="15">
        <f t="shared" si="16"/>
        <v>7100</v>
      </c>
      <c r="I155" s="15">
        <f t="shared" si="17"/>
        <v>0</v>
      </c>
      <c r="J155" s="20"/>
      <c r="K155" s="15"/>
      <c r="L155" s="15">
        <f t="shared" si="12"/>
        <v>0</v>
      </c>
      <c r="M155" s="16"/>
      <c r="N155" s="16"/>
      <c r="O155" s="15">
        <f t="shared" si="13"/>
        <v>0</v>
      </c>
      <c r="P155" s="15">
        <f t="shared" si="14"/>
        <v>0</v>
      </c>
      <c r="Q155" s="15">
        <f t="shared" si="15"/>
        <v>0</v>
      </c>
      <c r="R155" s="17">
        <v>1044</v>
      </c>
    </row>
    <row r="156" spans="1:18" ht="16.5" x14ac:dyDescent="0.25">
      <c r="A156" s="12">
        <v>1046</v>
      </c>
      <c r="B156" s="13" t="s">
        <v>164</v>
      </c>
      <c r="C156" s="13" t="s">
        <v>21</v>
      </c>
      <c r="D156" s="14">
        <v>98</v>
      </c>
      <c r="E156" s="15">
        <v>6400</v>
      </c>
      <c r="F156" s="15">
        <v>400</v>
      </c>
      <c r="G156" s="15">
        <v>400</v>
      </c>
      <c r="H156" s="15">
        <f t="shared" si="16"/>
        <v>7200</v>
      </c>
      <c r="I156" s="15">
        <f t="shared" si="17"/>
        <v>705600</v>
      </c>
      <c r="J156" s="16"/>
      <c r="K156" s="15">
        <v>410000</v>
      </c>
      <c r="L156" s="15">
        <f t="shared" si="12"/>
        <v>1960</v>
      </c>
      <c r="M156" s="20"/>
      <c r="N156" s="20"/>
      <c r="O156" s="15">
        <f t="shared" si="13"/>
        <v>24500</v>
      </c>
      <c r="P156" s="15">
        <f t="shared" si="14"/>
        <v>436460</v>
      </c>
      <c r="Q156" s="15">
        <f t="shared" si="15"/>
        <v>269140</v>
      </c>
      <c r="R156" s="17">
        <v>1046</v>
      </c>
    </row>
    <row r="157" spans="1:18" ht="16.5" x14ac:dyDescent="0.25">
      <c r="A157" s="12">
        <v>1049</v>
      </c>
      <c r="B157" s="13" t="s">
        <v>165</v>
      </c>
      <c r="C157" s="13" t="s">
        <v>43</v>
      </c>
      <c r="D157" s="19">
        <v>64</v>
      </c>
      <c r="E157" s="15">
        <v>6400</v>
      </c>
      <c r="F157" s="15">
        <v>600</v>
      </c>
      <c r="G157" s="15">
        <v>400</v>
      </c>
      <c r="H157" s="15">
        <f t="shared" si="16"/>
        <v>7400</v>
      </c>
      <c r="I157" s="15">
        <f t="shared" si="17"/>
        <v>473600</v>
      </c>
      <c r="J157" s="20"/>
      <c r="K157" s="15">
        <v>205000</v>
      </c>
      <c r="L157" s="15">
        <f t="shared" si="12"/>
        <v>1280</v>
      </c>
      <c r="M157" s="16"/>
      <c r="N157" s="16"/>
      <c r="O157" s="15">
        <f t="shared" si="13"/>
        <v>16000</v>
      </c>
      <c r="P157" s="15">
        <f t="shared" si="14"/>
        <v>222280</v>
      </c>
      <c r="Q157" s="15">
        <f t="shared" si="15"/>
        <v>251320</v>
      </c>
      <c r="R157" s="17">
        <v>1049</v>
      </c>
    </row>
    <row r="158" spans="1:18" ht="16.5" x14ac:dyDescent="0.25">
      <c r="A158" s="12">
        <v>1051</v>
      </c>
      <c r="B158" s="13" t="s">
        <v>166</v>
      </c>
      <c r="C158" s="13" t="s">
        <v>43</v>
      </c>
      <c r="D158" s="16"/>
      <c r="E158" s="15">
        <v>6400</v>
      </c>
      <c r="F158" s="15">
        <v>300</v>
      </c>
      <c r="G158" s="15">
        <v>400</v>
      </c>
      <c r="H158" s="15">
        <f t="shared" si="16"/>
        <v>7100</v>
      </c>
      <c r="I158" s="15">
        <f t="shared" si="17"/>
        <v>0</v>
      </c>
      <c r="J158" s="16"/>
      <c r="K158" s="15"/>
      <c r="L158" s="15">
        <f t="shared" si="12"/>
        <v>0</v>
      </c>
      <c r="M158" s="16"/>
      <c r="N158" s="16"/>
      <c r="O158" s="15">
        <f t="shared" si="13"/>
        <v>0</v>
      </c>
      <c r="P158" s="15">
        <f t="shared" si="14"/>
        <v>0</v>
      </c>
      <c r="Q158" s="15">
        <f t="shared" si="15"/>
        <v>0</v>
      </c>
      <c r="R158" s="17">
        <v>1051</v>
      </c>
    </row>
    <row r="159" spans="1:18" ht="16.5" x14ac:dyDescent="0.25">
      <c r="A159" s="12">
        <v>1052</v>
      </c>
      <c r="B159" s="13" t="s">
        <v>167</v>
      </c>
      <c r="C159" s="13" t="s">
        <v>43</v>
      </c>
      <c r="D159" s="16"/>
      <c r="E159" s="15">
        <v>6400</v>
      </c>
      <c r="F159" s="15">
        <v>300</v>
      </c>
      <c r="G159" s="15">
        <v>400</v>
      </c>
      <c r="H159" s="15">
        <f t="shared" si="16"/>
        <v>7100</v>
      </c>
      <c r="I159" s="15">
        <f t="shared" si="17"/>
        <v>0</v>
      </c>
      <c r="J159" s="16"/>
      <c r="K159" s="15"/>
      <c r="L159" s="15">
        <f t="shared" si="12"/>
        <v>0</v>
      </c>
      <c r="M159" s="20"/>
      <c r="N159" s="20"/>
      <c r="O159" s="15">
        <f t="shared" si="13"/>
        <v>0</v>
      </c>
      <c r="P159" s="15">
        <f t="shared" si="14"/>
        <v>0</v>
      </c>
      <c r="Q159" s="15">
        <f t="shared" si="15"/>
        <v>0</v>
      </c>
      <c r="R159" s="17">
        <v>1052</v>
      </c>
    </row>
    <row r="160" spans="1:18" ht="16.5" x14ac:dyDescent="0.25">
      <c r="A160" s="12">
        <v>1057</v>
      </c>
      <c r="B160" s="13" t="s">
        <v>59</v>
      </c>
      <c r="C160" s="13" t="s">
        <v>43</v>
      </c>
      <c r="D160" s="19"/>
      <c r="E160" s="15">
        <v>6400</v>
      </c>
      <c r="F160" s="15">
        <v>400</v>
      </c>
      <c r="G160" s="15">
        <v>400</v>
      </c>
      <c r="H160" s="15">
        <f t="shared" si="16"/>
        <v>7200</v>
      </c>
      <c r="I160" s="15">
        <f t="shared" si="17"/>
        <v>0</v>
      </c>
      <c r="J160" s="20"/>
      <c r="K160" s="15"/>
      <c r="L160" s="15">
        <f t="shared" si="12"/>
        <v>0</v>
      </c>
      <c r="M160" s="20"/>
      <c r="N160" s="20"/>
      <c r="O160" s="15">
        <f t="shared" si="13"/>
        <v>0</v>
      </c>
      <c r="P160" s="15">
        <f t="shared" si="14"/>
        <v>0</v>
      </c>
      <c r="Q160" s="15">
        <f t="shared" si="15"/>
        <v>0</v>
      </c>
      <c r="R160" s="17">
        <v>1057</v>
      </c>
    </row>
    <row r="161" spans="1:18" ht="16.5" x14ac:dyDescent="0.25">
      <c r="A161" s="12">
        <v>1059</v>
      </c>
      <c r="B161" s="13" t="s">
        <v>157</v>
      </c>
      <c r="C161" s="13" t="s">
        <v>25</v>
      </c>
      <c r="D161" s="19"/>
      <c r="E161" s="15">
        <v>6400</v>
      </c>
      <c r="F161" s="15">
        <v>300</v>
      </c>
      <c r="G161" s="15">
        <v>400</v>
      </c>
      <c r="H161" s="15">
        <f t="shared" si="16"/>
        <v>7100</v>
      </c>
      <c r="I161" s="15">
        <f t="shared" si="17"/>
        <v>0</v>
      </c>
      <c r="J161" s="20"/>
      <c r="K161" s="15"/>
      <c r="L161" s="15">
        <f t="shared" si="12"/>
        <v>0</v>
      </c>
      <c r="M161" s="20"/>
      <c r="N161" s="20"/>
      <c r="O161" s="15">
        <f t="shared" si="13"/>
        <v>0</v>
      </c>
      <c r="P161" s="15">
        <f t="shared" si="14"/>
        <v>0</v>
      </c>
      <c r="Q161" s="15">
        <f t="shared" si="15"/>
        <v>0</v>
      </c>
      <c r="R161" s="17">
        <v>1059</v>
      </c>
    </row>
    <row r="162" spans="1:18" ht="16.5" x14ac:dyDescent="0.25">
      <c r="A162" s="12">
        <v>1060</v>
      </c>
      <c r="B162" s="13" t="s">
        <v>168</v>
      </c>
      <c r="C162" s="13" t="s">
        <v>54</v>
      </c>
      <c r="D162" s="19"/>
      <c r="E162" s="15">
        <v>6400</v>
      </c>
      <c r="F162" s="15">
        <v>300</v>
      </c>
      <c r="G162" s="15">
        <v>400</v>
      </c>
      <c r="H162" s="15">
        <f t="shared" si="16"/>
        <v>7100</v>
      </c>
      <c r="I162" s="15">
        <f t="shared" si="17"/>
        <v>0</v>
      </c>
      <c r="J162" s="20"/>
      <c r="K162" s="15"/>
      <c r="L162" s="15">
        <f t="shared" si="12"/>
        <v>0</v>
      </c>
      <c r="M162" s="16"/>
      <c r="N162" s="16"/>
      <c r="O162" s="15">
        <f t="shared" si="13"/>
        <v>0</v>
      </c>
      <c r="P162" s="15">
        <f t="shared" si="14"/>
        <v>0</v>
      </c>
      <c r="Q162" s="15">
        <f t="shared" si="15"/>
        <v>0</v>
      </c>
      <c r="R162" s="17">
        <v>1060</v>
      </c>
    </row>
    <row r="163" spans="1:18" ht="16.5" x14ac:dyDescent="0.25">
      <c r="A163" s="12">
        <v>1061</v>
      </c>
      <c r="B163" s="13" t="s">
        <v>169</v>
      </c>
      <c r="C163" s="13" t="s">
        <v>19</v>
      </c>
      <c r="D163" s="14"/>
      <c r="E163" s="15">
        <v>6400</v>
      </c>
      <c r="F163" s="15">
        <v>300</v>
      </c>
      <c r="G163" s="15">
        <v>400</v>
      </c>
      <c r="H163" s="15">
        <f t="shared" si="16"/>
        <v>7100</v>
      </c>
      <c r="I163" s="15">
        <f t="shared" si="17"/>
        <v>0</v>
      </c>
      <c r="J163" s="16"/>
      <c r="K163" s="15"/>
      <c r="L163" s="15">
        <f t="shared" si="12"/>
        <v>0</v>
      </c>
      <c r="M163" s="20"/>
      <c r="N163" s="20"/>
      <c r="O163" s="15">
        <f t="shared" si="13"/>
        <v>0</v>
      </c>
      <c r="P163" s="15">
        <f t="shared" si="14"/>
        <v>0</v>
      </c>
      <c r="Q163" s="15">
        <f t="shared" si="15"/>
        <v>0</v>
      </c>
      <c r="R163" s="17">
        <v>1061</v>
      </c>
    </row>
    <row r="164" spans="1:18" ht="16.5" x14ac:dyDescent="0.25">
      <c r="A164" s="12">
        <v>1062</v>
      </c>
      <c r="B164" s="13" t="s">
        <v>170</v>
      </c>
      <c r="C164" s="13" t="s">
        <v>47</v>
      </c>
      <c r="D164" s="19"/>
      <c r="E164" s="15">
        <v>6400</v>
      </c>
      <c r="F164" s="15">
        <v>300</v>
      </c>
      <c r="G164" s="15">
        <v>400</v>
      </c>
      <c r="H164" s="15">
        <f t="shared" si="16"/>
        <v>7100</v>
      </c>
      <c r="I164" s="15">
        <f t="shared" si="17"/>
        <v>0</v>
      </c>
      <c r="J164" s="20"/>
      <c r="K164" s="15"/>
      <c r="L164" s="15">
        <f t="shared" si="12"/>
        <v>0</v>
      </c>
      <c r="M164" s="16"/>
      <c r="N164" s="16"/>
      <c r="O164" s="15">
        <f t="shared" si="13"/>
        <v>0</v>
      </c>
      <c r="P164" s="15">
        <f t="shared" si="14"/>
        <v>0</v>
      </c>
      <c r="Q164" s="15">
        <f t="shared" si="15"/>
        <v>0</v>
      </c>
      <c r="R164" s="17">
        <v>1062</v>
      </c>
    </row>
    <row r="165" spans="1:18" ht="16.5" x14ac:dyDescent="0.25">
      <c r="A165" s="12">
        <v>1064</v>
      </c>
      <c r="B165" s="13" t="s">
        <v>166</v>
      </c>
      <c r="C165" s="13" t="s">
        <v>43</v>
      </c>
      <c r="D165" s="14">
        <v>178</v>
      </c>
      <c r="E165" s="15">
        <v>6400</v>
      </c>
      <c r="F165" s="15">
        <v>500</v>
      </c>
      <c r="G165" s="15">
        <v>400</v>
      </c>
      <c r="H165" s="15">
        <f t="shared" si="16"/>
        <v>7300</v>
      </c>
      <c r="I165" s="15">
        <f t="shared" si="17"/>
        <v>1299400</v>
      </c>
      <c r="J165" s="16"/>
      <c r="K165" s="15">
        <v>615000</v>
      </c>
      <c r="L165" s="15">
        <f t="shared" si="12"/>
        <v>3560</v>
      </c>
      <c r="M165" s="20"/>
      <c r="N165" s="20"/>
      <c r="O165" s="15">
        <f t="shared" si="13"/>
        <v>44500</v>
      </c>
      <c r="P165" s="15">
        <f t="shared" si="14"/>
        <v>663060</v>
      </c>
      <c r="Q165" s="15">
        <f t="shared" si="15"/>
        <v>636340</v>
      </c>
      <c r="R165" s="17">
        <v>1064</v>
      </c>
    </row>
    <row r="166" spans="1:18" ht="16.5" x14ac:dyDescent="0.25">
      <c r="A166" s="12">
        <v>1065</v>
      </c>
      <c r="B166" s="13" t="s">
        <v>171</v>
      </c>
      <c r="C166" s="13" t="s">
        <v>25</v>
      </c>
      <c r="D166" s="19"/>
      <c r="E166" s="15">
        <v>6400</v>
      </c>
      <c r="F166" s="15">
        <v>300</v>
      </c>
      <c r="G166" s="15">
        <v>400</v>
      </c>
      <c r="H166" s="15">
        <f t="shared" si="16"/>
        <v>7100</v>
      </c>
      <c r="I166" s="15">
        <f t="shared" si="17"/>
        <v>0</v>
      </c>
      <c r="J166" s="20"/>
      <c r="K166" s="15"/>
      <c r="L166" s="15">
        <f t="shared" si="12"/>
        <v>0</v>
      </c>
      <c r="M166" s="16"/>
      <c r="N166" s="16"/>
      <c r="O166" s="15">
        <f t="shared" si="13"/>
        <v>0</v>
      </c>
      <c r="P166" s="15">
        <f t="shared" si="14"/>
        <v>0</v>
      </c>
      <c r="Q166" s="15">
        <f t="shared" si="15"/>
        <v>0</v>
      </c>
      <c r="R166" s="17">
        <v>1065</v>
      </c>
    </row>
    <row r="167" spans="1:18" ht="16.5" x14ac:dyDescent="0.25">
      <c r="A167" s="12">
        <v>1070</v>
      </c>
      <c r="B167" s="13" t="s">
        <v>172</v>
      </c>
      <c r="C167" s="13" t="s">
        <v>21</v>
      </c>
      <c r="D167" s="14"/>
      <c r="E167" s="15">
        <v>6400</v>
      </c>
      <c r="F167" s="15">
        <v>300</v>
      </c>
      <c r="G167" s="15">
        <v>400</v>
      </c>
      <c r="H167" s="15">
        <f t="shared" si="16"/>
        <v>7100</v>
      </c>
      <c r="I167" s="15">
        <f t="shared" si="17"/>
        <v>0</v>
      </c>
      <c r="J167" s="16"/>
      <c r="K167" s="15"/>
      <c r="L167" s="15">
        <f t="shared" si="12"/>
        <v>0</v>
      </c>
      <c r="M167" s="20"/>
      <c r="N167" s="20"/>
      <c r="O167" s="15">
        <f t="shared" si="13"/>
        <v>0</v>
      </c>
      <c r="P167" s="15">
        <f t="shared" si="14"/>
        <v>0</v>
      </c>
      <c r="Q167" s="15">
        <f t="shared" si="15"/>
        <v>0</v>
      </c>
      <c r="R167" s="17">
        <v>1070</v>
      </c>
    </row>
    <row r="168" spans="1:18" ht="16.5" x14ac:dyDescent="0.25">
      <c r="A168" s="12">
        <v>1073</v>
      </c>
      <c r="B168" s="13" t="s">
        <v>173</v>
      </c>
      <c r="C168" s="13" t="s">
        <v>25</v>
      </c>
      <c r="D168" s="19"/>
      <c r="E168" s="15">
        <v>6400</v>
      </c>
      <c r="F168" s="15">
        <v>300</v>
      </c>
      <c r="G168" s="15">
        <v>400</v>
      </c>
      <c r="H168" s="15">
        <f t="shared" si="16"/>
        <v>7100</v>
      </c>
      <c r="I168" s="15">
        <f t="shared" si="17"/>
        <v>0</v>
      </c>
      <c r="J168" s="20"/>
      <c r="K168" s="15"/>
      <c r="L168" s="15">
        <f t="shared" si="12"/>
        <v>0</v>
      </c>
      <c r="M168" s="16"/>
      <c r="N168" s="16"/>
      <c r="O168" s="15">
        <f t="shared" si="13"/>
        <v>0</v>
      </c>
      <c r="P168" s="15">
        <f t="shared" si="14"/>
        <v>0</v>
      </c>
      <c r="Q168" s="15">
        <f t="shared" si="15"/>
        <v>0</v>
      </c>
      <c r="R168" s="17">
        <v>1073</v>
      </c>
    </row>
    <row r="169" spans="1:18" ht="16.5" x14ac:dyDescent="0.25">
      <c r="A169" s="12">
        <v>1084</v>
      </c>
      <c r="B169" s="13" t="s">
        <v>174</v>
      </c>
      <c r="C169" s="13" t="s">
        <v>16</v>
      </c>
      <c r="D169" s="14">
        <v>48</v>
      </c>
      <c r="E169" s="15">
        <v>6400</v>
      </c>
      <c r="F169" s="15">
        <v>500</v>
      </c>
      <c r="G169" s="15">
        <v>400</v>
      </c>
      <c r="H169" s="15">
        <f t="shared" si="16"/>
        <v>7300</v>
      </c>
      <c r="I169" s="15">
        <f t="shared" si="17"/>
        <v>350400</v>
      </c>
      <c r="J169" s="16"/>
      <c r="K169" s="15">
        <v>205000</v>
      </c>
      <c r="L169" s="15">
        <f t="shared" si="12"/>
        <v>960</v>
      </c>
      <c r="M169" s="16"/>
      <c r="N169" s="16"/>
      <c r="O169" s="15">
        <f t="shared" si="13"/>
        <v>12000</v>
      </c>
      <c r="P169" s="15">
        <f t="shared" si="14"/>
        <v>217960</v>
      </c>
      <c r="Q169" s="15">
        <f t="shared" si="15"/>
        <v>132440</v>
      </c>
      <c r="R169" s="17">
        <v>1084</v>
      </c>
    </row>
    <row r="170" spans="1:18" ht="16.5" x14ac:dyDescent="0.25">
      <c r="A170" s="12">
        <v>1092</v>
      </c>
      <c r="B170" s="13" t="s">
        <v>175</v>
      </c>
      <c r="C170" s="13" t="s">
        <v>54</v>
      </c>
      <c r="D170" s="14">
        <v>12</v>
      </c>
      <c r="E170" s="15">
        <v>6400</v>
      </c>
      <c r="F170" s="15">
        <v>500</v>
      </c>
      <c r="G170" s="15">
        <v>400</v>
      </c>
      <c r="H170" s="15">
        <f t="shared" si="16"/>
        <v>7300</v>
      </c>
      <c r="I170" s="15">
        <f t="shared" si="17"/>
        <v>87600</v>
      </c>
      <c r="J170" s="16"/>
      <c r="K170" s="15">
        <v>80000</v>
      </c>
      <c r="L170" s="15">
        <f t="shared" si="12"/>
        <v>240</v>
      </c>
      <c r="M170" s="16"/>
      <c r="N170" s="16"/>
      <c r="O170" s="15">
        <f t="shared" si="13"/>
        <v>3000</v>
      </c>
      <c r="P170" s="15">
        <f t="shared" si="14"/>
        <v>83240</v>
      </c>
      <c r="Q170" s="15">
        <f t="shared" si="15"/>
        <v>4360</v>
      </c>
      <c r="R170" s="17">
        <v>1092</v>
      </c>
    </row>
    <row r="171" spans="1:18" ht="16.5" x14ac:dyDescent="0.25">
      <c r="A171" s="12">
        <v>1103</v>
      </c>
      <c r="B171" s="13" t="s">
        <v>176</v>
      </c>
      <c r="C171" s="13" t="s">
        <v>36</v>
      </c>
      <c r="D171" s="14"/>
      <c r="E171" s="15">
        <v>6400</v>
      </c>
      <c r="F171" s="15">
        <v>400</v>
      </c>
      <c r="G171" s="15">
        <v>400</v>
      </c>
      <c r="H171" s="15">
        <f t="shared" si="16"/>
        <v>7200</v>
      </c>
      <c r="I171" s="15">
        <f t="shared" si="17"/>
        <v>0</v>
      </c>
      <c r="J171" s="16"/>
      <c r="K171" s="15"/>
      <c r="L171" s="15">
        <f t="shared" si="12"/>
        <v>0</v>
      </c>
      <c r="M171" s="20"/>
      <c r="N171" s="20"/>
      <c r="O171" s="15">
        <f t="shared" si="13"/>
        <v>0</v>
      </c>
      <c r="P171" s="15">
        <f t="shared" si="14"/>
        <v>0</v>
      </c>
      <c r="Q171" s="15">
        <f t="shared" si="15"/>
        <v>0</v>
      </c>
      <c r="R171" s="17">
        <v>1103</v>
      </c>
    </row>
    <row r="172" spans="1:18" ht="16.5" x14ac:dyDescent="0.25">
      <c r="A172" s="12">
        <v>1107</v>
      </c>
      <c r="B172" s="13" t="s">
        <v>177</v>
      </c>
      <c r="C172" s="13" t="s">
        <v>36</v>
      </c>
      <c r="D172" s="19"/>
      <c r="E172" s="15">
        <v>6400</v>
      </c>
      <c r="F172" s="15">
        <v>300</v>
      </c>
      <c r="G172" s="15">
        <v>400</v>
      </c>
      <c r="H172" s="15">
        <f t="shared" si="16"/>
        <v>7100</v>
      </c>
      <c r="I172" s="15">
        <f t="shared" si="17"/>
        <v>0</v>
      </c>
      <c r="J172" s="20"/>
      <c r="K172" s="15"/>
      <c r="L172" s="15">
        <f t="shared" si="12"/>
        <v>0</v>
      </c>
      <c r="M172" s="20"/>
      <c r="N172" s="20"/>
      <c r="O172" s="15">
        <f t="shared" si="13"/>
        <v>0</v>
      </c>
      <c r="P172" s="15">
        <f t="shared" si="14"/>
        <v>0</v>
      </c>
      <c r="Q172" s="15">
        <f t="shared" si="15"/>
        <v>0</v>
      </c>
      <c r="R172" s="17">
        <v>1107</v>
      </c>
    </row>
    <row r="173" spans="1:18" ht="16.5" x14ac:dyDescent="0.25">
      <c r="A173" s="12">
        <v>1112</v>
      </c>
      <c r="B173" s="13" t="s">
        <v>178</v>
      </c>
      <c r="C173" s="13" t="s">
        <v>16</v>
      </c>
      <c r="D173" s="19"/>
      <c r="E173" s="15">
        <v>6400</v>
      </c>
      <c r="F173" s="15">
        <v>300</v>
      </c>
      <c r="G173" s="15">
        <v>400</v>
      </c>
      <c r="H173" s="15">
        <f t="shared" si="16"/>
        <v>7100</v>
      </c>
      <c r="I173" s="15">
        <f t="shared" si="17"/>
        <v>0</v>
      </c>
      <c r="J173" s="20"/>
      <c r="K173" s="15"/>
      <c r="L173" s="15">
        <f t="shared" si="12"/>
        <v>0</v>
      </c>
      <c r="M173" s="20"/>
      <c r="N173" s="20"/>
      <c r="O173" s="15">
        <f t="shared" si="13"/>
        <v>0</v>
      </c>
      <c r="P173" s="15">
        <f t="shared" si="14"/>
        <v>0</v>
      </c>
      <c r="Q173" s="15">
        <f t="shared" si="15"/>
        <v>0</v>
      </c>
      <c r="R173" s="17">
        <v>1112</v>
      </c>
    </row>
    <row r="174" spans="1:18" ht="16.5" x14ac:dyDescent="0.25">
      <c r="A174" s="12">
        <v>1113</v>
      </c>
      <c r="B174" s="13" t="s">
        <v>179</v>
      </c>
      <c r="C174" s="13" t="s">
        <v>25</v>
      </c>
      <c r="D174" s="19"/>
      <c r="E174" s="15">
        <v>6400</v>
      </c>
      <c r="F174" s="15">
        <v>300</v>
      </c>
      <c r="G174" s="15">
        <v>400</v>
      </c>
      <c r="H174" s="15">
        <f t="shared" si="16"/>
        <v>7100</v>
      </c>
      <c r="I174" s="15">
        <f t="shared" si="17"/>
        <v>0</v>
      </c>
      <c r="J174" s="20"/>
      <c r="K174" s="15"/>
      <c r="L174" s="15">
        <f t="shared" si="12"/>
        <v>0</v>
      </c>
      <c r="M174" s="16"/>
      <c r="N174" s="16"/>
      <c r="O174" s="15">
        <f t="shared" si="13"/>
        <v>0</v>
      </c>
      <c r="P174" s="15">
        <f t="shared" si="14"/>
        <v>0</v>
      </c>
      <c r="Q174" s="15">
        <f t="shared" si="15"/>
        <v>0</v>
      </c>
      <c r="R174" s="17">
        <v>1113</v>
      </c>
    </row>
    <row r="175" spans="1:18" ht="16.5" x14ac:dyDescent="0.25">
      <c r="A175" s="12">
        <v>1114</v>
      </c>
      <c r="B175" s="13" t="s">
        <v>180</v>
      </c>
      <c r="C175" s="13" t="s">
        <v>25</v>
      </c>
      <c r="D175" s="14">
        <v>169</v>
      </c>
      <c r="E175" s="15">
        <v>6400</v>
      </c>
      <c r="F175" s="15">
        <v>400</v>
      </c>
      <c r="G175" s="15">
        <v>400</v>
      </c>
      <c r="H175" s="15">
        <f t="shared" si="16"/>
        <v>7200</v>
      </c>
      <c r="I175" s="15">
        <f t="shared" si="17"/>
        <v>1216800</v>
      </c>
      <c r="J175" s="16"/>
      <c r="K175" s="15">
        <v>615000</v>
      </c>
      <c r="L175" s="15">
        <f t="shared" si="12"/>
        <v>3380</v>
      </c>
      <c r="M175" s="16"/>
      <c r="N175" s="16"/>
      <c r="O175" s="15">
        <f t="shared" si="13"/>
        <v>42250</v>
      </c>
      <c r="P175" s="15">
        <f t="shared" si="14"/>
        <v>660630</v>
      </c>
      <c r="Q175" s="15">
        <f t="shared" si="15"/>
        <v>556170</v>
      </c>
      <c r="R175" s="17">
        <v>1114</v>
      </c>
    </row>
    <row r="176" spans="1:18" ht="16.5" x14ac:dyDescent="0.25">
      <c r="A176" s="12">
        <v>1115</v>
      </c>
      <c r="B176" s="13" t="s">
        <v>181</v>
      </c>
      <c r="C176" s="13" t="s">
        <v>25</v>
      </c>
      <c r="D176" s="16"/>
      <c r="E176" s="15">
        <v>6400</v>
      </c>
      <c r="F176" s="15">
        <v>300</v>
      </c>
      <c r="G176" s="15">
        <v>400</v>
      </c>
      <c r="H176" s="15">
        <f t="shared" si="16"/>
        <v>7100</v>
      </c>
      <c r="I176" s="15">
        <f t="shared" si="17"/>
        <v>0</v>
      </c>
      <c r="J176" s="16"/>
      <c r="K176" s="15"/>
      <c r="L176" s="15">
        <f t="shared" si="12"/>
        <v>0</v>
      </c>
      <c r="M176" s="16"/>
      <c r="N176" s="16"/>
      <c r="O176" s="15">
        <f t="shared" si="13"/>
        <v>0</v>
      </c>
      <c r="P176" s="15">
        <f t="shared" si="14"/>
        <v>0</v>
      </c>
      <c r="Q176" s="15">
        <f t="shared" si="15"/>
        <v>0</v>
      </c>
      <c r="R176" s="17">
        <v>1115</v>
      </c>
    </row>
    <row r="177" spans="1:18" ht="16.5" x14ac:dyDescent="0.25">
      <c r="A177" s="12">
        <v>1119</v>
      </c>
      <c r="B177" s="13" t="s">
        <v>182</v>
      </c>
      <c r="C177" s="13" t="s">
        <v>19</v>
      </c>
      <c r="D177" s="14"/>
      <c r="E177" s="15">
        <v>6400</v>
      </c>
      <c r="F177" s="15">
        <v>300</v>
      </c>
      <c r="G177" s="15">
        <v>400</v>
      </c>
      <c r="H177" s="15">
        <f t="shared" si="16"/>
        <v>7100</v>
      </c>
      <c r="I177" s="15">
        <f t="shared" si="17"/>
        <v>0</v>
      </c>
      <c r="J177" s="16"/>
      <c r="K177" s="15"/>
      <c r="L177" s="15">
        <f t="shared" si="12"/>
        <v>0</v>
      </c>
      <c r="M177" s="16"/>
      <c r="N177" s="16"/>
      <c r="O177" s="15">
        <f t="shared" si="13"/>
        <v>0</v>
      </c>
      <c r="P177" s="15">
        <f t="shared" si="14"/>
        <v>0</v>
      </c>
      <c r="Q177" s="15">
        <f t="shared" si="15"/>
        <v>0</v>
      </c>
      <c r="R177" s="17">
        <v>1119</v>
      </c>
    </row>
    <row r="178" spans="1:18" ht="16.5" x14ac:dyDescent="0.25">
      <c r="A178" s="12">
        <v>1122</v>
      </c>
      <c r="B178" s="13" t="s">
        <v>183</v>
      </c>
      <c r="C178" s="13" t="s">
        <v>184</v>
      </c>
      <c r="D178" s="14"/>
      <c r="E178" s="15">
        <v>6400</v>
      </c>
      <c r="F178" s="15">
        <v>300</v>
      </c>
      <c r="G178" s="15">
        <v>400</v>
      </c>
      <c r="H178" s="15">
        <f t="shared" si="16"/>
        <v>7100</v>
      </c>
      <c r="I178" s="15">
        <f t="shared" si="17"/>
        <v>0</v>
      </c>
      <c r="J178" s="16"/>
      <c r="K178" s="15"/>
      <c r="L178" s="15">
        <f t="shared" si="12"/>
        <v>0</v>
      </c>
      <c r="M178" s="16"/>
      <c r="N178" s="16"/>
      <c r="O178" s="15">
        <f t="shared" si="13"/>
        <v>0</v>
      </c>
      <c r="P178" s="15">
        <f t="shared" si="14"/>
        <v>0</v>
      </c>
      <c r="Q178" s="15">
        <f t="shared" si="15"/>
        <v>0</v>
      </c>
      <c r="R178" s="17">
        <v>1122</v>
      </c>
    </row>
    <row r="179" spans="1:18" ht="16.5" x14ac:dyDescent="0.25">
      <c r="A179" s="12">
        <v>1129</v>
      </c>
      <c r="B179" s="13" t="s">
        <v>185</v>
      </c>
      <c r="C179" s="13" t="s">
        <v>186</v>
      </c>
      <c r="D179" s="14"/>
      <c r="E179" s="15">
        <v>6400</v>
      </c>
      <c r="F179" s="15">
        <v>300</v>
      </c>
      <c r="G179" s="15">
        <v>400</v>
      </c>
      <c r="H179" s="15">
        <f t="shared" si="16"/>
        <v>7100</v>
      </c>
      <c r="I179" s="15">
        <f t="shared" si="17"/>
        <v>0</v>
      </c>
      <c r="J179" s="16"/>
      <c r="K179" s="15"/>
      <c r="L179" s="15">
        <f t="shared" si="12"/>
        <v>0</v>
      </c>
      <c r="M179" s="16"/>
      <c r="N179" s="16"/>
      <c r="O179" s="15">
        <f t="shared" si="13"/>
        <v>0</v>
      </c>
      <c r="P179" s="15">
        <f t="shared" si="14"/>
        <v>0</v>
      </c>
      <c r="Q179" s="15">
        <f t="shared" si="15"/>
        <v>0</v>
      </c>
      <c r="R179" s="17">
        <v>1129</v>
      </c>
    </row>
    <row r="180" spans="1:18" ht="16.5" x14ac:dyDescent="0.25">
      <c r="A180" s="12">
        <v>1133</v>
      </c>
      <c r="B180" s="13" t="s">
        <v>187</v>
      </c>
      <c r="C180" s="13" t="s">
        <v>188</v>
      </c>
      <c r="D180" s="14">
        <v>128</v>
      </c>
      <c r="E180" s="15">
        <v>6400</v>
      </c>
      <c r="F180" s="15">
        <v>400</v>
      </c>
      <c r="G180" s="15">
        <v>400</v>
      </c>
      <c r="H180" s="15">
        <f t="shared" si="16"/>
        <v>7200</v>
      </c>
      <c r="I180" s="15">
        <f t="shared" si="17"/>
        <v>921600</v>
      </c>
      <c r="J180" s="16"/>
      <c r="K180" s="15"/>
      <c r="L180" s="15">
        <f t="shared" si="12"/>
        <v>2560</v>
      </c>
      <c r="M180" s="20"/>
      <c r="N180" s="20"/>
      <c r="O180" s="15">
        <f t="shared" si="13"/>
        <v>32000</v>
      </c>
      <c r="P180" s="15">
        <f t="shared" si="14"/>
        <v>34560</v>
      </c>
      <c r="Q180" s="15">
        <f t="shared" si="15"/>
        <v>887040</v>
      </c>
      <c r="R180" s="17">
        <v>1133</v>
      </c>
    </row>
    <row r="181" spans="1:18" ht="16.5" x14ac:dyDescent="0.25">
      <c r="A181" s="12">
        <v>1135</v>
      </c>
      <c r="B181" s="13" t="s">
        <v>59</v>
      </c>
      <c r="C181" s="13" t="s">
        <v>54</v>
      </c>
      <c r="D181" s="19"/>
      <c r="E181" s="15">
        <v>6400</v>
      </c>
      <c r="F181" s="15">
        <v>300</v>
      </c>
      <c r="G181" s="15">
        <v>400</v>
      </c>
      <c r="H181" s="15">
        <f t="shared" si="16"/>
        <v>7100</v>
      </c>
      <c r="I181" s="15">
        <f t="shared" si="17"/>
        <v>0</v>
      </c>
      <c r="J181" s="20"/>
      <c r="K181" s="15"/>
      <c r="L181" s="15">
        <f t="shared" si="12"/>
        <v>0</v>
      </c>
      <c r="M181" s="16"/>
      <c r="N181" s="16"/>
      <c r="O181" s="15">
        <f t="shared" si="13"/>
        <v>0</v>
      </c>
      <c r="P181" s="15">
        <f t="shared" si="14"/>
        <v>0</v>
      </c>
      <c r="Q181" s="15">
        <f t="shared" si="15"/>
        <v>0</v>
      </c>
      <c r="R181" s="17">
        <v>1135</v>
      </c>
    </row>
    <row r="182" spans="1:18" ht="16.5" x14ac:dyDescent="0.25">
      <c r="A182" s="12">
        <v>1140</v>
      </c>
      <c r="B182" s="13" t="s">
        <v>189</v>
      </c>
      <c r="C182" s="13" t="s">
        <v>138</v>
      </c>
      <c r="D182" s="14">
        <v>101</v>
      </c>
      <c r="E182" s="15">
        <v>6400</v>
      </c>
      <c r="F182" s="15">
        <v>400</v>
      </c>
      <c r="G182" s="15">
        <v>400</v>
      </c>
      <c r="H182" s="15">
        <f t="shared" si="16"/>
        <v>7200</v>
      </c>
      <c r="I182" s="15">
        <f t="shared" si="17"/>
        <v>727200</v>
      </c>
      <c r="J182" s="16"/>
      <c r="K182" s="15"/>
      <c r="L182" s="15">
        <f t="shared" si="12"/>
        <v>2020</v>
      </c>
      <c r="M182" s="20"/>
      <c r="N182" s="20"/>
      <c r="O182" s="15">
        <f t="shared" si="13"/>
        <v>25250</v>
      </c>
      <c r="P182" s="15">
        <f t="shared" si="14"/>
        <v>27270</v>
      </c>
      <c r="Q182" s="15">
        <f t="shared" si="15"/>
        <v>699930</v>
      </c>
      <c r="R182" s="17">
        <v>1140</v>
      </c>
    </row>
    <row r="183" spans="1:18" ht="16.5" x14ac:dyDescent="0.25">
      <c r="A183" s="12">
        <v>1141</v>
      </c>
      <c r="B183" s="13" t="s">
        <v>88</v>
      </c>
      <c r="C183" s="13" t="s">
        <v>21</v>
      </c>
      <c r="D183" s="19"/>
      <c r="E183" s="15">
        <v>6400</v>
      </c>
      <c r="F183" s="15">
        <v>300</v>
      </c>
      <c r="G183" s="15">
        <v>400</v>
      </c>
      <c r="H183" s="15">
        <f t="shared" si="16"/>
        <v>7100</v>
      </c>
      <c r="I183" s="15">
        <f t="shared" si="17"/>
        <v>0</v>
      </c>
      <c r="J183" s="20"/>
      <c r="K183" s="15"/>
      <c r="L183" s="15">
        <f t="shared" si="12"/>
        <v>0</v>
      </c>
      <c r="M183" s="16"/>
      <c r="N183" s="16"/>
      <c r="O183" s="15">
        <f t="shared" si="13"/>
        <v>0</v>
      </c>
      <c r="P183" s="15">
        <f t="shared" si="14"/>
        <v>0</v>
      </c>
      <c r="Q183" s="15">
        <f t="shared" si="15"/>
        <v>0</v>
      </c>
      <c r="R183" s="17">
        <v>1141</v>
      </c>
    </row>
    <row r="184" spans="1:18" ht="16.5" x14ac:dyDescent="0.25">
      <c r="A184" s="12">
        <v>1151</v>
      </c>
      <c r="B184" s="13" t="s">
        <v>190</v>
      </c>
      <c r="C184" s="13" t="s">
        <v>30</v>
      </c>
      <c r="D184" s="14"/>
      <c r="E184" s="15">
        <v>6400</v>
      </c>
      <c r="F184" s="15">
        <v>400</v>
      </c>
      <c r="G184" s="15">
        <v>400</v>
      </c>
      <c r="H184" s="15">
        <f t="shared" si="16"/>
        <v>7200</v>
      </c>
      <c r="I184" s="15">
        <f t="shared" si="17"/>
        <v>0</v>
      </c>
      <c r="J184" s="16"/>
      <c r="K184" s="15"/>
      <c r="L184" s="15">
        <f t="shared" si="12"/>
        <v>0</v>
      </c>
      <c r="M184" s="16"/>
      <c r="N184" s="16"/>
      <c r="O184" s="15">
        <f t="shared" si="13"/>
        <v>0</v>
      </c>
      <c r="P184" s="15">
        <f t="shared" si="14"/>
        <v>0</v>
      </c>
      <c r="Q184" s="15">
        <f t="shared" si="15"/>
        <v>0</v>
      </c>
      <c r="R184" s="17">
        <v>1151</v>
      </c>
    </row>
    <row r="185" spans="1:18" ht="16.5" x14ac:dyDescent="0.25">
      <c r="A185" s="12">
        <v>1152</v>
      </c>
      <c r="B185" s="13" t="s">
        <v>191</v>
      </c>
      <c r="C185" s="13" t="s">
        <v>30</v>
      </c>
      <c r="D185" s="14">
        <v>166</v>
      </c>
      <c r="E185" s="15">
        <v>6400</v>
      </c>
      <c r="F185" s="15">
        <v>600</v>
      </c>
      <c r="G185" s="15">
        <v>400</v>
      </c>
      <c r="H185" s="15">
        <f t="shared" si="16"/>
        <v>7400</v>
      </c>
      <c r="I185" s="15">
        <f t="shared" si="17"/>
        <v>1228400</v>
      </c>
      <c r="J185" s="16"/>
      <c r="K185" s="15">
        <v>615000</v>
      </c>
      <c r="L185" s="15">
        <f t="shared" si="12"/>
        <v>3320</v>
      </c>
      <c r="M185" s="20"/>
      <c r="N185" s="20"/>
      <c r="O185" s="15">
        <f t="shared" si="13"/>
        <v>41500</v>
      </c>
      <c r="P185" s="15">
        <f t="shared" si="14"/>
        <v>659820</v>
      </c>
      <c r="Q185" s="15">
        <f t="shared" si="15"/>
        <v>568580</v>
      </c>
      <c r="R185" s="17">
        <v>1152</v>
      </c>
    </row>
    <row r="186" spans="1:18" ht="16.5" x14ac:dyDescent="0.25">
      <c r="A186" s="12">
        <v>1157</v>
      </c>
      <c r="B186" s="13" t="s">
        <v>192</v>
      </c>
      <c r="C186" s="13" t="s">
        <v>21</v>
      </c>
      <c r="D186" s="19"/>
      <c r="E186" s="15">
        <v>6400</v>
      </c>
      <c r="F186" s="15">
        <v>300</v>
      </c>
      <c r="G186" s="15">
        <v>400</v>
      </c>
      <c r="H186" s="15">
        <f t="shared" si="16"/>
        <v>7100</v>
      </c>
      <c r="I186" s="15">
        <f t="shared" si="17"/>
        <v>0</v>
      </c>
      <c r="J186" s="20"/>
      <c r="K186" s="15"/>
      <c r="L186" s="15">
        <f t="shared" si="12"/>
        <v>0</v>
      </c>
      <c r="M186" s="16"/>
      <c r="N186" s="16"/>
      <c r="O186" s="15">
        <f t="shared" si="13"/>
        <v>0</v>
      </c>
      <c r="P186" s="15">
        <f t="shared" si="14"/>
        <v>0</v>
      </c>
      <c r="Q186" s="15">
        <f t="shared" si="15"/>
        <v>0</v>
      </c>
      <c r="R186" s="17">
        <v>1157</v>
      </c>
    </row>
    <row r="187" spans="1:18" ht="16.5" x14ac:dyDescent="0.25">
      <c r="A187" s="12">
        <v>1159</v>
      </c>
      <c r="B187" s="13" t="s">
        <v>193</v>
      </c>
      <c r="C187" s="13" t="s">
        <v>194</v>
      </c>
      <c r="D187" s="14">
        <v>174</v>
      </c>
      <c r="E187" s="15">
        <v>6400</v>
      </c>
      <c r="F187" s="15">
        <v>500</v>
      </c>
      <c r="G187" s="15">
        <v>400</v>
      </c>
      <c r="H187" s="15">
        <f t="shared" si="16"/>
        <v>7300</v>
      </c>
      <c r="I187" s="15">
        <f t="shared" si="17"/>
        <v>1270200</v>
      </c>
      <c r="J187" s="16"/>
      <c r="K187" s="15">
        <v>205000</v>
      </c>
      <c r="L187" s="15">
        <f t="shared" si="12"/>
        <v>3480</v>
      </c>
      <c r="M187" s="20"/>
      <c r="N187" s="20"/>
      <c r="O187" s="15">
        <f t="shared" si="13"/>
        <v>43500</v>
      </c>
      <c r="P187" s="15">
        <f t="shared" si="14"/>
        <v>251980</v>
      </c>
      <c r="Q187" s="15">
        <f t="shared" si="15"/>
        <v>1018220</v>
      </c>
      <c r="R187" s="17">
        <v>1159</v>
      </c>
    </row>
    <row r="188" spans="1:18" ht="16.5" x14ac:dyDescent="0.25">
      <c r="A188" s="12">
        <v>1163</v>
      </c>
      <c r="B188" s="13" t="s">
        <v>195</v>
      </c>
      <c r="C188" s="13" t="s">
        <v>25</v>
      </c>
      <c r="D188" s="25"/>
      <c r="E188" s="15">
        <v>6400</v>
      </c>
      <c r="F188" s="15">
        <v>400</v>
      </c>
      <c r="G188" s="15">
        <v>400</v>
      </c>
      <c r="H188" s="15">
        <f t="shared" si="16"/>
        <v>7200</v>
      </c>
      <c r="I188" s="15">
        <f t="shared" si="17"/>
        <v>0</v>
      </c>
      <c r="J188" s="20"/>
      <c r="K188" s="15"/>
      <c r="L188" s="15">
        <f t="shared" si="12"/>
        <v>0</v>
      </c>
      <c r="M188" s="20"/>
      <c r="N188" s="20"/>
      <c r="O188" s="15">
        <f t="shared" si="13"/>
        <v>0</v>
      </c>
      <c r="P188" s="15">
        <f t="shared" si="14"/>
        <v>0</v>
      </c>
      <c r="Q188" s="15">
        <f t="shared" si="15"/>
        <v>0</v>
      </c>
      <c r="R188" s="17">
        <v>1163</v>
      </c>
    </row>
    <row r="189" spans="1:18" ht="16.5" x14ac:dyDescent="0.25">
      <c r="A189" s="12">
        <v>1173</v>
      </c>
      <c r="B189" s="13" t="s">
        <v>196</v>
      </c>
      <c r="C189" s="13" t="s">
        <v>19</v>
      </c>
      <c r="D189" s="26">
        <v>596</v>
      </c>
      <c r="E189" s="15">
        <v>6400</v>
      </c>
      <c r="F189" s="15">
        <v>400</v>
      </c>
      <c r="G189" s="15">
        <v>400</v>
      </c>
      <c r="H189" s="15">
        <f t="shared" si="16"/>
        <v>7200</v>
      </c>
      <c r="I189" s="15">
        <f t="shared" si="17"/>
        <v>4291200</v>
      </c>
      <c r="J189" s="20"/>
      <c r="K189" s="15"/>
      <c r="L189" s="15">
        <f t="shared" si="12"/>
        <v>11920</v>
      </c>
      <c r="M189" s="20"/>
      <c r="N189" s="20"/>
      <c r="O189" s="15">
        <f t="shared" si="13"/>
        <v>149000</v>
      </c>
      <c r="P189" s="15">
        <f t="shared" si="14"/>
        <v>160920</v>
      </c>
      <c r="Q189" s="15">
        <f t="shared" si="15"/>
        <v>4130280</v>
      </c>
      <c r="R189" s="17">
        <v>1173</v>
      </c>
    </row>
    <row r="190" spans="1:18" ht="18.75" x14ac:dyDescent="0.25">
      <c r="A190" s="12">
        <v>1175</v>
      </c>
      <c r="B190" s="13" t="s">
        <v>197</v>
      </c>
      <c r="C190" s="13" t="s">
        <v>36</v>
      </c>
      <c r="D190" s="27"/>
      <c r="E190" s="15">
        <v>6400</v>
      </c>
      <c r="F190" s="15">
        <v>300</v>
      </c>
      <c r="G190" s="15">
        <v>400</v>
      </c>
      <c r="H190" s="15">
        <f t="shared" si="16"/>
        <v>7100</v>
      </c>
      <c r="I190" s="15">
        <f t="shared" si="17"/>
        <v>0</v>
      </c>
      <c r="J190" s="20"/>
      <c r="K190" s="15"/>
      <c r="L190" s="15">
        <f t="shared" si="12"/>
        <v>0</v>
      </c>
      <c r="M190" s="20"/>
      <c r="N190" s="20"/>
      <c r="O190" s="15">
        <f t="shared" si="13"/>
        <v>0</v>
      </c>
      <c r="P190" s="15">
        <f t="shared" si="14"/>
        <v>0</v>
      </c>
      <c r="Q190" s="15">
        <f t="shared" si="15"/>
        <v>0</v>
      </c>
      <c r="R190" s="17">
        <v>1175</v>
      </c>
    </row>
    <row r="191" spans="1:18" ht="16.5" x14ac:dyDescent="0.25">
      <c r="A191" s="12">
        <v>1176</v>
      </c>
      <c r="B191" s="13" t="s">
        <v>198</v>
      </c>
      <c r="C191" s="13" t="s">
        <v>47</v>
      </c>
      <c r="D191" s="19"/>
      <c r="E191" s="15">
        <v>6400</v>
      </c>
      <c r="F191" s="15">
        <v>300</v>
      </c>
      <c r="G191" s="15">
        <v>400</v>
      </c>
      <c r="H191" s="15">
        <f t="shared" si="16"/>
        <v>7100</v>
      </c>
      <c r="I191" s="15">
        <f t="shared" si="17"/>
        <v>0</v>
      </c>
      <c r="J191" s="20"/>
      <c r="K191" s="15"/>
      <c r="L191" s="15">
        <f t="shared" si="12"/>
        <v>0</v>
      </c>
      <c r="M191" s="20"/>
      <c r="N191" s="20"/>
      <c r="O191" s="15">
        <f t="shared" si="13"/>
        <v>0</v>
      </c>
      <c r="P191" s="15">
        <f t="shared" si="14"/>
        <v>0</v>
      </c>
      <c r="Q191" s="15">
        <f t="shared" si="15"/>
        <v>0</v>
      </c>
      <c r="R191" s="17">
        <v>1176</v>
      </c>
    </row>
    <row r="192" spans="1:18" ht="16.5" x14ac:dyDescent="0.25">
      <c r="A192" s="12">
        <v>1179</v>
      </c>
      <c r="B192" s="13" t="s">
        <v>199</v>
      </c>
      <c r="C192" s="13" t="s">
        <v>25</v>
      </c>
      <c r="D192" s="20"/>
      <c r="E192" s="15">
        <v>6400</v>
      </c>
      <c r="F192" s="15">
        <v>300</v>
      </c>
      <c r="G192" s="15">
        <v>400</v>
      </c>
      <c r="H192" s="15">
        <f t="shared" si="16"/>
        <v>7100</v>
      </c>
      <c r="I192" s="15">
        <f t="shared" si="17"/>
        <v>0</v>
      </c>
      <c r="J192" s="20"/>
      <c r="K192" s="15"/>
      <c r="L192" s="15">
        <f t="shared" si="12"/>
        <v>0</v>
      </c>
      <c r="M192" s="16"/>
      <c r="N192" s="16"/>
      <c r="O192" s="15">
        <f t="shared" si="13"/>
        <v>0</v>
      </c>
      <c r="P192" s="15">
        <f t="shared" si="14"/>
        <v>0</v>
      </c>
      <c r="Q192" s="15">
        <f t="shared" si="15"/>
        <v>0</v>
      </c>
      <c r="R192" s="17">
        <v>1179</v>
      </c>
    </row>
    <row r="193" spans="1:18" ht="16.5" x14ac:dyDescent="0.25">
      <c r="A193" s="12">
        <v>1186</v>
      </c>
      <c r="B193" s="13" t="s">
        <v>200</v>
      </c>
      <c r="C193" s="13" t="s">
        <v>43</v>
      </c>
      <c r="D193" s="14">
        <v>94</v>
      </c>
      <c r="E193" s="15">
        <v>6400</v>
      </c>
      <c r="F193" s="15">
        <v>500</v>
      </c>
      <c r="G193" s="15">
        <v>400</v>
      </c>
      <c r="H193" s="15">
        <f t="shared" si="16"/>
        <v>7300</v>
      </c>
      <c r="I193" s="15">
        <f t="shared" si="17"/>
        <v>686200</v>
      </c>
      <c r="J193" s="16"/>
      <c r="K193" s="15">
        <v>410000</v>
      </c>
      <c r="L193" s="15">
        <f t="shared" si="12"/>
        <v>1880</v>
      </c>
      <c r="M193" s="16"/>
      <c r="N193" s="16"/>
      <c r="O193" s="15">
        <f t="shared" si="13"/>
        <v>23500</v>
      </c>
      <c r="P193" s="15">
        <f t="shared" si="14"/>
        <v>435380</v>
      </c>
      <c r="Q193" s="15">
        <f t="shared" si="15"/>
        <v>250820</v>
      </c>
      <c r="R193" s="17">
        <v>1186</v>
      </c>
    </row>
    <row r="194" spans="1:18" ht="16.5" x14ac:dyDescent="0.25">
      <c r="A194" s="12">
        <v>1189</v>
      </c>
      <c r="B194" s="13" t="s">
        <v>201</v>
      </c>
      <c r="C194" s="13" t="s">
        <v>25</v>
      </c>
      <c r="D194" s="16"/>
      <c r="E194" s="15">
        <v>6400</v>
      </c>
      <c r="F194" s="15">
        <v>300</v>
      </c>
      <c r="G194" s="15">
        <v>400</v>
      </c>
      <c r="H194" s="15">
        <f t="shared" si="16"/>
        <v>7100</v>
      </c>
      <c r="I194" s="15">
        <f t="shared" si="17"/>
        <v>0</v>
      </c>
      <c r="J194" s="16"/>
      <c r="K194" s="15"/>
      <c r="L194" s="15">
        <f t="shared" si="12"/>
        <v>0</v>
      </c>
      <c r="M194" s="16"/>
      <c r="N194" s="16"/>
      <c r="O194" s="15">
        <f t="shared" si="13"/>
        <v>0</v>
      </c>
      <c r="P194" s="15">
        <f t="shared" si="14"/>
        <v>0</v>
      </c>
      <c r="Q194" s="15">
        <f t="shared" si="15"/>
        <v>0</v>
      </c>
      <c r="R194" s="17">
        <v>1189</v>
      </c>
    </row>
    <row r="195" spans="1:18" ht="16.5" x14ac:dyDescent="0.25">
      <c r="A195" s="12">
        <v>1190</v>
      </c>
      <c r="B195" s="13" t="s">
        <v>119</v>
      </c>
      <c r="C195" s="13" t="s">
        <v>25</v>
      </c>
      <c r="D195" s="16"/>
      <c r="E195" s="15">
        <v>6400</v>
      </c>
      <c r="F195" s="15">
        <v>400</v>
      </c>
      <c r="G195" s="15">
        <v>400</v>
      </c>
      <c r="H195" s="15">
        <f t="shared" si="16"/>
        <v>7200</v>
      </c>
      <c r="I195" s="15">
        <f t="shared" si="17"/>
        <v>0</v>
      </c>
      <c r="J195" s="16"/>
      <c r="K195" s="15"/>
      <c r="L195" s="15">
        <f t="shared" si="12"/>
        <v>0</v>
      </c>
      <c r="M195" s="16"/>
      <c r="N195" s="16"/>
      <c r="O195" s="15">
        <f t="shared" si="13"/>
        <v>0</v>
      </c>
      <c r="P195" s="15">
        <f t="shared" si="14"/>
        <v>0</v>
      </c>
      <c r="Q195" s="15">
        <f t="shared" si="15"/>
        <v>0</v>
      </c>
      <c r="R195" s="17">
        <v>1190</v>
      </c>
    </row>
    <row r="196" spans="1:18" ht="16.5" x14ac:dyDescent="0.25">
      <c r="A196" s="12">
        <v>1191</v>
      </c>
      <c r="B196" s="13" t="s">
        <v>202</v>
      </c>
      <c r="C196" s="13" t="s">
        <v>36</v>
      </c>
      <c r="D196" s="14"/>
      <c r="E196" s="15">
        <v>6400</v>
      </c>
      <c r="F196" s="15">
        <v>300</v>
      </c>
      <c r="G196" s="15">
        <v>400</v>
      </c>
      <c r="H196" s="15">
        <f t="shared" si="16"/>
        <v>7100</v>
      </c>
      <c r="I196" s="15">
        <f t="shared" si="17"/>
        <v>0</v>
      </c>
      <c r="J196" s="16"/>
      <c r="K196" s="15"/>
      <c r="L196" s="15">
        <f t="shared" si="12"/>
        <v>0</v>
      </c>
      <c r="M196" s="20"/>
      <c r="N196" s="20"/>
      <c r="O196" s="15">
        <f t="shared" si="13"/>
        <v>0</v>
      </c>
      <c r="P196" s="15">
        <f t="shared" si="14"/>
        <v>0</v>
      </c>
      <c r="Q196" s="15">
        <f t="shared" si="15"/>
        <v>0</v>
      </c>
      <c r="R196" s="17">
        <v>1191</v>
      </c>
    </row>
    <row r="197" spans="1:18" ht="16.5" x14ac:dyDescent="0.25">
      <c r="A197" s="12">
        <v>1195</v>
      </c>
      <c r="B197" s="13" t="s">
        <v>203</v>
      </c>
      <c r="C197" s="13" t="s">
        <v>43</v>
      </c>
      <c r="D197" s="19"/>
      <c r="E197" s="15">
        <v>6400</v>
      </c>
      <c r="F197" s="15">
        <v>300</v>
      </c>
      <c r="G197" s="15">
        <v>400</v>
      </c>
      <c r="H197" s="15">
        <f t="shared" si="16"/>
        <v>7100</v>
      </c>
      <c r="I197" s="15">
        <f t="shared" si="17"/>
        <v>0</v>
      </c>
      <c r="J197" s="20"/>
      <c r="K197" s="15"/>
      <c r="L197" s="15">
        <f t="shared" ref="L197:L260" si="18">D197*20</f>
        <v>0</v>
      </c>
      <c r="M197" s="16"/>
      <c r="N197" s="16"/>
      <c r="O197" s="15">
        <f t="shared" ref="O197:O260" si="19">250*D197</f>
        <v>0</v>
      </c>
      <c r="P197" s="15">
        <f t="shared" ref="P197:P260" si="20">SUM(J197:O197)</f>
        <v>0</v>
      </c>
      <c r="Q197" s="15">
        <f t="shared" ref="Q197:Q260" si="21">I197-P197</f>
        <v>0</v>
      </c>
      <c r="R197" s="17">
        <v>1195</v>
      </c>
    </row>
    <row r="198" spans="1:18" ht="16.5" x14ac:dyDescent="0.25">
      <c r="A198" s="12">
        <v>1197</v>
      </c>
      <c r="B198" s="13" t="s">
        <v>204</v>
      </c>
      <c r="C198" s="13" t="s">
        <v>25</v>
      </c>
      <c r="D198" s="16"/>
      <c r="E198" s="15">
        <v>6400</v>
      </c>
      <c r="F198" s="15">
        <v>400</v>
      </c>
      <c r="G198" s="15">
        <v>400</v>
      </c>
      <c r="H198" s="15">
        <f t="shared" ref="H198:H261" si="22">SUM(E198:G198)</f>
        <v>7200</v>
      </c>
      <c r="I198" s="15">
        <f t="shared" ref="I198:I261" si="23">H198*D198</f>
        <v>0</v>
      </c>
      <c r="J198" s="16"/>
      <c r="K198" s="15"/>
      <c r="L198" s="15">
        <f t="shared" si="18"/>
        <v>0</v>
      </c>
      <c r="M198" s="16"/>
      <c r="N198" s="16"/>
      <c r="O198" s="15">
        <f t="shared" si="19"/>
        <v>0</v>
      </c>
      <c r="P198" s="15">
        <f t="shared" si="20"/>
        <v>0</v>
      </c>
      <c r="Q198" s="15">
        <f t="shared" si="21"/>
        <v>0</v>
      </c>
      <c r="R198" s="17">
        <v>1197</v>
      </c>
    </row>
    <row r="199" spans="1:18" ht="16.5" x14ac:dyDescent="0.25">
      <c r="A199" s="12">
        <v>1208</v>
      </c>
      <c r="B199" s="13" t="s">
        <v>405</v>
      </c>
      <c r="C199" s="13" t="s">
        <v>54</v>
      </c>
      <c r="D199" s="16"/>
      <c r="E199" s="15">
        <v>6400</v>
      </c>
      <c r="F199" s="15">
        <v>300</v>
      </c>
      <c r="G199" s="15">
        <v>400</v>
      </c>
      <c r="H199" s="15">
        <f t="shared" si="22"/>
        <v>7100</v>
      </c>
      <c r="I199" s="15">
        <f t="shared" si="23"/>
        <v>0</v>
      </c>
      <c r="J199" s="16"/>
      <c r="K199" s="15"/>
      <c r="L199" s="15">
        <f t="shared" si="18"/>
        <v>0</v>
      </c>
      <c r="M199" s="16"/>
      <c r="N199" s="16"/>
      <c r="O199" s="15">
        <f t="shared" si="19"/>
        <v>0</v>
      </c>
      <c r="P199" s="15">
        <f t="shared" si="20"/>
        <v>0</v>
      </c>
      <c r="Q199" s="15">
        <f t="shared" si="21"/>
        <v>0</v>
      </c>
      <c r="R199" s="17">
        <v>1208</v>
      </c>
    </row>
    <row r="200" spans="1:18" ht="16.5" x14ac:dyDescent="0.25">
      <c r="A200" s="12">
        <v>1213</v>
      </c>
      <c r="B200" s="13" t="s">
        <v>205</v>
      </c>
      <c r="C200" s="13" t="s">
        <v>43</v>
      </c>
      <c r="D200" s="14">
        <v>7</v>
      </c>
      <c r="E200" s="15">
        <v>6400</v>
      </c>
      <c r="F200" s="15">
        <v>400</v>
      </c>
      <c r="G200" s="15">
        <v>400</v>
      </c>
      <c r="H200" s="15">
        <f t="shared" si="22"/>
        <v>7200</v>
      </c>
      <c r="I200" s="15">
        <f t="shared" si="23"/>
        <v>50400</v>
      </c>
      <c r="J200" s="16"/>
      <c r="K200" s="15">
        <v>45000</v>
      </c>
      <c r="L200" s="15">
        <f t="shared" si="18"/>
        <v>140</v>
      </c>
      <c r="M200" s="16"/>
      <c r="N200" s="16"/>
      <c r="O200" s="15">
        <f t="shared" si="19"/>
        <v>1750</v>
      </c>
      <c r="P200" s="15">
        <f t="shared" si="20"/>
        <v>46890</v>
      </c>
      <c r="Q200" s="15">
        <f t="shared" si="21"/>
        <v>3510</v>
      </c>
      <c r="R200" s="17">
        <v>1213</v>
      </c>
    </row>
    <row r="201" spans="1:18" ht="16.5" x14ac:dyDescent="0.25">
      <c r="A201" s="12">
        <v>1217</v>
      </c>
      <c r="B201" s="13" t="s">
        <v>206</v>
      </c>
      <c r="C201" s="13" t="s">
        <v>19</v>
      </c>
      <c r="D201" s="14"/>
      <c r="E201" s="15">
        <v>6400</v>
      </c>
      <c r="F201" s="15">
        <v>300</v>
      </c>
      <c r="G201" s="15">
        <v>400</v>
      </c>
      <c r="H201" s="15">
        <f t="shared" si="22"/>
        <v>7100</v>
      </c>
      <c r="I201" s="15">
        <f t="shared" si="23"/>
        <v>0</v>
      </c>
      <c r="J201" s="16"/>
      <c r="K201" s="15"/>
      <c r="L201" s="15">
        <f t="shared" si="18"/>
        <v>0</v>
      </c>
      <c r="M201" s="16"/>
      <c r="N201" s="16"/>
      <c r="O201" s="15">
        <f t="shared" si="19"/>
        <v>0</v>
      </c>
      <c r="P201" s="15">
        <f t="shared" si="20"/>
        <v>0</v>
      </c>
      <c r="Q201" s="15">
        <f t="shared" si="21"/>
        <v>0</v>
      </c>
      <c r="R201" s="17">
        <v>1217</v>
      </c>
    </row>
    <row r="202" spans="1:18" ht="16.5" x14ac:dyDescent="0.25">
      <c r="A202" s="12">
        <v>1223</v>
      </c>
      <c r="B202" s="13" t="s">
        <v>70</v>
      </c>
      <c r="C202" s="13" t="s">
        <v>16</v>
      </c>
      <c r="D202" s="14"/>
      <c r="E202" s="15">
        <v>6400</v>
      </c>
      <c r="F202" s="15">
        <v>400</v>
      </c>
      <c r="G202" s="15">
        <v>400</v>
      </c>
      <c r="H202" s="15">
        <f t="shared" si="22"/>
        <v>7200</v>
      </c>
      <c r="I202" s="15">
        <f t="shared" si="23"/>
        <v>0</v>
      </c>
      <c r="J202" s="16"/>
      <c r="K202" s="15"/>
      <c r="L202" s="15">
        <f t="shared" si="18"/>
        <v>0</v>
      </c>
      <c r="M202" s="16"/>
      <c r="N202" s="16"/>
      <c r="O202" s="15">
        <f t="shared" si="19"/>
        <v>0</v>
      </c>
      <c r="P202" s="15">
        <f t="shared" si="20"/>
        <v>0</v>
      </c>
      <c r="Q202" s="15">
        <f t="shared" si="21"/>
        <v>0</v>
      </c>
      <c r="R202" s="17">
        <v>1223</v>
      </c>
    </row>
    <row r="203" spans="1:18" ht="16.5" x14ac:dyDescent="0.25">
      <c r="A203" s="12">
        <v>1225</v>
      </c>
      <c r="B203" s="13" t="s">
        <v>207</v>
      </c>
      <c r="C203" s="13" t="s">
        <v>25</v>
      </c>
      <c r="D203" s="16">
        <v>53</v>
      </c>
      <c r="E203" s="15">
        <v>6400</v>
      </c>
      <c r="F203" s="15">
        <v>400</v>
      </c>
      <c r="G203" s="15">
        <v>400</v>
      </c>
      <c r="H203" s="15">
        <f t="shared" si="22"/>
        <v>7200</v>
      </c>
      <c r="I203" s="15">
        <f t="shared" si="23"/>
        <v>381600</v>
      </c>
      <c r="J203" s="16"/>
      <c r="K203" s="15">
        <v>205000</v>
      </c>
      <c r="L203" s="15">
        <f t="shared" si="18"/>
        <v>1060</v>
      </c>
      <c r="M203" s="20"/>
      <c r="N203" s="20"/>
      <c r="O203" s="15">
        <f t="shared" si="19"/>
        <v>13250</v>
      </c>
      <c r="P203" s="15">
        <f t="shared" si="20"/>
        <v>219310</v>
      </c>
      <c r="Q203" s="15">
        <f t="shared" si="21"/>
        <v>162290</v>
      </c>
      <c r="R203" s="17">
        <v>1225</v>
      </c>
    </row>
    <row r="204" spans="1:18" ht="16.5" x14ac:dyDescent="0.25">
      <c r="A204" s="12">
        <v>1229</v>
      </c>
      <c r="B204" s="13" t="s">
        <v>208</v>
      </c>
      <c r="C204" s="13" t="s">
        <v>47</v>
      </c>
      <c r="D204" s="19"/>
      <c r="E204" s="15">
        <v>6400</v>
      </c>
      <c r="F204" s="15">
        <v>300</v>
      </c>
      <c r="G204" s="15">
        <v>400</v>
      </c>
      <c r="H204" s="15">
        <f t="shared" si="22"/>
        <v>7100</v>
      </c>
      <c r="I204" s="15">
        <f t="shared" si="23"/>
        <v>0</v>
      </c>
      <c r="J204" s="20"/>
      <c r="K204" s="15"/>
      <c r="L204" s="15">
        <f t="shared" si="18"/>
        <v>0</v>
      </c>
      <c r="M204" s="16"/>
      <c r="N204" s="16"/>
      <c r="O204" s="15">
        <f t="shared" si="19"/>
        <v>0</v>
      </c>
      <c r="P204" s="15">
        <f t="shared" si="20"/>
        <v>0</v>
      </c>
      <c r="Q204" s="15">
        <f t="shared" si="21"/>
        <v>0</v>
      </c>
      <c r="R204" s="17">
        <v>1229</v>
      </c>
    </row>
    <row r="205" spans="1:18" ht="16.5" x14ac:dyDescent="0.25">
      <c r="A205" s="12">
        <v>1230</v>
      </c>
      <c r="B205" s="13" t="s">
        <v>209</v>
      </c>
      <c r="C205" s="13" t="s">
        <v>54</v>
      </c>
      <c r="D205" s="14"/>
      <c r="E205" s="15">
        <v>6400</v>
      </c>
      <c r="F205" s="15">
        <v>300</v>
      </c>
      <c r="G205" s="15">
        <v>400</v>
      </c>
      <c r="H205" s="15">
        <f t="shared" si="22"/>
        <v>7100</v>
      </c>
      <c r="I205" s="15">
        <f t="shared" si="23"/>
        <v>0</v>
      </c>
      <c r="J205" s="16"/>
      <c r="K205" s="15"/>
      <c r="L205" s="15">
        <f t="shared" si="18"/>
        <v>0</v>
      </c>
      <c r="M205" s="16"/>
      <c r="N205" s="16"/>
      <c r="O205" s="15">
        <f t="shared" si="19"/>
        <v>0</v>
      </c>
      <c r="P205" s="15">
        <f t="shared" si="20"/>
        <v>0</v>
      </c>
      <c r="Q205" s="15">
        <f t="shared" si="21"/>
        <v>0</v>
      </c>
      <c r="R205" s="17">
        <v>1230</v>
      </c>
    </row>
    <row r="206" spans="1:18" ht="16.5" x14ac:dyDescent="0.25">
      <c r="A206" s="12">
        <v>1236</v>
      </c>
      <c r="B206" s="13" t="s">
        <v>210</v>
      </c>
      <c r="C206" s="13" t="s">
        <v>54</v>
      </c>
      <c r="D206" s="14"/>
      <c r="E206" s="15">
        <v>6400</v>
      </c>
      <c r="F206" s="15">
        <v>500</v>
      </c>
      <c r="G206" s="15">
        <v>400</v>
      </c>
      <c r="H206" s="15">
        <f t="shared" si="22"/>
        <v>7300</v>
      </c>
      <c r="I206" s="15">
        <f t="shared" si="23"/>
        <v>0</v>
      </c>
      <c r="J206" s="16"/>
      <c r="K206" s="15"/>
      <c r="L206" s="15">
        <f t="shared" si="18"/>
        <v>0</v>
      </c>
      <c r="M206" s="16"/>
      <c r="N206" s="16"/>
      <c r="O206" s="15">
        <f t="shared" si="19"/>
        <v>0</v>
      </c>
      <c r="P206" s="15">
        <f t="shared" si="20"/>
        <v>0</v>
      </c>
      <c r="Q206" s="15">
        <f t="shared" si="21"/>
        <v>0</v>
      </c>
      <c r="R206" s="17">
        <v>1236</v>
      </c>
    </row>
    <row r="207" spans="1:18" ht="16.5" x14ac:dyDescent="0.25">
      <c r="A207" s="12">
        <v>1239</v>
      </c>
      <c r="B207" s="13" t="s">
        <v>211</v>
      </c>
      <c r="C207" s="13" t="s">
        <v>43</v>
      </c>
      <c r="D207" s="14"/>
      <c r="E207" s="15">
        <v>6400</v>
      </c>
      <c r="F207" s="15">
        <v>400</v>
      </c>
      <c r="G207" s="15">
        <v>400</v>
      </c>
      <c r="H207" s="15">
        <f t="shared" si="22"/>
        <v>7200</v>
      </c>
      <c r="I207" s="15">
        <f t="shared" si="23"/>
        <v>0</v>
      </c>
      <c r="J207" s="16"/>
      <c r="K207" s="15"/>
      <c r="L207" s="15">
        <f t="shared" si="18"/>
        <v>0</v>
      </c>
      <c r="M207" s="16"/>
      <c r="N207" s="16"/>
      <c r="O207" s="15">
        <f t="shared" si="19"/>
        <v>0</v>
      </c>
      <c r="P207" s="15">
        <f t="shared" si="20"/>
        <v>0</v>
      </c>
      <c r="Q207" s="15">
        <f t="shared" si="21"/>
        <v>0</v>
      </c>
      <c r="R207" s="17">
        <v>1239</v>
      </c>
    </row>
    <row r="208" spans="1:18" ht="16.5" x14ac:dyDescent="0.25">
      <c r="A208" s="12">
        <v>1240</v>
      </c>
      <c r="B208" s="13" t="s">
        <v>212</v>
      </c>
      <c r="C208" s="13" t="s">
        <v>47</v>
      </c>
      <c r="D208" s="14"/>
      <c r="E208" s="15">
        <v>6400</v>
      </c>
      <c r="F208" s="15">
        <v>300</v>
      </c>
      <c r="G208" s="15">
        <v>400</v>
      </c>
      <c r="H208" s="15">
        <f t="shared" si="22"/>
        <v>7100</v>
      </c>
      <c r="I208" s="15">
        <f t="shared" si="23"/>
        <v>0</v>
      </c>
      <c r="J208" s="16"/>
      <c r="K208" s="15"/>
      <c r="L208" s="15">
        <f t="shared" si="18"/>
        <v>0</v>
      </c>
      <c r="M208" s="16"/>
      <c r="N208" s="16"/>
      <c r="O208" s="15">
        <f t="shared" si="19"/>
        <v>0</v>
      </c>
      <c r="P208" s="15">
        <f t="shared" si="20"/>
        <v>0</v>
      </c>
      <c r="Q208" s="15">
        <f t="shared" si="21"/>
        <v>0</v>
      </c>
      <c r="R208" s="17">
        <v>1240</v>
      </c>
    </row>
    <row r="209" spans="1:18" ht="16.5" x14ac:dyDescent="0.25">
      <c r="A209" s="12">
        <v>1242</v>
      </c>
      <c r="B209" s="13" t="s">
        <v>213</v>
      </c>
      <c r="C209" s="13" t="s">
        <v>30</v>
      </c>
      <c r="D209" s="14"/>
      <c r="E209" s="15">
        <v>6400</v>
      </c>
      <c r="F209" s="15">
        <v>300</v>
      </c>
      <c r="G209" s="15">
        <v>400</v>
      </c>
      <c r="H209" s="15">
        <f t="shared" si="22"/>
        <v>7100</v>
      </c>
      <c r="I209" s="15">
        <f t="shared" si="23"/>
        <v>0</v>
      </c>
      <c r="J209" s="16"/>
      <c r="K209" s="15"/>
      <c r="L209" s="15">
        <f t="shared" si="18"/>
        <v>0</v>
      </c>
      <c r="M209" s="16"/>
      <c r="N209" s="16"/>
      <c r="O209" s="15">
        <f t="shared" si="19"/>
        <v>0</v>
      </c>
      <c r="P209" s="15">
        <f t="shared" si="20"/>
        <v>0</v>
      </c>
      <c r="Q209" s="15">
        <f t="shared" si="21"/>
        <v>0</v>
      </c>
      <c r="R209" s="17">
        <v>1242</v>
      </c>
    </row>
    <row r="210" spans="1:18" ht="16.5" x14ac:dyDescent="0.25">
      <c r="A210" s="12">
        <v>1243</v>
      </c>
      <c r="B210" s="13" t="s">
        <v>214</v>
      </c>
      <c r="C210" s="13" t="s">
        <v>30</v>
      </c>
      <c r="D210" s="14"/>
      <c r="E210" s="15">
        <v>6400</v>
      </c>
      <c r="F210" s="15">
        <v>300</v>
      </c>
      <c r="G210" s="15">
        <v>400</v>
      </c>
      <c r="H210" s="15">
        <f t="shared" si="22"/>
        <v>7100</v>
      </c>
      <c r="I210" s="15">
        <f t="shared" si="23"/>
        <v>0</v>
      </c>
      <c r="J210" s="16"/>
      <c r="K210" s="15"/>
      <c r="L210" s="15">
        <f t="shared" si="18"/>
        <v>0</v>
      </c>
      <c r="M210" s="16"/>
      <c r="N210" s="16"/>
      <c r="O210" s="15">
        <f t="shared" si="19"/>
        <v>0</v>
      </c>
      <c r="P210" s="15">
        <f t="shared" si="20"/>
        <v>0</v>
      </c>
      <c r="Q210" s="15">
        <f t="shared" si="21"/>
        <v>0</v>
      </c>
      <c r="R210" s="17">
        <v>1243</v>
      </c>
    </row>
    <row r="211" spans="1:18" ht="16.5" x14ac:dyDescent="0.25">
      <c r="A211" s="12">
        <v>1244</v>
      </c>
      <c r="B211" s="13" t="s">
        <v>215</v>
      </c>
      <c r="C211" s="13" t="s">
        <v>30</v>
      </c>
      <c r="D211" s="14">
        <v>119</v>
      </c>
      <c r="E211" s="15">
        <v>6400</v>
      </c>
      <c r="F211" s="15">
        <v>500</v>
      </c>
      <c r="G211" s="15">
        <v>400</v>
      </c>
      <c r="H211" s="15">
        <f t="shared" si="22"/>
        <v>7300</v>
      </c>
      <c r="I211" s="15">
        <f t="shared" si="23"/>
        <v>868700</v>
      </c>
      <c r="J211" s="16"/>
      <c r="K211" s="15">
        <v>410000</v>
      </c>
      <c r="L211" s="15">
        <f t="shared" si="18"/>
        <v>2380</v>
      </c>
      <c r="M211" s="16"/>
      <c r="N211" s="16"/>
      <c r="O211" s="15">
        <f t="shared" si="19"/>
        <v>29750</v>
      </c>
      <c r="P211" s="15">
        <f t="shared" si="20"/>
        <v>442130</v>
      </c>
      <c r="Q211" s="15">
        <f t="shared" si="21"/>
        <v>426570</v>
      </c>
      <c r="R211" s="17">
        <v>1244</v>
      </c>
    </row>
    <row r="212" spans="1:18" ht="16.5" x14ac:dyDescent="0.25">
      <c r="A212" s="12">
        <v>1245</v>
      </c>
      <c r="B212" s="13" t="s">
        <v>216</v>
      </c>
      <c r="C212" s="13" t="s">
        <v>21</v>
      </c>
      <c r="D212" s="14"/>
      <c r="E212" s="15">
        <v>6400</v>
      </c>
      <c r="F212" s="15">
        <v>300</v>
      </c>
      <c r="G212" s="15">
        <v>400</v>
      </c>
      <c r="H212" s="15">
        <f t="shared" si="22"/>
        <v>7100</v>
      </c>
      <c r="I212" s="15">
        <f t="shared" si="23"/>
        <v>0</v>
      </c>
      <c r="J212" s="16"/>
      <c r="K212" s="15"/>
      <c r="L212" s="15">
        <f t="shared" si="18"/>
        <v>0</v>
      </c>
      <c r="M212" s="16"/>
      <c r="N212" s="16"/>
      <c r="O212" s="15">
        <f t="shared" si="19"/>
        <v>0</v>
      </c>
      <c r="P212" s="15">
        <f t="shared" si="20"/>
        <v>0</v>
      </c>
      <c r="Q212" s="15">
        <f t="shared" si="21"/>
        <v>0</v>
      </c>
      <c r="R212" s="17">
        <v>1245</v>
      </c>
    </row>
    <row r="213" spans="1:18" ht="16.5" x14ac:dyDescent="0.25">
      <c r="A213" s="12">
        <v>1247</v>
      </c>
      <c r="B213" s="13" t="s">
        <v>217</v>
      </c>
      <c r="C213" s="13" t="s">
        <v>138</v>
      </c>
      <c r="D213" s="14"/>
      <c r="E213" s="15">
        <v>6400</v>
      </c>
      <c r="F213" s="15">
        <v>400</v>
      </c>
      <c r="G213" s="15">
        <v>400</v>
      </c>
      <c r="H213" s="15">
        <f t="shared" si="22"/>
        <v>7200</v>
      </c>
      <c r="I213" s="15">
        <f t="shared" si="23"/>
        <v>0</v>
      </c>
      <c r="J213" s="16"/>
      <c r="K213" s="15"/>
      <c r="L213" s="15">
        <f t="shared" si="18"/>
        <v>0</v>
      </c>
      <c r="M213" s="16"/>
      <c r="N213" s="16"/>
      <c r="O213" s="15">
        <f t="shared" si="19"/>
        <v>0</v>
      </c>
      <c r="P213" s="15">
        <f t="shared" si="20"/>
        <v>0</v>
      </c>
      <c r="Q213" s="15">
        <f t="shared" si="21"/>
        <v>0</v>
      </c>
      <c r="R213" s="17">
        <v>1247</v>
      </c>
    </row>
    <row r="214" spans="1:18" ht="16.5" x14ac:dyDescent="0.25">
      <c r="A214" s="12">
        <v>1248</v>
      </c>
      <c r="B214" s="13" t="s">
        <v>216</v>
      </c>
      <c r="C214" s="13" t="s">
        <v>43</v>
      </c>
      <c r="D214" s="14"/>
      <c r="E214" s="15">
        <v>6400</v>
      </c>
      <c r="F214" s="15">
        <v>300</v>
      </c>
      <c r="G214" s="15">
        <v>400</v>
      </c>
      <c r="H214" s="15">
        <f t="shared" si="22"/>
        <v>7100</v>
      </c>
      <c r="I214" s="15">
        <f t="shared" si="23"/>
        <v>0</v>
      </c>
      <c r="J214" s="16"/>
      <c r="K214" s="15"/>
      <c r="L214" s="15">
        <f t="shared" si="18"/>
        <v>0</v>
      </c>
      <c r="M214" s="16"/>
      <c r="N214" s="16"/>
      <c r="O214" s="15">
        <f t="shared" si="19"/>
        <v>0</v>
      </c>
      <c r="P214" s="15">
        <f t="shared" si="20"/>
        <v>0</v>
      </c>
      <c r="Q214" s="15">
        <f t="shared" si="21"/>
        <v>0</v>
      </c>
      <c r="R214" s="17">
        <v>1248</v>
      </c>
    </row>
    <row r="215" spans="1:18" ht="16.5" x14ac:dyDescent="0.25">
      <c r="A215" s="12">
        <v>1250</v>
      </c>
      <c r="B215" s="13" t="s">
        <v>218</v>
      </c>
      <c r="C215" s="13" t="s">
        <v>25</v>
      </c>
      <c r="D215" s="14"/>
      <c r="E215" s="15">
        <v>6400</v>
      </c>
      <c r="F215" s="15">
        <v>300</v>
      </c>
      <c r="G215" s="15">
        <v>400</v>
      </c>
      <c r="H215" s="15">
        <f t="shared" si="22"/>
        <v>7100</v>
      </c>
      <c r="I215" s="15">
        <f t="shared" si="23"/>
        <v>0</v>
      </c>
      <c r="J215" s="16"/>
      <c r="K215" s="15"/>
      <c r="L215" s="15">
        <f t="shared" si="18"/>
        <v>0</v>
      </c>
      <c r="M215" s="16"/>
      <c r="N215" s="16"/>
      <c r="O215" s="15">
        <f t="shared" si="19"/>
        <v>0</v>
      </c>
      <c r="P215" s="15">
        <f t="shared" si="20"/>
        <v>0</v>
      </c>
      <c r="Q215" s="15">
        <f t="shared" si="21"/>
        <v>0</v>
      </c>
      <c r="R215" s="17">
        <v>1250</v>
      </c>
    </row>
    <row r="216" spans="1:18" ht="16.5" x14ac:dyDescent="0.25">
      <c r="A216" s="12">
        <v>1251</v>
      </c>
      <c r="B216" s="13" t="s">
        <v>219</v>
      </c>
      <c r="C216" s="13" t="s">
        <v>25</v>
      </c>
      <c r="D216" s="14"/>
      <c r="E216" s="15">
        <v>6400</v>
      </c>
      <c r="F216" s="15">
        <v>300</v>
      </c>
      <c r="G216" s="15">
        <v>400</v>
      </c>
      <c r="H216" s="15">
        <f t="shared" si="22"/>
        <v>7100</v>
      </c>
      <c r="I216" s="15">
        <f t="shared" si="23"/>
        <v>0</v>
      </c>
      <c r="J216" s="16"/>
      <c r="K216" s="15"/>
      <c r="L216" s="15">
        <f t="shared" si="18"/>
        <v>0</v>
      </c>
      <c r="M216" s="20"/>
      <c r="N216" s="20"/>
      <c r="O216" s="15">
        <f t="shared" si="19"/>
        <v>0</v>
      </c>
      <c r="P216" s="15">
        <f t="shared" si="20"/>
        <v>0</v>
      </c>
      <c r="Q216" s="15">
        <f t="shared" si="21"/>
        <v>0</v>
      </c>
      <c r="R216" s="17">
        <v>1251</v>
      </c>
    </row>
    <row r="217" spans="1:18" ht="16.5" x14ac:dyDescent="0.25">
      <c r="A217" s="12">
        <v>1252</v>
      </c>
      <c r="B217" s="13" t="s">
        <v>220</v>
      </c>
      <c r="C217" s="13" t="s">
        <v>16</v>
      </c>
      <c r="D217" s="26"/>
      <c r="E217" s="15">
        <v>6400</v>
      </c>
      <c r="F217" s="15">
        <v>300</v>
      </c>
      <c r="G217" s="15">
        <v>400</v>
      </c>
      <c r="H217" s="15">
        <f t="shared" si="22"/>
        <v>7100</v>
      </c>
      <c r="I217" s="15">
        <f t="shared" si="23"/>
        <v>0</v>
      </c>
      <c r="J217" s="20"/>
      <c r="K217" s="15"/>
      <c r="L217" s="15">
        <f t="shared" si="18"/>
        <v>0</v>
      </c>
      <c r="M217" s="16"/>
      <c r="N217" s="16"/>
      <c r="O217" s="15">
        <f t="shared" si="19"/>
        <v>0</v>
      </c>
      <c r="P217" s="15">
        <f t="shared" si="20"/>
        <v>0</v>
      </c>
      <c r="Q217" s="15">
        <f t="shared" si="21"/>
        <v>0</v>
      </c>
      <c r="R217" s="17">
        <v>1252</v>
      </c>
    </row>
    <row r="218" spans="1:18" ht="16.5" x14ac:dyDescent="0.25">
      <c r="A218" s="12">
        <v>1256</v>
      </c>
      <c r="B218" s="13" t="s">
        <v>221</v>
      </c>
      <c r="C218" s="13" t="s">
        <v>138</v>
      </c>
      <c r="D218" s="14">
        <v>60</v>
      </c>
      <c r="E218" s="15">
        <v>6400</v>
      </c>
      <c r="F218" s="15">
        <v>400</v>
      </c>
      <c r="G218" s="15">
        <v>400</v>
      </c>
      <c r="H218" s="15">
        <f t="shared" si="22"/>
        <v>7200</v>
      </c>
      <c r="I218" s="15">
        <f t="shared" si="23"/>
        <v>432000</v>
      </c>
      <c r="J218" s="16"/>
      <c r="K218" s="15">
        <v>410000</v>
      </c>
      <c r="L218" s="15">
        <f t="shared" si="18"/>
        <v>1200</v>
      </c>
      <c r="M218" s="20"/>
      <c r="N218" s="20"/>
      <c r="O218" s="15">
        <f t="shared" si="19"/>
        <v>15000</v>
      </c>
      <c r="P218" s="15">
        <f t="shared" si="20"/>
        <v>426200</v>
      </c>
      <c r="Q218" s="15">
        <f t="shared" si="21"/>
        <v>5800</v>
      </c>
      <c r="R218" s="17">
        <v>1256</v>
      </c>
    </row>
    <row r="219" spans="1:18" ht="16.5" x14ac:dyDescent="0.25">
      <c r="A219" s="12">
        <v>1262</v>
      </c>
      <c r="B219" s="13" t="s">
        <v>222</v>
      </c>
      <c r="C219" s="13" t="s">
        <v>138</v>
      </c>
      <c r="D219" s="19"/>
      <c r="E219" s="15">
        <v>6400</v>
      </c>
      <c r="F219" s="15">
        <v>300</v>
      </c>
      <c r="G219" s="15">
        <v>400</v>
      </c>
      <c r="H219" s="15">
        <f t="shared" si="22"/>
        <v>7100</v>
      </c>
      <c r="I219" s="15">
        <f t="shared" si="23"/>
        <v>0</v>
      </c>
      <c r="J219" s="20"/>
      <c r="K219" s="15"/>
      <c r="L219" s="15">
        <f t="shared" si="18"/>
        <v>0</v>
      </c>
      <c r="M219" s="16"/>
      <c r="N219" s="16"/>
      <c r="O219" s="15">
        <f t="shared" si="19"/>
        <v>0</v>
      </c>
      <c r="P219" s="15">
        <f t="shared" si="20"/>
        <v>0</v>
      </c>
      <c r="Q219" s="15">
        <f t="shared" si="21"/>
        <v>0</v>
      </c>
      <c r="R219" s="17">
        <v>1262</v>
      </c>
    </row>
    <row r="220" spans="1:18" ht="16.5" x14ac:dyDescent="0.25">
      <c r="A220" s="12">
        <v>1263</v>
      </c>
      <c r="B220" s="13" t="s">
        <v>223</v>
      </c>
      <c r="C220" s="13" t="s">
        <v>25</v>
      </c>
      <c r="D220" s="14">
        <v>70</v>
      </c>
      <c r="E220" s="15">
        <v>6400</v>
      </c>
      <c r="F220" s="15">
        <v>400</v>
      </c>
      <c r="G220" s="15">
        <v>400</v>
      </c>
      <c r="H220" s="15">
        <f t="shared" si="22"/>
        <v>7200</v>
      </c>
      <c r="I220" s="15">
        <f t="shared" si="23"/>
        <v>504000</v>
      </c>
      <c r="J220" s="16"/>
      <c r="K220" s="15">
        <v>410000</v>
      </c>
      <c r="L220" s="15">
        <f t="shared" si="18"/>
        <v>1400</v>
      </c>
      <c r="M220" s="16"/>
      <c r="N220" s="16"/>
      <c r="O220" s="15">
        <f t="shared" si="19"/>
        <v>17500</v>
      </c>
      <c r="P220" s="15">
        <f t="shared" si="20"/>
        <v>428900</v>
      </c>
      <c r="Q220" s="15">
        <f t="shared" si="21"/>
        <v>75100</v>
      </c>
      <c r="R220" s="17">
        <v>1263</v>
      </c>
    </row>
    <row r="221" spans="1:18" ht="16.5" x14ac:dyDescent="0.25">
      <c r="A221" s="12">
        <v>1264</v>
      </c>
      <c r="B221" s="13" t="s">
        <v>224</v>
      </c>
      <c r="C221" s="13" t="s">
        <v>82</v>
      </c>
      <c r="D221" s="16"/>
      <c r="E221" s="15">
        <v>6400</v>
      </c>
      <c r="F221" s="15">
        <v>300</v>
      </c>
      <c r="G221" s="15">
        <v>400</v>
      </c>
      <c r="H221" s="15">
        <f t="shared" si="22"/>
        <v>7100</v>
      </c>
      <c r="I221" s="15">
        <f t="shared" si="23"/>
        <v>0</v>
      </c>
      <c r="J221" s="16"/>
      <c r="K221" s="15"/>
      <c r="L221" s="15">
        <f t="shared" si="18"/>
        <v>0</v>
      </c>
      <c r="M221" s="16"/>
      <c r="N221" s="16"/>
      <c r="O221" s="15">
        <f t="shared" si="19"/>
        <v>0</v>
      </c>
      <c r="P221" s="15">
        <f t="shared" si="20"/>
        <v>0</v>
      </c>
      <c r="Q221" s="15">
        <f t="shared" si="21"/>
        <v>0</v>
      </c>
      <c r="R221" s="17">
        <v>1264</v>
      </c>
    </row>
    <row r="222" spans="1:18" ht="16.5" x14ac:dyDescent="0.25">
      <c r="A222" s="12">
        <v>1265</v>
      </c>
      <c r="B222" s="13" t="s">
        <v>31</v>
      </c>
      <c r="C222" s="13" t="s">
        <v>30</v>
      </c>
      <c r="D222" s="14">
        <v>45</v>
      </c>
      <c r="E222" s="15">
        <v>6400</v>
      </c>
      <c r="F222" s="15">
        <v>500</v>
      </c>
      <c r="G222" s="15">
        <v>400</v>
      </c>
      <c r="H222" s="15">
        <f t="shared" si="22"/>
        <v>7300</v>
      </c>
      <c r="I222" s="15">
        <f t="shared" si="23"/>
        <v>328500</v>
      </c>
      <c r="J222" s="16"/>
      <c r="K222" s="15">
        <v>205000</v>
      </c>
      <c r="L222" s="15">
        <f t="shared" si="18"/>
        <v>900</v>
      </c>
      <c r="M222" s="16"/>
      <c r="N222" s="16"/>
      <c r="O222" s="15">
        <f t="shared" si="19"/>
        <v>11250</v>
      </c>
      <c r="P222" s="15">
        <f t="shared" si="20"/>
        <v>217150</v>
      </c>
      <c r="Q222" s="15">
        <f t="shared" si="21"/>
        <v>111350</v>
      </c>
      <c r="R222" s="17">
        <v>1265</v>
      </c>
    </row>
    <row r="223" spans="1:18" ht="16.5" x14ac:dyDescent="0.25">
      <c r="A223" s="12">
        <v>1266</v>
      </c>
      <c r="B223" s="13" t="s">
        <v>225</v>
      </c>
      <c r="C223" s="13" t="s">
        <v>25</v>
      </c>
      <c r="D223" s="14"/>
      <c r="E223" s="15">
        <v>6400</v>
      </c>
      <c r="F223" s="15">
        <v>400</v>
      </c>
      <c r="G223" s="15">
        <v>400</v>
      </c>
      <c r="H223" s="15">
        <f t="shared" si="22"/>
        <v>7200</v>
      </c>
      <c r="I223" s="15">
        <f t="shared" si="23"/>
        <v>0</v>
      </c>
      <c r="J223" s="20"/>
      <c r="K223" s="15"/>
      <c r="L223" s="15">
        <f t="shared" si="18"/>
        <v>0</v>
      </c>
      <c r="M223" s="16"/>
      <c r="N223" s="16"/>
      <c r="O223" s="15">
        <f t="shared" si="19"/>
        <v>0</v>
      </c>
      <c r="P223" s="15">
        <f t="shared" si="20"/>
        <v>0</v>
      </c>
      <c r="Q223" s="15">
        <f t="shared" si="21"/>
        <v>0</v>
      </c>
      <c r="R223" s="17">
        <v>1266</v>
      </c>
    </row>
    <row r="224" spans="1:18" ht="16.5" x14ac:dyDescent="0.25">
      <c r="A224" s="12">
        <v>1269</v>
      </c>
      <c r="B224" s="13" t="s">
        <v>226</v>
      </c>
      <c r="C224" s="13" t="s">
        <v>21</v>
      </c>
      <c r="D224" s="14"/>
      <c r="E224" s="15">
        <v>6400</v>
      </c>
      <c r="F224" s="15">
        <v>300</v>
      </c>
      <c r="G224" s="15">
        <v>400</v>
      </c>
      <c r="H224" s="15">
        <f t="shared" si="22"/>
        <v>7100</v>
      </c>
      <c r="I224" s="15">
        <f t="shared" si="23"/>
        <v>0</v>
      </c>
      <c r="J224" s="16"/>
      <c r="K224" s="15"/>
      <c r="L224" s="15">
        <f t="shared" si="18"/>
        <v>0</v>
      </c>
      <c r="M224" s="16"/>
      <c r="N224" s="16"/>
      <c r="O224" s="15">
        <f t="shared" si="19"/>
        <v>0</v>
      </c>
      <c r="P224" s="15">
        <f t="shared" si="20"/>
        <v>0</v>
      </c>
      <c r="Q224" s="15">
        <f t="shared" si="21"/>
        <v>0</v>
      </c>
      <c r="R224" s="17">
        <v>1269</v>
      </c>
    </row>
    <row r="225" spans="1:18" ht="16.5" x14ac:dyDescent="0.25">
      <c r="A225" s="12">
        <v>1271</v>
      </c>
      <c r="B225" s="13" t="s">
        <v>227</v>
      </c>
      <c r="C225" s="13" t="s">
        <v>25</v>
      </c>
      <c r="D225" s="14">
        <v>121</v>
      </c>
      <c r="E225" s="15">
        <v>6400</v>
      </c>
      <c r="F225" s="15">
        <v>500</v>
      </c>
      <c r="G225" s="15">
        <v>400</v>
      </c>
      <c r="H225" s="15">
        <f t="shared" si="22"/>
        <v>7300</v>
      </c>
      <c r="I225" s="15">
        <f t="shared" si="23"/>
        <v>883300</v>
      </c>
      <c r="J225" s="16"/>
      <c r="K225" s="15">
        <v>410000</v>
      </c>
      <c r="L225" s="15">
        <f t="shared" si="18"/>
        <v>2420</v>
      </c>
      <c r="M225" s="20"/>
      <c r="N225" s="20"/>
      <c r="O225" s="15">
        <f t="shared" si="19"/>
        <v>30250</v>
      </c>
      <c r="P225" s="15">
        <f t="shared" si="20"/>
        <v>442670</v>
      </c>
      <c r="Q225" s="15">
        <f t="shared" si="21"/>
        <v>440630</v>
      </c>
      <c r="R225" s="17">
        <v>1271</v>
      </c>
    </row>
    <row r="226" spans="1:18" ht="16.5" x14ac:dyDescent="0.25">
      <c r="A226" s="12">
        <v>1273</v>
      </c>
      <c r="B226" s="13" t="s">
        <v>228</v>
      </c>
      <c r="C226" s="13" t="s">
        <v>30</v>
      </c>
      <c r="D226" s="19"/>
      <c r="E226" s="15">
        <v>6400</v>
      </c>
      <c r="F226" s="15">
        <v>400</v>
      </c>
      <c r="G226" s="15">
        <v>400</v>
      </c>
      <c r="H226" s="15">
        <f t="shared" si="22"/>
        <v>7200</v>
      </c>
      <c r="I226" s="15">
        <f t="shared" si="23"/>
        <v>0</v>
      </c>
      <c r="J226" s="20"/>
      <c r="K226" s="15"/>
      <c r="L226" s="15">
        <f t="shared" si="18"/>
        <v>0</v>
      </c>
      <c r="M226" s="16"/>
      <c r="N226" s="16"/>
      <c r="O226" s="15">
        <f t="shared" si="19"/>
        <v>0</v>
      </c>
      <c r="P226" s="15">
        <f t="shared" si="20"/>
        <v>0</v>
      </c>
      <c r="Q226" s="15">
        <f t="shared" si="21"/>
        <v>0</v>
      </c>
      <c r="R226" s="17">
        <v>1273</v>
      </c>
    </row>
    <row r="227" spans="1:18" ht="16.5" x14ac:dyDescent="0.25">
      <c r="A227" s="12">
        <v>1276</v>
      </c>
      <c r="B227" s="13" t="s">
        <v>65</v>
      </c>
      <c r="C227" s="13" t="s">
        <v>17</v>
      </c>
      <c r="D227" s="14"/>
      <c r="E227" s="15">
        <v>6400</v>
      </c>
      <c r="F227" s="15">
        <v>400</v>
      </c>
      <c r="G227" s="15">
        <v>400</v>
      </c>
      <c r="H227" s="15">
        <f t="shared" si="22"/>
        <v>7200</v>
      </c>
      <c r="I227" s="15">
        <f t="shared" si="23"/>
        <v>0</v>
      </c>
      <c r="J227" s="16"/>
      <c r="K227" s="15"/>
      <c r="L227" s="15">
        <f t="shared" si="18"/>
        <v>0</v>
      </c>
      <c r="M227" s="16"/>
      <c r="N227" s="16"/>
      <c r="O227" s="15">
        <f t="shared" si="19"/>
        <v>0</v>
      </c>
      <c r="P227" s="15">
        <f t="shared" si="20"/>
        <v>0</v>
      </c>
      <c r="Q227" s="15">
        <f t="shared" si="21"/>
        <v>0</v>
      </c>
      <c r="R227" s="17">
        <v>1276</v>
      </c>
    </row>
    <row r="228" spans="1:18" ht="16.5" x14ac:dyDescent="0.25">
      <c r="A228" s="12">
        <v>1279</v>
      </c>
      <c r="B228" s="13" t="s">
        <v>122</v>
      </c>
      <c r="C228" s="13" t="s">
        <v>43</v>
      </c>
      <c r="D228" s="14">
        <v>169</v>
      </c>
      <c r="E228" s="15">
        <v>6400</v>
      </c>
      <c r="F228" s="15">
        <v>600</v>
      </c>
      <c r="G228" s="15">
        <v>400</v>
      </c>
      <c r="H228" s="15">
        <f t="shared" si="22"/>
        <v>7400</v>
      </c>
      <c r="I228" s="15">
        <f t="shared" si="23"/>
        <v>1250600</v>
      </c>
      <c r="J228" s="16"/>
      <c r="K228" s="15">
        <v>615000</v>
      </c>
      <c r="L228" s="15">
        <f t="shared" si="18"/>
        <v>3380</v>
      </c>
      <c r="M228" s="20"/>
      <c r="N228" s="20"/>
      <c r="O228" s="15">
        <f t="shared" si="19"/>
        <v>42250</v>
      </c>
      <c r="P228" s="15">
        <f t="shared" si="20"/>
        <v>660630</v>
      </c>
      <c r="Q228" s="15">
        <f t="shared" si="21"/>
        <v>589970</v>
      </c>
      <c r="R228" s="17">
        <v>1279</v>
      </c>
    </row>
    <row r="229" spans="1:18" ht="16.5" x14ac:dyDescent="0.25">
      <c r="A229" s="12">
        <v>1280</v>
      </c>
      <c r="B229" s="13" t="s">
        <v>229</v>
      </c>
      <c r="C229" s="13" t="s">
        <v>43</v>
      </c>
      <c r="D229" s="19"/>
      <c r="E229" s="15">
        <v>6400</v>
      </c>
      <c r="F229" s="15">
        <v>300</v>
      </c>
      <c r="G229" s="15">
        <v>400</v>
      </c>
      <c r="H229" s="15">
        <f t="shared" si="22"/>
        <v>7100</v>
      </c>
      <c r="I229" s="15">
        <f t="shared" si="23"/>
        <v>0</v>
      </c>
      <c r="J229" s="20"/>
      <c r="K229" s="15"/>
      <c r="L229" s="15">
        <f t="shared" si="18"/>
        <v>0</v>
      </c>
      <c r="M229" s="16"/>
      <c r="N229" s="16"/>
      <c r="O229" s="15">
        <f t="shared" si="19"/>
        <v>0</v>
      </c>
      <c r="P229" s="15">
        <f t="shared" si="20"/>
        <v>0</v>
      </c>
      <c r="Q229" s="15">
        <f t="shared" si="21"/>
        <v>0</v>
      </c>
      <c r="R229" s="17">
        <v>1280</v>
      </c>
    </row>
    <row r="230" spans="1:18" ht="16.5" x14ac:dyDescent="0.25">
      <c r="A230" s="12">
        <v>1282</v>
      </c>
      <c r="B230" s="13" t="s">
        <v>230</v>
      </c>
      <c r="C230" s="13" t="s">
        <v>23</v>
      </c>
      <c r="D230" s="14"/>
      <c r="E230" s="15">
        <v>6400</v>
      </c>
      <c r="F230" s="15">
        <v>300</v>
      </c>
      <c r="G230" s="15">
        <v>400</v>
      </c>
      <c r="H230" s="15">
        <f t="shared" si="22"/>
        <v>7100</v>
      </c>
      <c r="I230" s="15">
        <f t="shared" si="23"/>
        <v>0</v>
      </c>
      <c r="J230" s="16"/>
      <c r="K230" s="15"/>
      <c r="L230" s="15">
        <f t="shared" si="18"/>
        <v>0</v>
      </c>
      <c r="M230" s="16"/>
      <c r="N230" s="16"/>
      <c r="O230" s="15">
        <f t="shared" si="19"/>
        <v>0</v>
      </c>
      <c r="P230" s="15">
        <f t="shared" si="20"/>
        <v>0</v>
      </c>
      <c r="Q230" s="15">
        <f t="shared" si="21"/>
        <v>0</v>
      </c>
      <c r="R230" s="17">
        <v>1282</v>
      </c>
    </row>
    <row r="231" spans="1:18" ht="16.5" x14ac:dyDescent="0.25">
      <c r="A231" s="12">
        <v>1283</v>
      </c>
      <c r="B231" s="13" t="s">
        <v>231</v>
      </c>
      <c r="C231" s="13" t="s">
        <v>25</v>
      </c>
      <c r="D231" s="16">
        <v>253</v>
      </c>
      <c r="E231" s="15">
        <v>6400</v>
      </c>
      <c r="F231" s="15">
        <v>500</v>
      </c>
      <c r="G231" s="15">
        <v>400</v>
      </c>
      <c r="H231" s="15">
        <f t="shared" si="22"/>
        <v>7300</v>
      </c>
      <c r="I231" s="15">
        <f t="shared" si="23"/>
        <v>1846900</v>
      </c>
      <c r="J231" s="16"/>
      <c r="K231" s="15">
        <v>820000</v>
      </c>
      <c r="L231" s="15">
        <f t="shared" si="18"/>
        <v>5060</v>
      </c>
      <c r="M231" s="16"/>
      <c r="N231" s="16"/>
      <c r="O231" s="15">
        <f t="shared" si="19"/>
        <v>63250</v>
      </c>
      <c r="P231" s="15">
        <f t="shared" si="20"/>
        <v>888310</v>
      </c>
      <c r="Q231" s="15">
        <f t="shared" si="21"/>
        <v>958590</v>
      </c>
      <c r="R231" s="17">
        <v>1283</v>
      </c>
    </row>
    <row r="232" spans="1:18" ht="16.5" x14ac:dyDescent="0.25">
      <c r="A232" s="12">
        <v>1284</v>
      </c>
      <c r="B232" s="13" t="s">
        <v>230</v>
      </c>
      <c r="C232" s="13" t="s">
        <v>23</v>
      </c>
      <c r="D232" s="16"/>
      <c r="E232" s="15">
        <v>6400</v>
      </c>
      <c r="F232" s="15">
        <v>400</v>
      </c>
      <c r="G232" s="15">
        <v>400</v>
      </c>
      <c r="H232" s="15">
        <f t="shared" si="22"/>
        <v>7200</v>
      </c>
      <c r="I232" s="15">
        <f t="shared" si="23"/>
        <v>0</v>
      </c>
      <c r="J232" s="16"/>
      <c r="K232" s="15"/>
      <c r="L232" s="15">
        <f t="shared" si="18"/>
        <v>0</v>
      </c>
      <c r="M232" s="16"/>
      <c r="N232" s="16"/>
      <c r="O232" s="15">
        <f t="shared" si="19"/>
        <v>0</v>
      </c>
      <c r="P232" s="15">
        <f t="shared" si="20"/>
        <v>0</v>
      </c>
      <c r="Q232" s="15">
        <f t="shared" si="21"/>
        <v>0</v>
      </c>
      <c r="R232" s="17">
        <v>1284</v>
      </c>
    </row>
    <row r="233" spans="1:18" ht="16.5" x14ac:dyDescent="0.25">
      <c r="A233" s="12">
        <v>1293</v>
      </c>
      <c r="B233" s="13" t="s">
        <v>232</v>
      </c>
      <c r="C233" s="13" t="s">
        <v>47</v>
      </c>
      <c r="D233" s="14"/>
      <c r="E233" s="15">
        <v>6400</v>
      </c>
      <c r="F233" s="15">
        <v>200</v>
      </c>
      <c r="G233" s="15">
        <v>400</v>
      </c>
      <c r="H233" s="15">
        <f t="shared" si="22"/>
        <v>7000</v>
      </c>
      <c r="I233" s="15">
        <f t="shared" si="23"/>
        <v>0</v>
      </c>
      <c r="J233" s="16"/>
      <c r="K233" s="15"/>
      <c r="L233" s="15">
        <f t="shared" si="18"/>
        <v>0</v>
      </c>
      <c r="M233" s="16"/>
      <c r="N233" s="16"/>
      <c r="O233" s="15">
        <f t="shared" si="19"/>
        <v>0</v>
      </c>
      <c r="P233" s="15">
        <f t="shared" si="20"/>
        <v>0</v>
      </c>
      <c r="Q233" s="15">
        <f t="shared" si="21"/>
        <v>0</v>
      </c>
      <c r="R233" s="17">
        <v>1293</v>
      </c>
    </row>
    <row r="234" spans="1:18" ht="16.5" x14ac:dyDescent="0.25">
      <c r="A234" s="12">
        <v>1295</v>
      </c>
      <c r="B234" s="13" t="s">
        <v>233</v>
      </c>
      <c r="C234" s="13" t="s">
        <v>25</v>
      </c>
      <c r="D234" s="16"/>
      <c r="E234" s="15">
        <v>6400</v>
      </c>
      <c r="F234" s="15">
        <v>300</v>
      </c>
      <c r="G234" s="15">
        <v>400</v>
      </c>
      <c r="H234" s="15">
        <f t="shared" si="22"/>
        <v>7100</v>
      </c>
      <c r="I234" s="15">
        <f t="shared" si="23"/>
        <v>0</v>
      </c>
      <c r="J234" s="16"/>
      <c r="K234" s="15"/>
      <c r="L234" s="15">
        <f t="shared" si="18"/>
        <v>0</v>
      </c>
      <c r="M234" s="20"/>
      <c r="N234" s="20"/>
      <c r="O234" s="15">
        <f t="shared" si="19"/>
        <v>0</v>
      </c>
      <c r="P234" s="15">
        <f t="shared" si="20"/>
        <v>0</v>
      </c>
      <c r="Q234" s="15">
        <f t="shared" si="21"/>
        <v>0</v>
      </c>
      <c r="R234" s="17">
        <v>1295</v>
      </c>
    </row>
    <row r="235" spans="1:18" ht="16.5" x14ac:dyDescent="0.25">
      <c r="A235" s="12">
        <v>1299</v>
      </c>
      <c r="B235" s="13" t="s">
        <v>234</v>
      </c>
      <c r="C235" s="13" t="s">
        <v>82</v>
      </c>
      <c r="D235" s="19"/>
      <c r="E235" s="15">
        <v>6400</v>
      </c>
      <c r="F235" s="15">
        <v>300</v>
      </c>
      <c r="G235" s="15">
        <v>400</v>
      </c>
      <c r="H235" s="15">
        <f t="shared" si="22"/>
        <v>7100</v>
      </c>
      <c r="I235" s="15">
        <f t="shared" si="23"/>
        <v>0</v>
      </c>
      <c r="J235" s="20"/>
      <c r="K235" s="15"/>
      <c r="L235" s="15">
        <f t="shared" si="18"/>
        <v>0</v>
      </c>
      <c r="M235" s="16"/>
      <c r="N235" s="16"/>
      <c r="O235" s="15">
        <f t="shared" si="19"/>
        <v>0</v>
      </c>
      <c r="P235" s="15">
        <f t="shared" si="20"/>
        <v>0</v>
      </c>
      <c r="Q235" s="15">
        <f t="shared" si="21"/>
        <v>0</v>
      </c>
      <c r="R235" s="17">
        <v>1299</v>
      </c>
    </row>
    <row r="236" spans="1:18" ht="16.5" x14ac:dyDescent="0.25">
      <c r="A236" s="12">
        <v>1300</v>
      </c>
      <c r="B236" s="13" t="s">
        <v>235</v>
      </c>
      <c r="C236" s="13" t="s">
        <v>43</v>
      </c>
      <c r="D236" s="14"/>
      <c r="E236" s="15">
        <v>6400</v>
      </c>
      <c r="F236" s="15">
        <v>300</v>
      </c>
      <c r="G236" s="15">
        <v>400</v>
      </c>
      <c r="H236" s="15">
        <f t="shared" si="22"/>
        <v>7100</v>
      </c>
      <c r="I236" s="15">
        <f t="shared" si="23"/>
        <v>0</v>
      </c>
      <c r="J236" s="16"/>
      <c r="K236" s="15"/>
      <c r="L236" s="15">
        <f t="shared" si="18"/>
        <v>0</v>
      </c>
      <c r="M236" s="16"/>
      <c r="N236" s="16"/>
      <c r="O236" s="15">
        <f t="shared" si="19"/>
        <v>0</v>
      </c>
      <c r="P236" s="15">
        <f t="shared" si="20"/>
        <v>0</v>
      </c>
      <c r="Q236" s="15">
        <f t="shared" si="21"/>
        <v>0</v>
      </c>
      <c r="R236" s="17">
        <v>1300</v>
      </c>
    </row>
    <row r="237" spans="1:18" ht="16.5" x14ac:dyDescent="0.25">
      <c r="A237" s="12">
        <v>1308</v>
      </c>
      <c r="B237" s="13" t="s">
        <v>236</v>
      </c>
      <c r="C237" s="13" t="s">
        <v>25</v>
      </c>
      <c r="D237" s="16">
        <v>106</v>
      </c>
      <c r="E237" s="15">
        <v>6400</v>
      </c>
      <c r="F237" s="15">
        <v>400</v>
      </c>
      <c r="G237" s="15">
        <v>400</v>
      </c>
      <c r="H237" s="15">
        <f t="shared" si="22"/>
        <v>7200</v>
      </c>
      <c r="I237" s="15">
        <f t="shared" si="23"/>
        <v>763200</v>
      </c>
      <c r="J237" s="16"/>
      <c r="K237" s="15">
        <v>205000</v>
      </c>
      <c r="L237" s="15">
        <f t="shared" si="18"/>
        <v>2120</v>
      </c>
      <c r="M237" s="20"/>
      <c r="N237" s="20"/>
      <c r="O237" s="15">
        <f t="shared" si="19"/>
        <v>26500</v>
      </c>
      <c r="P237" s="15">
        <f t="shared" si="20"/>
        <v>233620</v>
      </c>
      <c r="Q237" s="15">
        <f t="shared" si="21"/>
        <v>529580</v>
      </c>
      <c r="R237" s="17">
        <v>1308</v>
      </c>
    </row>
    <row r="238" spans="1:18" ht="16.5" x14ac:dyDescent="0.25">
      <c r="A238" s="12">
        <v>1312</v>
      </c>
      <c r="B238" s="13" t="s">
        <v>216</v>
      </c>
      <c r="C238" s="13" t="s">
        <v>47</v>
      </c>
      <c r="D238" s="19">
        <v>112</v>
      </c>
      <c r="E238" s="15">
        <v>6400</v>
      </c>
      <c r="F238" s="15">
        <v>400</v>
      </c>
      <c r="G238" s="15">
        <v>400</v>
      </c>
      <c r="H238" s="15">
        <f t="shared" si="22"/>
        <v>7200</v>
      </c>
      <c r="I238" s="15">
        <f t="shared" si="23"/>
        <v>806400</v>
      </c>
      <c r="J238" s="20"/>
      <c r="K238" s="15">
        <v>410000</v>
      </c>
      <c r="L238" s="15">
        <f t="shared" si="18"/>
        <v>2240</v>
      </c>
      <c r="M238" s="20"/>
      <c r="N238" s="20"/>
      <c r="O238" s="15">
        <f t="shared" si="19"/>
        <v>28000</v>
      </c>
      <c r="P238" s="15">
        <f t="shared" si="20"/>
        <v>440240</v>
      </c>
      <c r="Q238" s="15">
        <f t="shared" si="21"/>
        <v>366160</v>
      </c>
      <c r="R238" s="17">
        <v>1312</v>
      </c>
    </row>
    <row r="239" spans="1:18" ht="16.5" x14ac:dyDescent="0.25">
      <c r="A239" s="12">
        <v>1315</v>
      </c>
      <c r="B239" s="13" t="s">
        <v>48</v>
      </c>
      <c r="C239" s="13" t="s">
        <v>47</v>
      </c>
      <c r="D239" s="19"/>
      <c r="E239" s="15">
        <v>6400</v>
      </c>
      <c r="F239" s="15">
        <v>300</v>
      </c>
      <c r="G239" s="15">
        <v>400</v>
      </c>
      <c r="H239" s="15">
        <f t="shared" si="22"/>
        <v>7100</v>
      </c>
      <c r="I239" s="15">
        <f t="shared" si="23"/>
        <v>0</v>
      </c>
      <c r="J239" s="20"/>
      <c r="K239" s="15"/>
      <c r="L239" s="15">
        <f t="shared" si="18"/>
        <v>0</v>
      </c>
      <c r="M239" s="20"/>
      <c r="N239" s="20"/>
      <c r="O239" s="15">
        <f t="shared" si="19"/>
        <v>0</v>
      </c>
      <c r="P239" s="15">
        <f t="shared" si="20"/>
        <v>0</v>
      </c>
      <c r="Q239" s="15">
        <f t="shared" si="21"/>
        <v>0</v>
      </c>
      <c r="R239" s="17">
        <v>1315</v>
      </c>
    </row>
    <row r="240" spans="1:18" ht="16.5" x14ac:dyDescent="0.25">
      <c r="A240" s="12">
        <v>1316</v>
      </c>
      <c r="B240" s="13" t="s">
        <v>176</v>
      </c>
      <c r="C240" s="13" t="s">
        <v>25</v>
      </c>
      <c r="D240" s="20"/>
      <c r="E240" s="15">
        <v>6400</v>
      </c>
      <c r="F240" s="15">
        <v>300</v>
      </c>
      <c r="G240" s="15">
        <v>400</v>
      </c>
      <c r="H240" s="15">
        <f t="shared" si="22"/>
        <v>7100</v>
      </c>
      <c r="I240" s="15">
        <f t="shared" si="23"/>
        <v>0</v>
      </c>
      <c r="J240" s="20"/>
      <c r="K240" s="15"/>
      <c r="L240" s="15">
        <f t="shared" si="18"/>
        <v>0</v>
      </c>
      <c r="M240" s="16"/>
      <c r="N240" s="16"/>
      <c r="O240" s="15">
        <f t="shared" si="19"/>
        <v>0</v>
      </c>
      <c r="P240" s="15">
        <f t="shared" si="20"/>
        <v>0</v>
      </c>
      <c r="Q240" s="15">
        <f t="shared" si="21"/>
        <v>0</v>
      </c>
      <c r="R240" s="17">
        <v>1316</v>
      </c>
    </row>
    <row r="241" spans="1:18" ht="16.5" x14ac:dyDescent="0.25">
      <c r="A241" s="12">
        <v>1318</v>
      </c>
      <c r="B241" s="13" t="s">
        <v>237</v>
      </c>
      <c r="C241" s="13" t="s">
        <v>47</v>
      </c>
      <c r="D241" s="14"/>
      <c r="E241" s="15">
        <v>6400</v>
      </c>
      <c r="F241" s="15">
        <v>400</v>
      </c>
      <c r="G241" s="15">
        <v>400</v>
      </c>
      <c r="H241" s="15">
        <f t="shared" si="22"/>
        <v>7200</v>
      </c>
      <c r="I241" s="15">
        <f t="shared" si="23"/>
        <v>0</v>
      </c>
      <c r="J241" s="16"/>
      <c r="K241" s="15"/>
      <c r="L241" s="15">
        <f t="shared" si="18"/>
        <v>0</v>
      </c>
      <c r="M241" s="16"/>
      <c r="N241" s="16"/>
      <c r="O241" s="15">
        <f t="shared" si="19"/>
        <v>0</v>
      </c>
      <c r="P241" s="15">
        <f t="shared" si="20"/>
        <v>0</v>
      </c>
      <c r="Q241" s="15">
        <f t="shared" si="21"/>
        <v>0</v>
      </c>
      <c r="R241" s="17">
        <v>1318</v>
      </c>
    </row>
    <row r="242" spans="1:18" ht="16.5" x14ac:dyDescent="0.25">
      <c r="A242" s="12">
        <v>1322</v>
      </c>
      <c r="B242" s="13" t="s">
        <v>238</v>
      </c>
      <c r="C242" s="13" t="s">
        <v>186</v>
      </c>
      <c r="D242" s="16"/>
      <c r="E242" s="15">
        <v>6400</v>
      </c>
      <c r="F242" s="15">
        <v>400</v>
      </c>
      <c r="G242" s="15">
        <v>400</v>
      </c>
      <c r="H242" s="15">
        <f t="shared" si="22"/>
        <v>7200</v>
      </c>
      <c r="I242" s="15">
        <f t="shared" si="23"/>
        <v>0</v>
      </c>
      <c r="J242" s="16"/>
      <c r="K242" s="15"/>
      <c r="L242" s="15">
        <f t="shared" si="18"/>
        <v>0</v>
      </c>
      <c r="M242" s="16"/>
      <c r="N242" s="16"/>
      <c r="O242" s="15">
        <f t="shared" si="19"/>
        <v>0</v>
      </c>
      <c r="P242" s="15">
        <f t="shared" si="20"/>
        <v>0</v>
      </c>
      <c r="Q242" s="15">
        <f t="shared" si="21"/>
        <v>0</v>
      </c>
      <c r="R242" s="17">
        <v>1322</v>
      </c>
    </row>
    <row r="243" spans="1:18" ht="16.5" x14ac:dyDescent="0.25">
      <c r="A243" s="12">
        <v>1325</v>
      </c>
      <c r="B243" s="13" t="s">
        <v>239</v>
      </c>
      <c r="C243" s="13" t="s">
        <v>43</v>
      </c>
      <c r="D243" s="14"/>
      <c r="E243" s="15">
        <v>6400</v>
      </c>
      <c r="F243" s="15">
        <v>300</v>
      </c>
      <c r="G243" s="15">
        <v>400</v>
      </c>
      <c r="H243" s="15">
        <f t="shared" si="22"/>
        <v>7100</v>
      </c>
      <c r="I243" s="15">
        <f t="shared" si="23"/>
        <v>0</v>
      </c>
      <c r="J243" s="16"/>
      <c r="K243" s="15"/>
      <c r="L243" s="15">
        <f t="shared" si="18"/>
        <v>0</v>
      </c>
      <c r="M243" s="16"/>
      <c r="N243" s="16"/>
      <c r="O243" s="15">
        <f t="shared" si="19"/>
        <v>0</v>
      </c>
      <c r="P243" s="15">
        <f t="shared" si="20"/>
        <v>0</v>
      </c>
      <c r="Q243" s="15">
        <f t="shared" si="21"/>
        <v>0</v>
      </c>
      <c r="R243" s="17">
        <v>1325</v>
      </c>
    </row>
    <row r="244" spans="1:18" ht="16.5" x14ac:dyDescent="0.25">
      <c r="A244" s="12">
        <v>1328</v>
      </c>
      <c r="B244" s="13" t="s">
        <v>240</v>
      </c>
      <c r="C244" s="13" t="s">
        <v>138</v>
      </c>
      <c r="D244" s="14"/>
      <c r="E244" s="15">
        <v>6400</v>
      </c>
      <c r="F244" s="15">
        <v>300</v>
      </c>
      <c r="G244" s="15">
        <v>400</v>
      </c>
      <c r="H244" s="15">
        <f t="shared" si="22"/>
        <v>7100</v>
      </c>
      <c r="I244" s="15">
        <f t="shared" si="23"/>
        <v>0</v>
      </c>
      <c r="J244" s="16"/>
      <c r="K244" s="15"/>
      <c r="L244" s="15">
        <f t="shared" si="18"/>
        <v>0</v>
      </c>
      <c r="M244" s="20"/>
      <c r="N244" s="20"/>
      <c r="O244" s="15">
        <f t="shared" si="19"/>
        <v>0</v>
      </c>
      <c r="P244" s="15">
        <f t="shared" si="20"/>
        <v>0</v>
      </c>
      <c r="Q244" s="15">
        <f t="shared" si="21"/>
        <v>0</v>
      </c>
      <c r="R244" s="17">
        <v>1328</v>
      </c>
    </row>
    <row r="245" spans="1:18" ht="16.5" x14ac:dyDescent="0.25">
      <c r="A245" s="12">
        <v>1330</v>
      </c>
      <c r="B245" s="13" t="s">
        <v>241</v>
      </c>
      <c r="C245" s="13" t="s">
        <v>47</v>
      </c>
      <c r="D245" s="19"/>
      <c r="E245" s="15">
        <v>6400</v>
      </c>
      <c r="F245" s="15">
        <v>300</v>
      </c>
      <c r="G245" s="15">
        <v>400</v>
      </c>
      <c r="H245" s="15">
        <f t="shared" si="22"/>
        <v>7100</v>
      </c>
      <c r="I245" s="15">
        <f t="shared" si="23"/>
        <v>0</v>
      </c>
      <c r="J245" s="20"/>
      <c r="K245" s="15"/>
      <c r="L245" s="15">
        <f t="shared" si="18"/>
        <v>0</v>
      </c>
      <c r="M245" s="16"/>
      <c r="N245" s="16"/>
      <c r="O245" s="15">
        <f t="shared" si="19"/>
        <v>0</v>
      </c>
      <c r="P245" s="15">
        <f t="shared" si="20"/>
        <v>0</v>
      </c>
      <c r="Q245" s="15">
        <f t="shared" si="21"/>
        <v>0</v>
      </c>
      <c r="R245" s="17">
        <v>1330</v>
      </c>
    </row>
    <row r="246" spans="1:18" ht="16.5" x14ac:dyDescent="0.25">
      <c r="A246" s="12">
        <v>1331</v>
      </c>
      <c r="B246" s="13" t="s">
        <v>242</v>
      </c>
      <c r="C246" s="13" t="s">
        <v>25</v>
      </c>
      <c r="D246" s="16">
        <v>201</v>
      </c>
      <c r="E246" s="15">
        <v>6400</v>
      </c>
      <c r="F246" s="15">
        <v>500</v>
      </c>
      <c r="G246" s="15">
        <v>400</v>
      </c>
      <c r="H246" s="15">
        <f t="shared" si="22"/>
        <v>7300</v>
      </c>
      <c r="I246" s="15">
        <f t="shared" si="23"/>
        <v>1467300</v>
      </c>
      <c r="J246" s="16"/>
      <c r="K246" s="15">
        <v>615000</v>
      </c>
      <c r="L246" s="15">
        <f t="shared" si="18"/>
        <v>4020</v>
      </c>
      <c r="M246" s="16"/>
      <c r="N246" s="16"/>
      <c r="O246" s="15">
        <f t="shared" si="19"/>
        <v>50250</v>
      </c>
      <c r="P246" s="15">
        <f t="shared" si="20"/>
        <v>669270</v>
      </c>
      <c r="Q246" s="15">
        <f t="shared" si="21"/>
        <v>798030</v>
      </c>
      <c r="R246" s="17">
        <v>1331</v>
      </c>
    </row>
    <row r="247" spans="1:18" ht="16.5" x14ac:dyDescent="0.25">
      <c r="A247" s="12">
        <v>1334</v>
      </c>
      <c r="B247" s="13" t="s">
        <v>243</v>
      </c>
      <c r="C247" s="13" t="s">
        <v>43</v>
      </c>
      <c r="D247" s="14"/>
      <c r="E247" s="15">
        <v>6400</v>
      </c>
      <c r="F247" s="15">
        <v>600</v>
      </c>
      <c r="G247" s="15">
        <v>400</v>
      </c>
      <c r="H247" s="15">
        <f t="shared" si="22"/>
        <v>7400</v>
      </c>
      <c r="I247" s="15">
        <f t="shared" si="23"/>
        <v>0</v>
      </c>
      <c r="J247" s="16"/>
      <c r="K247" s="15"/>
      <c r="L247" s="15">
        <f t="shared" si="18"/>
        <v>0</v>
      </c>
      <c r="M247" s="20"/>
      <c r="N247" s="20"/>
      <c r="O247" s="15">
        <f t="shared" si="19"/>
        <v>0</v>
      </c>
      <c r="P247" s="15">
        <f t="shared" si="20"/>
        <v>0</v>
      </c>
      <c r="Q247" s="15">
        <f t="shared" si="21"/>
        <v>0</v>
      </c>
      <c r="R247" s="17">
        <v>1334</v>
      </c>
    </row>
    <row r="248" spans="1:18" ht="16.5" x14ac:dyDescent="0.25">
      <c r="A248" s="12">
        <v>1337</v>
      </c>
      <c r="B248" s="13" t="s">
        <v>244</v>
      </c>
      <c r="C248" s="13" t="s">
        <v>43</v>
      </c>
      <c r="D248" s="19"/>
      <c r="E248" s="15">
        <v>6400</v>
      </c>
      <c r="F248" s="15">
        <v>300</v>
      </c>
      <c r="G248" s="15">
        <v>400</v>
      </c>
      <c r="H248" s="15">
        <f t="shared" si="22"/>
        <v>7100</v>
      </c>
      <c r="I248" s="15">
        <f t="shared" si="23"/>
        <v>0</v>
      </c>
      <c r="J248" s="20"/>
      <c r="K248" s="15"/>
      <c r="L248" s="15">
        <f t="shared" si="18"/>
        <v>0</v>
      </c>
      <c r="M248" s="16"/>
      <c r="N248" s="16"/>
      <c r="O248" s="15">
        <f t="shared" si="19"/>
        <v>0</v>
      </c>
      <c r="P248" s="15">
        <f t="shared" si="20"/>
        <v>0</v>
      </c>
      <c r="Q248" s="15">
        <f t="shared" si="21"/>
        <v>0</v>
      </c>
      <c r="R248" s="17">
        <v>1337</v>
      </c>
    </row>
    <row r="249" spans="1:18" ht="16.5" x14ac:dyDescent="0.25">
      <c r="A249" s="12">
        <v>1338</v>
      </c>
      <c r="B249" s="13" t="s">
        <v>245</v>
      </c>
      <c r="C249" s="13" t="s">
        <v>43</v>
      </c>
      <c r="D249" s="14"/>
      <c r="E249" s="15">
        <v>6400</v>
      </c>
      <c r="F249" s="15">
        <v>300</v>
      </c>
      <c r="G249" s="15">
        <v>400</v>
      </c>
      <c r="H249" s="15">
        <f t="shared" si="22"/>
        <v>7100</v>
      </c>
      <c r="I249" s="15">
        <f t="shared" si="23"/>
        <v>0</v>
      </c>
      <c r="J249" s="16"/>
      <c r="K249" s="15"/>
      <c r="L249" s="15">
        <f t="shared" si="18"/>
        <v>0</v>
      </c>
      <c r="M249" s="20"/>
      <c r="N249" s="20"/>
      <c r="O249" s="15">
        <f t="shared" si="19"/>
        <v>0</v>
      </c>
      <c r="P249" s="15">
        <f t="shared" si="20"/>
        <v>0</v>
      </c>
      <c r="Q249" s="15">
        <f t="shared" si="21"/>
        <v>0</v>
      </c>
      <c r="R249" s="17">
        <v>1338</v>
      </c>
    </row>
    <row r="250" spans="1:18" ht="16.5" x14ac:dyDescent="0.25">
      <c r="A250" s="12">
        <v>1339</v>
      </c>
      <c r="B250" s="13" t="s">
        <v>246</v>
      </c>
      <c r="C250" s="13" t="s">
        <v>21</v>
      </c>
      <c r="D250" s="19"/>
      <c r="E250" s="15">
        <v>6400</v>
      </c>
      <c r="F250" s="15">
        <v>300</v>
      </c>
      <c r="G250" s="15">
        <v>400</v>
      </c>
      <c r="H250" s="15">
        <f t="shared" si="22"/>
        <v>7100</v>
      </c>
      <c r="I250" s="15">
        <f t="shared" si="23"/>
        <v>0</v>
      </c>
      <c r="J250" s="20"/>
      <c r="K250" s="15"/>
      <c r="L250" s="15">
        <f t="shared" si="18"/>
        <v>0</v>
      </c>
      <c r="M250" s="16"/>
      <c r="N250" s="16"/>
      <c r="O250" s="15">
        <f t="shared" si="19"/>
        <v>0</v>
      </c>
      <c r="P250" s="15">
        <f t="shared" si="20"/>
        <v>0</v>
      </c>
      <c r="Q250" s="15">
        <f t="shared" si="21"/>
        <v>0</v>
      </c>
      <c r="R250" s="17">
        <v>1339</v>
      </c>
    </row>
    <row r="251" spans="1:18" ht="16.5" x14ac:dyDescent="0.25">
      <c r="A251" s="12">
        <v>1341</v>
      </c>
      <c r="B251" s="13" t="s">
        <v>127</v>
      </c>
      <c r="C251" s="13" t="s">
        <v>43</v>
      </c>
      <c r="D251" s="14"/>
      <c r="E251" s="15">
        <v>6400</v>
      </c>
      <c r="F251" s="15">
        <v>300</v>
      </c>
      <c r="G251" s="15">
        <v>400</v>
      </c>
      <c r="H251" s="15">
        <f t="shared" si="22"/>
        <v>7100</v>
      </c>
      <c r="I251" s="15">
        <f t="shared" si="23"/>
        <v>0</v>
      </c>
      <c r="J251" s="16"/>
      <c r="K251" s="15"/>
      <c r="L251" s="15">
        <f t="shared" si="18"/>
        <v>0</v>
      </c>
      <c r="M251" s="16"/>
      <c r="N251" s="16"/>
      <c r="O251" s="15">
        <f t="shared" si="19"/>
        <v>0</v>
      </c>
      <c r="P251" s="15">
        <f t="shared" si="20"/>
        <v>0</v>
      </c>
      <c r="Q251" s="15">
        <f t="shared" si="21"/>
        <v>0</v>
      </c>
      <c r="R251" s="17">
        <v>1341</v>
      </c>
    </row>
    <row r="252" spans="1:18" ht="15.75" customHeight="1" x14ac:dyDescent="0.25">
      <c r="A252" s="12">
        <v>1342</v>
      </c>
      <c r="B252" s="13" t="s">
        <v>235</v>
      </c>
      <c r="C252" s="13" t="s">
        <v>43</v>
      </c>
      <c r="D252" s="14"/>
      <c r="E252" s="15">
        <v>6400</v>
      </c>
      <c r="F252" s="15">
        <v>300</v>
      </c>
      <c r="G252" s="15">
        <v>400</v>
      </c>
      <c r="H252" s="15">
        <f t="shared" si="22"/>
        <v>7100</v>
      </c>
      <c r="I252" s="15">
        <f t="shared" si="23"/>
        <v>0</v>
      </c>
      <c r="J252" s="16"/>
      <c r="K252" s="15"/>
      <c r="L252" s="15">
        <f t="shared" si="18"/>
        <v>0</v>
      </c>
      <c r="M252" s="20"/>
      <c r="N252" s="20"/>
      <c r="O252" s="15">
        <f t="shared" si="19"/>
        <v>0</v>
      </c>
      <c r="P252" s="15">
        <f t="shared" si="20"/>
        <v>0</v>
      </c>
      <c r="Q252" s="15">
        <f t="shared" si="21"/>
        <v>0</v>
      </c>
      <c r="R252" s="17">
        <v>1342</v>
      </c>
    </row>
    <row r="253" spans="1:18" ht="17.25" customHeight="1" x14ac:dyDescent="0.25">
      <c r="A253" s="12">
        <v>1343</v>
      </c>
      <c r="B253" s="13" t="s">
        <v>31</v>
      </c>
      <c r="C253" s="13" t="s">
        <v>25</v>
      </c>
      <c r="D253" s="20">
        <v>133</v>
      </c>
      <c r="E253" s="15">
        <v>6400</v>
      </c>
      <c r="F253" s="15">
        <v>500</v>
      </c>
      <c r="G253" s="15">
        <v>400</v>
      </c>
      <c r="H253" s="15">
        <f t="shared" si="22"/>
        <v>7300</v>
      </c>
      <c r="I253" s="15">
        <f t="shared" si="23"/>
        <v>970900</v>
      </c>
      <c r="J253" s="20"/>
      <c r="K253" s="15">
        <v>410000</v>
      </c>
      <c r="L253" s="15">
        <f t="shared" si="18"/>
        <v>2660</v>
      </c>
      <c r="M253" s="20"/>
      <c r="N253" s="20"/>
      <c r="O253" s="15">
        <f t="shared" si="19"/>
        <v>33250</v>
      </c>
      <c r="P253" s="15">
        <f t="shared" si="20"/>
        <v>445910</v>
      </c>
      <c r="Q253" s="15">
        <f t="shared" si="21"/>
        <v>524990</v>
      </c>
      <c r="R253" s="17">
        <v>1343</v>
      </c>
    </row>
    <row r="254" spans="1:18" ht="17.25" customHeight="1" x14ac:dyDescent="0.25">
      <c r="A254" s="12">
        <v>1344</v>
      </c>
      <c r="B254" s="13" t="s">
        <v>247</v>
      </c>
      <c r="C254" s="13" t="s">
        <v>43</v>
      </c>
      <c r="D254" s="19"/>
      <c r="E254" s="15">
        <v>6400</v>
      </c>
      <c r="F254" s="15">
        <v>300</v>
      </c>
      <c r="G254" s="15">
        <v>400</v>
      </c>
      <c r="H254" s="15">
        <f t="shared" si="22"/>
        <v>7100</v>
      </c>
      <c r="I254" s="15">
        <f t="shared" si="23"/>
        <v>0</v>
      </c>
      <c r="J254" s="20"/>
      <c r="K254" s="15"/>
      <c r="L254" s="15">
        <f t="shared" si="18"/>
        <v>0</v>
      </c>
      <c r="M254" s="20"/>
      <c r="N254" s="20"/>
      <c r="O254" s="15">
        <f t="shared" si="19"/>
        <v>0</v>
      </c>
      <c r="P254" s="15">
        <f t="shared" si="20"/>
        <v>0</v>
      </c>
      <c r="Q254" s="15">
        <f t="shared" si="21"/>
        <v>0</v>
      </c>
      <c r="R254" s="17">
        <v>1344</v>
      </c>
    </row>
    <row r="255" spans="1:18" ht="17.25" customHeight="1" x14ac:dyDescent="0.25">
      <c r="A255" s="12">
        <v>1345</v>
      </c>
      <c r="B255" s="13"/>
      <c r="C255" s="13"/>
      <c r="D255" s="19"/>
      <c r="E255" s="15">
        <v>6400</v>
      </c>
      <c r="F255" s="15">
        <v>300</v>
      </c>
      <c r="G255" s="15">
        <v>400</v>
      </c>
      <c r="H255" s="15">
        <f t="shared" si="22"/>
        <v>7100</v>
      </c>
      <c r="I255" s="15">
        <f t="shared" si="23"/>
        <v>0</v>
      </c>
      <c r="J255" s="20"/>
      <c r="K255" s="15"/>
      <c r="L255" s="15">
        <f t="shared" si="18"/>
        <v>0</v>
      </c>
      <c r="M255" s="20"/>
      <c r="N255" s="20"/>
      <c r="O255" s="15">
        <f t="shared" si="19"/>
        <v>0</v>
      </c>
      <c r="P255" s="15">
        <f t="shared" si="20"/>
        <v>0</v>
      </c>
      <c r="Q255" s="15">
        <f t="shared" si="21"/>
        <v>0</v>
      </c>
      <c r="R255" s="17">
        <v>1345</v>
      </c>
    </row>
    <row r="256" spans="1:18" ht="15.75" customHeight="1" x14ac:dyDescent="0.25">
      <c r="A256" s="12">
        <v>1346</v>
      </c>
      <c r="B256" s="13" t="s">
        <v>248</v>
      </c>
      <c r="C256" s="13" t="s">
        <v>47</v>
      </c>
      <c r="D256" s="19"/>
      <c r="E256" s="15">
        <v>6400</v>
      </c>
      <c r="F256" s="15">
        <v>400</v>
      </c>
      <c r="G256" s="15">
        <v>400</v>
      </c>
      <c r="H256" s="15">
        <f t="shared" si="22"/>
        <v>7200</v>
      </c>
      <c r="I256" s="15">
        <f t="shared" si="23"/>
        <v>0</v>
      </c>
      <c r="J256" s="20"/>
      <c r="K256" s="15"/>
      <c r="L256" s="15">
        <f t="shared" si="18"/>
        <v>0</v>
      </c>
      <c r="M256" s="20"/>
      <c r="N256" s="20"/>
      <c r="O256" s="15">
        <f t="shared" si="19"/>
        <v>0</v>
      </c>
      <c r="P256" s="15">
        <f t="shared" si="20"/>
        <v>0</v>
      </c>
      <c r="Q256" s="15">
        <f t="shared" si="21"/>
        <v>0</v>
      </c>
      <c r="R256" s="17">
        <v>1346</v>
      </c>
    </row>
    <row r="257" spans="1:18" ht="16.5" customHeight="1" x14ac:dyDescent="0.25">
      <c r="A257" s="12">
        <v>1347</v>
      </c>
      <c r="B257" s="13" t="s">
        <v>249</v>
      </c>
      <c r="C257" s="13" t="s">
        <v>43</v>
      </c>
      <c r="D257" s="19"/>
      <c r="E257" s="15">
        <v>6400</v>
      </c>
      <c r="F257" s="15">
        <v>300</v>
      </c>
      <c r="G257" s="15">
        <v>400</v>
      </c>
      <c r="H257" s="15">
        <f t="shared" si="22"/>
        <v>7100</v>
      </c>
      <c r="I257" s="15">
        <f t="shared" si="23"/>
        <v>0</v>
      </c>
      <c r="J257" s="20"/>
      <c r="K257" s="15"/>
      <c r="L257" s="15">
        <f t="shared" si="18"/>
        <v>0</v>
      </c>
      <c r="M257" s="20"/>
      <c r="N257" s="20"/>
      <c r="O257" s="15">
        <f t="shared" si="19"/>
        <v>0</v>
      </c>
      <c r="P257" s="15">
        <f t="shared" si="20"/>
        <v>0</v>
      </c>
      <c r="Q257" s="15">
        <f t="shared" si="21"/>
        <v>0</v>
      </c>
      <c r="R257" s="17">
        <v>1347</v>
      </c>
    </row>
    <row r="258" spans="1:18" ht="16.5" customHeight="1" x14ac:dyDescent="0.25">
      <c r="A258" s="12">
        <v>1348</v>
      </c>
      <c r="B258" s="13" t="s">
        <v>443</v>
      </c>
      <c r="C258" s="13" t="s">
        <v>43</v>
      </c>
      <c r="D258" s="19"/>
      <c r="E258" s="15">
        <v>6400</v>
      </c>
      <c r="F258" s="15">
        <v>300</v>
      </c>
      <c r="G258" s="15">
        <v>400</v>
      </c>
      <c r="H258" s="15">
        <f t="shared" si="22"/>
        <v>7100</v>
      </c>
      <c r="I258" s="15">
        <f t="shared" si="23"/>
        <v>0</v>
      </c>
      <c r="J258" s="20"/>
      <c r="K258" s="15"/>
      <c r="L258" s="15">
        <f t="shared" si="18"/>
        <v>0</v>
      </c>
      <c r="M258" s="16"/>
      <c r="N258" s="16"/>
      <c r="O258" s="15">
        <f t="shared" si="19"/>
        <v>0</v>
      </c>
      <c r="P258" s="15">
        <f t="shared" si="20"/>
        <v>0</v>
      </c>
      <c r="Q258" s="15">
        <f t="shared" si="21"/>
        <v>0</v>
      </c>
      <c r="R258" s="17">
        <v>1349</v>
      </c>
    </row>
    <row r="259" spans="1:18" ht="16.5" x14ac:dyDescent="0.25">
      <c r="A259" s="12">
        <v>1350</v>
      </c>
      <c r="B259" s="13" t="s">
        <v>250</v>
      </c>
      <c r="C259" s="13" t="s">
        <v>25</v>
      </c>
      <c r="D259" s="16"/>
      <c r="E259" s="15">
        <v>6400</v>
      </c>
      <c r="F259" s="15">
        <v>300</v>
      </c>
      <c r="G259" s="15">
        <v>400</v>
      </c>
      <c r="H259" s="15">
        <f t="shared" si="22"/>
        <v>7100</v>
      </c>
      <c r="I259" s="15">
        <f t="shared" si="23"/>
        <v>0</v>
      </c>
      <c r="J259" s="16"/>
      <c r="K259" s="15"/>
      <c r="L259" s="15">
        <f t="shared" si="18"/>
        <v>0</v>
      </c>
      <c r="M259" s="20"/>
      <c r="N259" s="20"/>
      <c r="O259" s="15">
        <f t="shared" si="19"/>
        <v>0</v>
      </c>
      <c r="P259" s="15">
        <f t="shared" si="20"/>
        <v>0</v>
      </c>
      <c r="Q259" s="15">
        <f t="shared" si="21"/>
        <v>0</v>
      </c>
      <c r="R259" s="17">
        <v>1350</v>
      </c>
    </row>
    <row r="260" spans="1:18" ht="16.5" x14ac:dyDescent="0.25">
      <c r="A260" s="12">
        <v>1352</v>
      </c>
      <c r="B260" s="13" t="s">
        <v>251</v>
      </c>
      <c r="C260" s="13" t="s">
        <v>43</v>
      </c>
      <c r="D260" s="19"/>
      <c r="E260" s="15">
        <v>6400</v>
      </c>
      <c r="F260" s="15">
        <v>300</v>
      </c>
      <c r="G260" s="15">
        <v>400</v>
      </c>
      <c r="H260" s="15">
        <f t="shared" si="22"/>
        <v>7100</v>
      </c>
      <c r="I260" s="15">
        <f t="shared" si="23"/>
        <v>0</v>
      </c>
      <c r="J260" s="20"/>
      <c r="K260" s="15"/>
      <c r="L260" s="15">
        <f t="shared" si="18"/>
        <v>0</v>
      </c>
      <c r="M260" s="16"/>
      <c r="N260" s="16"/>
      <c r="O260" s="15">
        <f t="shared" si="19"/>
        <v>0</v>
      </c>
      <c r="P260" s="15">
        <f t="shared" si="20"/>
        <v>0</v>
      </c>
      <c r="Q260" s="15">
        <f t="shared" si="21"/>
        <v>0</v>
      </c>
      <c r="R260" s="17">
        <v>1352</v>
      </c>
    </row>
    <row r="261" spans="1:18" ht="16.5" x14ac:dyDescent="0.25">
      <c r="A261" s="12">
        <v>1353</v>
      </c>
      <c r="B261" s="13" t="s">
        <v>252</v>
      </c>
      <c r="C261" s="13" t="s">
        <v>25</v>
      </c>
      <c r="D261" s="16">
        <v>90</v>
      </c>
      <c r="E261" s="15">
        <v>6400</v>
      </c>
      <c r="F261" s="15">
        <v>500</v>
      </c>
      <c r="G261" s="15">
        <v>400</v>
      </c>
      <c r="H261" s="15">
        <f t="shared" si="22"/>
        <v>7300</v>
      </c>
      <c r="I261" s="15">
        <f t="shared" si="23"/>
        <v>657000</v>
      </c>
      <c r="J261" s="16"/>
      <c r="K261" s="15">
        <v>410000</v>
      </c>
      <c r="L261" s="15">
        <f t="shared" ref="L261:L324" si="24">D261*20</f>
        <v>1800</v>
      </c>
      <c r="M261" s="16"/>
      <c r="N261" s="16"/>
      <c r="O261" s="15">
        <f t="shared" ref="O261:O324" si="25">250*D261</f>
        <v>22500</v>
      </c>
      <c r="P261" s="15">
        <f t="shared" ref="P261:P324" si="26">SUM(J261:O261)</f>
        <v>434300</v>
      </c>
      <c r="Q261" s="15">
        <f t="shared" ref="Q261:Q324" si="27">I261-P261</f>
        <v>222700</v>
      </c>
      <c r="R261" s="17">
        <v>1353</v>
      </c>
    </row>
    <row r="262" spans="1:18" ht="16.5" x14ac:dyDescent="0.25">
      <c r="A262" s="12">
        <v>1354</v>
      </c>
      <c r="B262" s="13" t="s">
        <v>253</v>
      </c>
      <c r="C262" s="13" t="s">
        <v>43</v>
      </c>
      <c r="D262" s="14"/>
      <c r="E262" s="15">
        <v>6400</v>
      </c>
      <c r="F262" s="15">
        <v>400</v>
      </c>
      <c r="G262" s="15">
        <v>400</v>
      </c>
      <c r="H262" s="15">
        <f t="shared" ref="H262:H325" si="28">SUM(E262:G262)</f>
        <v>7200</v>
      </c>
      <c r="I262" s="15">
        <f t="shared" ref="I262:I325" si="29">H262*D262</f>
        <v>0</v>
      </c>
      <c r="J262" s="16"/>
      <c r="K262" s="15"/>
      <c r="L262" s="15">
        <f t="shared" si="24"/>
        <v>0</v>
      </c>
      <c r="M262" s="16"/>
      <c r="N262" s="16"/>
      <c r="O262" s="15">
        <f t="shared" si="25"/>
        <v>0</v>
      </c>
      <c r="P262" s="15">
        <f t="shared" si="26"/>
        <v>0</v>
      </c>
      <c r="Q262" s="15">
        <f t="shared" si="27"/>
        <v>0</v>
      </c>
      <c r="R262" s="17">
        <v>1354</v>
      </c>
    </row>
    <row r="263" spans="1:18" ht="16.5" x14ac:dyDescent="0.25">
      <c r="A263" s="12">
        <v>1355</v>
      </c>
      <c r="B263" s="13" t="s">
        <v>211</v>
      </c>
      <c r="C263" s="13" t="s">
        <v>47</v>
      </c>
      <c r="D263" s="14"/>
      <c r="E263" s="15">
        <v>6400</v>
      </c>
      <c r="F263" s="15">
        <v>300</v>
      </c>
      <c r="G263" s="15">
        <v>400</v>
      </c>
      <c r="H263" s="15">
        <f t="shared" si="28"/>
        <v>7100</v>
      </c>
      <c r="I263" s="15">
        <f t="shared" si="29"/>
        <v>0</v>
      </c>
      <c r="J263" s="16"/>
      <c r="K263" s="15"/>
      <c r="L263" s="15">
        <f t="shared" si="24"/>
        <v>0</v>
      </c>
      <c r="M263" s="16"/>
      <c r="N263" s="16"/>
      <c r="O263" s="15">
        <f t="shared" si="25"/>
        <v>0</v>
      </c>
      <c r="P263" s="15">
        <f t="shared" si="26"/>
        <v>0</v>
      </c>
      <c r="Q263" s="15">
        <f t="shared" si="27"/>
        <v>0</v>
      </c>
      <c r="R263" s="17">
        <v>1355</v>
      </c>
    </row>
    <row r="264" spans="1:18" ht="16.5" x14ac:dyDescent="0.25">
      <c r="A264" s="12">
        <v>1357</v>
      </c>
      <c r="B264" s="13"/>
      <c r="C264" s="13"/>
      <c r="D264" s="28"/>
      <c r="E264" s="15">
        <v>6400</v>
      </c>
      <c r="F264" s="15">
        <v>300</v>
      </c>
      <c r="G264" s="15">
        <v>400</v>
      </c>
      <c r="H264" s="15">
        <f t="shared" si="28"/>
        <v>7100</v>
      </c>
      <c r="I264" s="15">
        <f t="shared" si="29"/>
        <v>0</v>
      </c>
      <c r="J264" s="28"/>
      <c r="K264" s="28"/>
      <c r="L264" s="15">
        <f t="shared" si="24"/>
        <v>0</v>
      </c>
      <c r="M264" s="28"/>
      <c r="N264" s="28"/>
      <c r="O264" s="15">
        <f t="shared" si="25"/>
        <v>0</v>
      </c>
      <c r="P264" s="15">
        <f t="shared" si="26"/>
        <v>0</v>
      </c>
      <c r="Q264" s="15">
        <f t="shared" si="27"/>
        <v>0</v>
      </c>
      <c r="R264" s="17">
        <v>1357</v>
      </c>
    </row>
    <row r="265" spans="1:18" ht="16.5" x14ac:dyDescent="0.25">
      <c r="A265" s="12">
        <v>1358</v>
      </c>
      <c r="B265" s="13" t="s">
        <v>254</v>
      </c>
      <c r="C265" s="13" t="s">
        <v>43</v>
      </c>
      <c r="D265" s="14"/>
      <c r="E265" s="15">
        <v>6400</v>
      </c>
      <c r="F265" s="15">
        <v>300</v>
      </c>
      <c r="G265" s="15">
        <v>400</v>
      </c>
      <c r="H265" s="15">
        <f t="shared" si="28"/>
        <v>7100</v>
      </c>
      <c r="I265" s="15">
        <f t="shared" si="29"/>
        <v>0</v>
      </c>
      <c r="J265" s="16"/>
      <c r="K265" s="15"/>
      <c r="L265" s="15">
        <f t="shared" si="24"/>
        <v>0</v>
      </c>
      <c r="M265" s="16"/>
      <c r="N265" s="16"/>
      <c r="O265" s="15">
        <f t="shared" si="25"/>
        <v>0</v>
      </c>
      <c r="P265" s="15">
        <f t="shared" si="26"/>
        <v>0</v>
      </c>
      <c r="Q265" s="15">
        <f t="shared" si="27"/>
        <v>0</v>
      </c>
      <c r="R265" s="17">
        <v>1358</v>
      </c>
    </row>
    <row r="266" spans="1:18" ht="16.5" x14ac:dyDescent="0.25">
      <c r="A266" s="12">
        <v>1359</v>
      </c>
      <c r="B266" s="13" t="s">
        <v>255</v>
      </c>
      <c r="C266" s="13" t="s">
        <v>43</v>
      </c>
      <c r="D266" s="14"/>
      <c r="E266" s="15">
        <v>6400</v>
      </c>
      <c r="F266" s="15">
        <v>300</v>
      </c>
      <c r="G266" s="15">
        <v>400</v>
      </c>
      <c r="H266" s="15">
        <f t="shared" si="28"/>
        <v>7100</v>
      </c>
      <c r="I266" s="15">
        <f t="shared" si="29"/>
        <v>0</v>
      </c>
      <c r="J266" s="16"/>
      <c r="K266" s="15"/>
      <c r="L266" s="15">
        <f t="shared" si="24"/>
        <v>0</v>
      </c>
      <c r="M266" s="20"/>
      <c r="N266" s="20"/>
      <c r="O266" s="15">
        <f t="shared" si="25"/>
        <v>0</v>
      </c>
      <c r="P266" s="15">
        <f t="shared" si="26"/>
        <v>0</v>
      </c>
      <c r="Q266" s="15">
        <f t="shared" si="27"/>
        <v>0</v>
      </c>
      <c r="R266" s="17">
        <v>1359</v>
      </c>
    </row>
    <row r="267" spans="1:18" ht="16.5" x14ac:dyDescent="0.25">
      <c r="A267" s="12">
        <v>1362</v>
      </c>
      <c r="B267" s="13" t="s">
        <v>256</v>
      </c>
      <c r="C267" s="13" t="s">
        <v>30</v>
      </c>
      <c r="D267" s="19">
        <v>44</v>
      </c>
      <c r="E267" s="15">
        <v>6400</v>
      </c>
      <c r="F267" s="15">
        <v>500</v>
      </c>
      <c r="G267" s="15">
        <v>400</v>
      </c>
      <c r="H267" s="15">
        <f t="shared" si="28"/>
        <v>7300</v>
      </c>
      <c r="I267" s="15">
        <f t="shared" si="29"/>
        <v>321200</v>
      </c>
      <c r="J267" s="20"/>
      <c r="K267" s="15">
        <v>205000</v>
      </c>
      <c r="L267" s="15">
        <f t="shared" si="24"/>
        <v>880</v>
      </c>
      <c r="M267" s="16"/>
      <c r="N267" s="16"/>
      <c r="O267" s="15">
        <f t="shared" si="25"/>
        <v>11000</v>
      </c>
      <c r="P267" s="15">
        <f t="shared" si="26"/>
        <v>216880</v>
      </c>
      <c r="Q267" s="15">
        <f t="shared" si="27"/>
        <v>104320</v>
      </c>
      <c r="R267" s="17">
        <v>1362</v>
      </c>
    </row>
    <row r="268" spans="1:18" ht="16.5" x14ac:dyDescent="0.25">
      <c r="A268" s="12">
        <v>1364</v>
      </c>
      <c r="B268" s="13" t="s">
        <v>257</v>
      </c>
      <c r="C268" s="13" t="s">
        <v>258</v>
      </c>
      <c r="D268" s="19"/>
      <c r="E268" s="15">
        <v>6400</v>
      </c>
      <c r="F268" s="15">
        <v>300</v>
      </c>
      <c r="G268" s="15">
        <v>400</v>
      </c>
      <c r="H268" s="15">
        <f t="shared" si="28"/>
        <v>7100</v>
      </c>
      <c r="I268" s="15">
        <f t="shared" si="29"/>
        <v>0</v>
      </c>
      <c r="J268" s="20"/>
      <c r="K268" s="15"/>
      <c r="L268" s="15">
        <f t="shared" si="24"/>
        <v>0</v>
      </c>
      <c r="M268" s="20"/>
      <c r="N268" s="20"/>
      <c r="O268" s="15">
        <f t="shared" si="25"/>
        <v>0</v>
      </c>
      <c r="P268" s="15">
        <f t="shared" si="26"/>
        <v>0</v>
      </c>
      <c r="Q268" s="15">
        <f t="shared" si="27"/>
        <v>0</v>
      </c>
      <c r="R268" s="17">
        <v>1364</v>
      </c>
    </row>
    <row r="269" spans="1:18" ht="16.5" x14ac:dyDescent="0.25">
      <c r="A269" s="12">
        <v>1365</v>
      </c>
      <c r="B269" s="13" t="s">
        <v>433</v>
      </c>
      <c r="C269" s="13" t="s">
        <v>43</v>
      </c>
      <c r="D269" s="16"/>
      <c r="E269" s="15">
        <v>6400</v>
      </c>
      <c r="F269" s="15">
        <v>300</v>
      </c>
      <c r="G269" s="15">
        <v>400</v>
      </c>
      <c r="H269" s="15">
        <f t="shared" si="28"/>
        <v>7100</v>
      </c>
      <c r="I269" s="15">
        <f t="shared" si="29"/>
        <v>0</v>
      </c>
      <c r="J269" s="16"/>
      <c r="K269" s="15"/>
      <c r="L269" s="15">
        <f t="shared" si="24"/>
        <v>0</v>
      </c>
      <c r="M269" s="16"/>
      <c r="N269" s="16"/>
      <c r="O269" s="15">
        <f t="shared" si="25"/>
        <v>0</v>
      </c>
      <c r="P269" s="15">
        <f t="shared" si="26"/>
        <v>0</v>
      </c>
      <c r="Q269" s="15">
        <f t="shared" si="27"/>
        <v>0</v>
      </c>
      <c r="R269" s="17">
        <v>1365</v>
      </c>
    </row>
    <row r="270" spans="1:18" ht="16.5" x14ac:dyDescent="0.25">
      <c r="A270" s="12">
        <v>1366</v>
      </c>
      <c r="B270" s="13" t="s">
        <v>259</v>
      </c>
      <c r="C270" s="13" t="s">
        <v>30</v>
      </c>
      <c r="D270" s="19">
        <v>99</v>
      </c>
      <c r="E270" s="15">
        <v>6400</v>
      </c>
      <c r="F270" s="15">
        <v>500</v>
      </c>
      <c r="G270" s="15">
        <v>400</v>
      </c>
      <c r="H270" s="15">
        <f t="shared" si="28"/>
        <v>7300</v>
      </c>
      <c r="I270" s="15">
        <f t="shared" si="29"/>
        <v>722700</v>
      </c>
      <c r="J270" s="20"/>
      <c r="K270" s="15">
        <v>205000</v>
      </c>
      <c r="L270" s="15">
        <f t="shared" si="24"/>
        <v>1980</v>
      </c>
      <c r="M270" s="16"/>
      <c r="N270" s="16"/>
      <c r="O270" s="15">
        <f t="shared" si="25"/>
        <v>24750</v>
      </c>
      <c r="P270" s="15">
        <f t="shared" si="26"/>
        <v>231730</v>
      </c>
      <c r="Q270" s="15">
        <f t="shared" si="27"/>
        <v>490970</v>
      </c>
      <c r="R270" s="17">
        <v>1366</v>
      </c>
    </row>
    <row r="271" spans="1:18" ht="16.5" x14ac:dyDescent="0.25">
      <c r="A271" s="12">
        <v>1367</v>
      </c>
      <c r="B271" s="13" t="s">
        <v>48</v>
      </c>
      <c r="C271" s="13" t="s">
        <v>25</v>
      </c>
      <c r="D271" s="16"/>
      <c r="E271" s="15">
        <v>6400</v>
      </c>
      <c r="F271" s="15">
        <v>300</v>
      </c>
      <c r="G271" s="15">
        <v>400</v>
      </c>
      <c r="H271" s="15">
        <f t="shared" si="28"/>
        <v>7100</v>
      </c>
      <c r="I271" s="15">
        <f t="shared" si="29"/>
        <v>0</v>
      </c>
      <c r="J271" s="16"/>
      <c r="K271" s="15"/>
      <c r="L271" s="15">
        <f t="shared" si="24"/>
        <v>0</v>
      </c>
      <c r="M271" s="16"/>
      <c r="N271" s="16"/>
      <c r="O271" s="15">
        <f t="shared" si="25"/>
        <v>0</v>
      </c>
      <c r="P271" s="15">
        <f t="shared" si="26"/>
        <v>0</v>
      </c>
      <c r="Q271" s="15">
        <f t="shared" si="27"/>
        <v>0</v>
      </c>
      <c r="R271" s="17">
        <v>1367</v>
      </c>
    </row>
    <row r="272" spans="1:18" ht="16.5" x14ac:dyDescent="0.25">
      <c r="A272" s="12">
        <v>1368</v>
      </c>
      <c r="B272" s="13" t="s">
        <v>260</v>
      </c>
      <c r="C272" s="13" t="s">
        <v>25</v>
      </c>
      <c r="D272" s="16"/>
      <c r="E272" s="15">
        <v>6400</v>
      </c>
      <c r="F272" s="15">
        <v>300</v>
      </c>
      <c r="G272" s="15">
        <v>400</v>
      </c>
      <c r="H272" s="15">
        <f t="shared" si="28"/>
        <v>7100</v>
      </c>
      <c r="I272" s="15">
        <f t="shared" si="29"/>
        <v>0</v>
      </c>
      <c r="J272" s="16"/>
      <c r="K272" s="15"/>
      <c r="L272" s="15">
        <f t="shared" si="24"/>
        <v>0</v>
      </c>
      <c r="M272" s="20"/>
      <c r="N272" s="20"/>
      <c r="O272" s="15">
        <f t="shared" si="25"/>
        <v>0</v>
      </c>
      <c r="P272" s="15">
        <f t="shared" si="26"/>
        <v>0</v>
      </c>
      <c r="Q272" s="15">
        <f t="shared" si="27"/>
        <v>0</v>
      </c>
      <c r="R272" s="17">
        <v>1368</v>
      </c>
    </row>
    <row r="273" spans="1:18" ht="16.5" x14ac:dyDescent="0.25">
      <c r="A273" s="12">
        <v>1369</v>
      </c>
      <c r="B273" s="13" t="s">
        <v>261</v>
      </c>
      <c r="C273" s="13" t="s">
        <v>43</v>
      </c>
      <c r="D273" s="14"/>
      <c r="E273" s="15">
        <v>6400</v>
      </c>
      <c r="F273" s="15">
        <v>300</v>
      </c>
      <c r="G273" s="15">
        <v>400</v>
      </c>
      <c r="H273" s="15">
        <f t="shared" si="28"/>
        <v>7100</v>
      </c>
      <c r="I273" s="15">
        <f t="shared" si="29"/>
        <v>0</v>
      </c>
      <c r="J273" s="16"/>
      <c r="K273" s="15"/>
      <c r="L273" s="15">
        <f t="shared" si="24"/>
        <v>0</v>
      </c>
      <c r="M273" s="16"/>
      <c r="N273" s="16"/>
      <c r="O273" s="15">
        <f t="shared" si="25"/>
        <v>0</v>
      </c>
      <c r="P273" s="15">
        <f t="shared" si="26"/>
        <v>0</v>
      </c>
      <c r="Q273" s="15">
        <f t="shared" si="27"/>
        <v>0</v>
      </c>
      <c r="R273" s="17">
        <v>1369</v>
      </c>
    </row>
    <row r="274" spans="1:18" ht="16.5" x14ac:dyDescent="0.25">
      <c r="A274" s="12">
        <v>1370</v>
      </c>
      <c r="B274" s="13" t="s">
        <v>262</v>
      </c>
      <c r="C274" s="13" t="s">
        <v>43</v>
      </c>
      <c r="D274" s="19"/>
      <c r="E274" s="15">
        <v>6400</v>
      </c>
      <c r="F274" s="15">
        <v>300</v>
      </c>
      <c r="G274" s="15">
        <v>400</v>
      </c>
      <c r="H274" s="15">
        <f t="shared" si="28"/>
        <v>7100</v>
      </c>
      <c r="I274" s="15">
        <f t="shared" si="29"/>
        <v>0</v>
      </c>
      <c r="J274" s="20"/>
      <c r="K274" s="15"/>
      <c r="L274" s="15">
        <f t="shared" si="24"/>
        <v>0</v>
      </c>
      <c r="M274" s="20"/>
      <c r="N274" s="20"/>
      <c r="O274" s="15">
        <f t="shared" si="25"/>
        <v>0</v>
      </c>
      <c r="P274" s="15">
        <f t="shared" si="26"/>
        <v>0</v>
      </c>
      <c r="Q274" s="15">
        <f t="shared" si="27"/>
        <v>0</v>
      </c>
      <c r="R274" s="17">
        <v>1370</v>
      </c>
    </row>
    <row r="275" spans="1:18" ht="16.5" x14ac:dyDescent="0.25">
      <c r="A275" s="12">
        <v>1373</v>
      </c>
      <c r="B275" s="13" t="s">
        <v>98</v>
      </c>
      <c r="C275" s="13" t="s">
        <v>30</v>
      </c>
      <c r="D275" s="14">
        <v>175</v>
      </c>
      <c r="E275" s="15">
        <v>6400</v>
      </c>
      <c r="F275" s="15">
        <v>600</v>
      </c>
      <c r="G275" s="15">
        <v>400</v>
      </c>
      <c r="H275" s="15">
        <f t="shared" si="28"/>
        <v>7400</v>
      </c>
      <c r="I275" s="15">
        <f t="shared" si="29"/>
        <v>1295000</v>
      </c>
      <c r="J275" s="16"/>
      <c r="K275" s="15">
        <v>410000</v>
      </c>
      <c r="L275" s="15">
        <f t="shared" si="24"/>
        <v>3500</v>
      </c>
      <c r="M275" s="16"/>
      <c r="N275" s="16"/>
      <c r="O275" s="15">
        <f t="shared" si="25"/>
        <v>43750</v>
      </c>
      <c r="P275" s="15">
        <f t="shared" si="26"/>
        <v>457250</v>
      </c>
      <c r="Q275" s="15">
        <f t="shared" si="27"/>
        <v>837750</v>
      </c>
      <c r="R275" s="17">
        <v>1373</v>
      </c>
    </row>
    <row r="276" spans="1:18" ht="16.5" x14ac:dyDescent="0.25">
      <c r="A276" s="12">
        <v>1374</v>
      </c>
      <c r="B276" s="13" t="s">
        <v>239</v>
      </c>
      <c r="C276" s="13" t="s">
        <v>43</v>
      </c>
      <c r="D276" s="20"/>
      <c r="E276" s="15">
        <v>6400</v>
      </c>
      <c r="F276" s="15">
        <v>300</v>
      </c>
      <c r="G276" s="15">
        <v>400</v>
      </c>
      <c r="H276" s="15">
        <f t="shared" si="28"/>
        <v>7100</v>
      </c>
      <c r="I276" s="15">
        <f t="shared" si="29"/>
        <v>0</v>
      </c>
      <c r="J276" s="20"/>
      <c r="K276" s="15"/>
      <c r="L276" s="15">
        <f t="shared" si="24"/>
        <v>0</v>
      </c>
      <c r="M276" s="20"/>
      <c r="N276" s="20"/>
      <c r="O276" s="15">
        <f t="shared" si="25"/>
        <v>0</v>
      </c>
      <c r="P276" s="15">
        <f t="shared" si="26"/>
        <v>0</v>
      </c>
      <c r="Q276" s="15">
        <f t="shared" si="27"/>
        <v>0</v>
      </c>
      <c r="R276" s="17">
        <v>1374</v>
      </c>
    </row>
    <row r="277" spans="1:18" ht="16.5" x14ac:dyDescent="0.25">
      <c r="A277" s="12">
        <v>1376</v>
      </c>
      <c r="B277" s="13" t="s">
        <v>263</v>
      </c>
      <c r="C277" s="13" t="s">
        <v>30</v>
      </c>
      <c r="D277" s="16"/>
      <c r="E277" s="15">
        <v>6400</v>
      </c>
      <c r="F277" s="15">
        <v>500</v>
      </c>
      <c r="G277" s="15">
        <v>400</v>
      </c>
      <c r="H277" s="15">
        <f t="shared" si="28"/>
        <v>7300</v>
      </c>
      <c r="I277" s="15">
        <f t="shared" si="29"/>
        <v>0</v>
      </c>
      <c r="J277" s="16"/>
      <c r="K277" s="15"/>
      <c r="L277" s="15">
        <f t="shared" si="24"/>
        <v>0</v>
      </c>
      <c r="M277" s="16"/>
      <c r="N277" s="16"/>
      <c r="O277" s="15">
        <f t="shared" si="25"/>
        <v>0</v>
      </c>
      <c r="P277" s="15">
        <f t="shared" si="26"/>
        <v>0</v>
      </c>
      <c r="Q277" s="15">
        <f t="shared" si="27"/>
        <v>0</v>
      </c>
      <c r="R277" s="17">
        <v>1376</v>
      </c>
    </row>
    <row r="278" spans="1:18" ht="16.5" x14ac:dyDescent="0.25">
      <c r="A278" s="12">
        <v>1378</v>
      </c>
      <c r="B278" s="13" t="s">
        <v>264</v>
      </c>
      <c r="C278" s="13" t="s">
        <v>54</v>
      </c>
      <c r="D278" s="16"/>
      <c r="E278" s="15">
        <v>6400</v>
      </c>
      <c r="F278" s="15">
        <v>300</v>
      </c>
      <c r="G278" s="15">
        <v>400</v>
      </c>
      <c r="H278" s="15">
        <f t="shared" si="28"/>
        <v>7100</v>
      </c>
      <c r="I278" s="15">
        <f t="shared" si="29"/>
        <v>0</v>
      </c>
      <c r="J278" s="20"/>
      <c r="K278" s="15"/>
      <c r="L278" s="15">
        <f t="shared" si="24"/>
        <v>0</v>
      </c>
      <c r="M278" s="20"/>
      <c r="N278" s="20"/>
      <c r="O278" s="15">
        <f t="shared" si="25"/>
        <v>0</v>
      </c>
      <c r="P278" s="15">
        <f t="shared" si="26"/>
        <v>0</v>
      </c>
      <c r="Q278" s="15">
        <f t="shared" si="27"/>
        <v>0</v>
      </c>
      <c r="R278" s="17">
        <v>1378</v>
      </c>
    </row>
    <row r="279" spans="1:18" ht="16.5" x14ac:dyDescent="0.25">
      <c r="A279" s="12">
        <v>1379</v>
      </c>
      <c r="B279" s="13" t="s">
        <v>265</v>
      </c>
      <c r="C279" s="13" t="s">
        <v>25</v>
      </c>
      <c r="D279" s="20"/>
      <c r="E279" s="15">
        <v>6400</v>
      </c>
      <c r="F279" s="15">
        <v>300</v>
      </c>
      <c r="G279" s="15">
        <v>400</v>
      </c>
      <c r="H279" s="15">
        <f t="shared" si="28"/>
        <v>7100</v>
      </c>
      <c r="I279" s="15">
        <f t="shared" si="29"/>
        <v>0</v>
      </c>
      <c r="J279" s="16"/>
      <c r="K279" s="15"/>
      <c r="L279" s="15">
        <f t="shared" si="24"/>
        <v>0</v>
      </c>
      <c r="M279" s="16"/>
      <c r="N279" s="16"/>
      <c r="O279" s="15">
        <f t="shared" si="25"/>
        <v>0</v>
      </c>
      <c r="P279" s="15">
        <f t="shared" si="26"/>
        <v>0</v>
      </c>
      <c r="Q279" s="15">
        <f t="shared" si="27"/>
        <v>0</v>
      </c>
      <c r="R279" s="17">
        <v>1379</v>
      </c>
    </row>
    <row r="280" spans="1:18" ht="16.5" x14ac:dyDescent="0.25">
      <c r="A280" s="12">
        <v>1380</v>
      </c>
      <c r="B280" s="13" t="s">
        <v>266</v>
      </c>
      <c r="C280" s="13" t="s">
        <v>25</v>
      </c>
      <c r="D280" s="16"/>
      <c r="E280" s="15">
        <v>6400</v>
      </c>
      <c r="F280" s="15">
        <v>300</v>
      </c>
      <c r="G280" s="15">
        <v>400</v>
      </c>
      <c r="H280" s="15">
        <f t="shared" si="28"/>
        <v>7100</v>
      </c>
      <c r="I280" s="15">
        <f t="shared" si="29"/>
        <v>0</v>
      </c>
      <c r="J280" s="20"/>
      <c r="K280" s="15"/>
      <c r="L280" s="15">
        <f t="shared" si="24"/>
        <v>0</v>
      </c>
      <c r="M280" s="16"/>
      <c r="N280" s="16"/>
      <c r="O280" s="15">
        <f t="shared" si="25"/>
        <v>0</v>
      </c>
      <c r="P280" s="15">
        <f t="shared" si="26"/>
        <v>0</v>
      </c>
      <c r="Q280" s="15">
        <f t="shared" si="27"/>
        <v>0</v>
      </c>
      <c r="R280" s="17">
        <v>1380</v>
      </c>
    </row>
    <row r="281" spans="1:18" ht="16.5" x14ac:dyDescent="0.25">
      <c r="A281" s="12">
        <v>1381</v>
      </c>
      <c r="B281" s="13" t="s">
        <v>191</v>
      </c>
      <c r="C281" s="13" t="s">
        <v>43</v>
      </c>
      <c r="D281" s="20"/>
      <c r="E281" s="15">
        <v>6400</v>
      </c>
      <c r="F281" s="15">
        <v>500</v>
      </c>
      <c r="G281" s="15">
        <v>400</v>
      </c>
      <c r="H281" s="15">
        <f t="shared" si="28"/>
        <v>7300</v>
      </c>
      <c r="I281" s="15">
        <f t="shared" si="29"/>
        <v>0</v>
      </c>
      <c r="J281" s="16"/>
      <c r="K281" s="15"/>
      <c r="L281" s="15">
        <f t="shared" si="24"/>
        <v>0</v>
      </c>
      <c r="M281" s="16"/>
      <c r="N281" s="16"/>
      <c r="O281" s="15">
        <f t="shared" si="25"/>
        <v>0</v>
      </c>
      <c r="P281" s="15">
        <f t="shared" si="26"/>
        <v>0</v>
      </c>
      <c r="Q281" s="15">
        <f t="shared" si="27"/>
        <v>0</v>
      </c>
      <c r="R281" s="17">
        <v>1381</v>
      </c>
    </row>
    <row r="282" spans="1:18" ht="16.5" x14ac:dyDescent="0.25">
      <c r="A282" s="12">
        <v>1382</v>
      </c>
      <c r="B282" s="13" t="s">
        <v>267</v>
      </c>
      <c r="C282" s="13" t="s">
        <v>82</v>
      </c>
      <c r="D282" s="14">
        <v>495</v>
      </c>
      <c r="E282" s="15">
        <v>6400</v>
      </c>
      <c r="F282" s="15">
        <v>500</v>
      </c>
      <c r="G282" s="15">
        <v>400</v>
      </c>
      <c r="H282" s="15">
        <f t="shared" si="28"/>
        <v>7300</v>
      </c>
      <c r="I282" s="15">
        <f t="shared" si="29"/>
        <v>3613500</v>
      </c>
      <c r="J282" s="16"/>
      <c r="K282" s="15"/>
      <c r="L282" s="15">
        <f t="shared" si="24"/>
        <v>9900</v>
      </c>
      <c r="M282" s="16"/>
      <c r="N282" s="16"/>
      <c r="O282" s="15">
        <f t="shared" si="25"/>
        <v>123750</v>
      </c>
      <c r="P282" s="15">
        <f t="shared" si="26"/>
        <v>133650</v>
      </c>
      <c r="Q282" s="15">
        <f t="shared" si="27"/>
        <v>3479850</v>
      </c>
      <c r="R282" s="17">
        <v>1382</v>
      </c>
    </row>
    <row r="283" spans="1:18" ht="16.5" x14ac:dyDescent="0.25">
      <c r="A283" s="12">
        <v>1384</v>
      </c>
      <c r="B283" s="13" t="s">
        <v>268</v>
      </c>
      <c r="C283" s="13" t="s">
        <v>25</v>
      </c>
      <c r="D283" s="16"/>
      <c r="E283" s="15">
        <v>6400</v>
      </c>
      <c r="F283" s="15">
        <v>300</v>
      </c>
      <c r="G283" s="15">
        <v>400</v>
      </c>
      <c r="H283" s="15">
        <f t="shared" si="28"/>
        <v>7100</v>
      </c>
      <c r="I283" s="15">
        <f t="shared" si="29"/>
        <v>0</v>
      </c>
      <c r="J283" s="16"/>
      <c r="K283" s="15"/>
      <c r="L283" s="15">
        <f t="shared" si="24"/>
        <v>0</v>
      </c>
      <c r="M283" s="16"/>
      <c r="N283" s="16"/>
      <c r="O283" s="15">
        <f t="shared" si="25"/>
        <v>0</v>
      </c>
      <c r="P283" s="15">
        <f t="shared" si="26"/>
        <v>0</v>
      </c>
      <c r="Q283" s="15">
        <f t="shared" si="27"/>
        <v>0</v>
      </c>
      <c r="R283" s="17">
        <v>1384</v>
      </c>
    </row>
    <row r="284" spans="1:18" ht="16.5" x14ac:dyDescent="0.25">
      <c r="A284" s="12">
        <v>1386</v>
      </c>
      <c r="B284" s="13" t="s">
        <v>269</v>
      </c>
      <c r="C284" s="13" t="s">
        <v>25</v>
      </c>
      <c r="D284" s="29"/>
      <c r="E284" s="15">
        <v>6400</v>
      </c>
      <c r="F284" s="15">
        <v>300</v>
      </c>
      <c r="G284" s="15">
        <v>400</v>
      </c>
      <c r="H284" s="15">
        <f t="shared" si="28"/>
        <v>7100</v>
      </c>
      <c r="I284" s="15">
        <f t="shared" si="29"/>
        <v>0</v>
      </c>
      <c r="J284" s="16"/>
      <c r="K284" s="15"/>
      <c r="L284" s="15">
        <f t="shared" si="24"/>
        <v>0</v>
      </c>
      <c r="M284" s="16"/>
      <c r="N284" s="16"/>
      <c r="O284" s="15">
        <f t="shared" si="25"/>
        <v>0</v>
      </c>
      <c r="P284" s="15">
        <f t="shared" si="26"/>
        <v>0</v>
      </c>
      <c r="Q284" s="15">
        <f t="shared" si="27"/>
        <v>0</v>
      </c>
      <c r="R284" s="17">
        <v>1386</v>
      </c>
    </row>
    <row r="285" spans="1:18" ht="16.5" x14ac:dyDescent="0.25">
      <c r="A285" s="12">
        <v>1388</v>
      </c>
      <c r="B285" s="13" t="s">
        <v>270</v>
      </c>
      <c r="C285" s="13" t="s">
        <v>25</v>
      </c>
      <c r="D285" s="16"/>
      <c r="E285" s="15">
        <v>6400</v>
      </c>
      <c r="F285" s="15">
        <v>300</v>
      </c>
      <c r="G285" s="15">
        <v>400</v>
      </c>
      <c r="H285" s="15">
        <f t="shared" si="28"/>
        <v>7100</v>
      </c>
      <c r="I285" s="15">
        <f t="shared" si="29"/>
        <v>0</v>
      </c>
      <c r="J285" s="16"/>
      <c r="K285" s="15"/>
      <c r="L285" s="15">
        <f t="shared" si="24"/>
        <v>0</v>
      </c>
      <c r="M285" s="20"/>
      <c r="N285" s="20"/>
      <c r="O285" s="15">
        <f t="shared" si="25"/>
        <v>0</v>
      </c>
      <c r="P285" s="15">
        <f t="shared" si="26"/>
        <v>0</v>
      </c>
      <c r="Q285" s="15">
        <f t="shared" si="27"/>
        <v>0</v>
      </c>
      <c r="R285" s="17">
        <v>1388</v>
      </c>
    </row>
    <row r="286" spans="1:18" ht="16.5" x14ac:dyDescent="0.25">
      <c r="A286" s="12">
        <v>1389</v>
      </c>
      <c r="B286" s="13" t="s">
        <v>271</v>
      </c>
      <c r="C286" s="13" t="s">
        <v>82</v>
      </c>
      <c r="D286" s="14">
        <v>229</v>
      </c>
      <c r="E286" s="15">
        <v>6400</v>
      </c>
      <c r="F286" s="15">
        <v>500</v>
      </c>
      <c r="G286" s="15">
        <v>400</v>
      </c>
      <c r="H286" s="15">
        <f t="shared" si="28"/>
        <v>7300</v>
      </c>
      <c r="I286" s="15">
        <f t="shared" si="29"/>
        <v>1671700</v>
      </c>
      <c r="J286" s="16"/>
      <c r="K286" s="15">
        <v>820000</v>
      </c>
      <c r="L286" s="15">
        <f t="shared" si="24"/>
        <v>4580</v>
      </c>
      <c r="M286" s="20"/>
      <c r="N286" s="20"/>
      <c r="O286" s="15">
        <f t="shared" si="25"/>
        <v>57250</v>
      </c>
      <c r="P286" s="15">
        <f t="shared" si="26"/>
        <v>881830</v>
      </c>
      <c r="Q286" s="15">
        <f t="shared" si="27"/>
        <v>789870</v>
      </c>
      <c r="R286" s="17">
        <v>1389</v>
      </c>
    </row>
    <row r="287" spans="1:18" ht="16.5" x14ac:dyDescent="0.25">
      <c r="A287" s="12">
        <v>1390</v>
      </c>
      <c r="B287" s="13" t="s">
        <v>110</v>
      </c>
      <c r="C287" s="13" t="s">
        <v>82</v>
      </c>
      <c r="D287" s="14">
        <v>264</v>
      </c>
      <c r="E287" s="15">
        <v>6400</v>
      </c>
      <c r="F287" s="15">
        <v>600</v>
      </c>
      <c r="G287" s="15">
        <v>400</v>
      </c>
      <c r="H287" s="15">
        <f t="shared" si="28"/>
        <v>7400</v>
      </c>
      <c r="I287" s="15">
        <f t="shared" si="29"/>
        <v>1953600</v>
      </c>
      <c r="J287" s="20"/>
      <c r="K287" s="15"/>
      <c r="L287" s="15">
        <f t="shared" si="24"/>
        <v>5280</v>
      </c>
      <c r="M287" s="16"/>
      <c r="N287" s="16"/>
      <c r="O287" s="15">
        <f t="shared" si="25"/>
        <v>66000</v>
      </c>
      <c r="P287" s="15">
        <f t="shared" si="26"/>
        <v>71280</v>
      </c>
      <c r="Q287" s="15">
        <f t="shared" si="27"/>
        <v>1882320</v>
      </c>
      <c r="R287" s="17">
        <v>1390</v>
      </c>
    </row>
    <row r="288" spans="1:18" ht="16.5" x14ac:dyDescent="0.25">
      <c r="A288" s="12">
        <v>1391</v>
      </c>
      <c r="B288" s="13" t="s">
        <v>239</v>
      </c>
      <c r="C288" s="13" t="s">
        <v>25</v>
      </c>
      <c r="D288" s="20"/>
      <c r="E288" s="15">
        <v>6400</v>
      </c>
      <c r="F288" s="15">
        <v>300</v>
      </c>
      <c r="G288" s="15">
        <v>400</v>
      </c>
      <c r="H288" s="15">
        <f t="shared" si="28"/>
        <v>7100</v>
      </c>
      <c r="I288" s="15">
        <f t="shared" si="29"/>
        <v>0</v>
      </c>
      <c r="J288" s="20"/>
      <c r="K288" s="15"/>
      <c r="L288" s="15">
        <f t="shared" si="24"/>
        <v>0</v>
      </c>
      <c r="M288" s="16"/>
      <c r="N288" s="16"/>
      <c r="O288" s="15">
        <f t="shared" si="25"/>
        <v>0</v>
      </c>
      <c r="P288" s="15">
        <f t="shared" si="26"/>
        <v>0</v>
      </c>
      <c r="Q288" s="15">
        <f t="shared" si="27"/>
        <v>0</v>
      </c>
      <c r="R288" s="17">
        <v>1391</v>
      </c>
    </row>
    <row r="289" spans="1:18" ht="16.5" x14ac:dyDescent="0.25">
      <c r="A289" s="12">
        <v>1392</v>
      </c>
      <c r="B289" s="13" t="s">
        <v>272</v>
      </c>
      <c r="C289" s="13" t="s">
        <v>25</v>
      </c>
      <c r="D289" s="20"/>
      <c r="E289" s="15">
        <v>6400</v>
      </c>
      <c r="F289" s="15">
        <v>400</v>
      </c>
      <c r="G289" s="15">
        <v>400</v>
      </c>
      <c r="H289" s="15">
        <f t="shared" si="28"/>
        <v>7200</v>
      </c>
      <c r="I289" s="15">
        <f t="shared" si="29"/>
        <v>0</v>
      </c>
      <c r="J289" s="16"/>
      <c r="K289" s="15"/>
      <c r="L289" s="15">
        <f t="shared" si="24"/>
        <v>0</v>
      </c>
      <c r="M289" s="20"/>
      <c r="N289" s="20"/>
      <c r="O289" s="15">
        <f t="shared" si="25"/>
        <v>0</v>
      </c>
      <c r="P289" s="15">
        <f t="shared" si="26"/>
        <v>0</v>
      </c>
      <c r="Q289" s="15">
        <f t="shared" si="27"/>
        <v>0</v>
      </c>
      <c r="R289" s="17">
        <v>1392</v>
      </c>
    </row>
    <row r="290" spans="1:18" ht="16.5" x14ac:dyDescent="0.25">
      <c r="A290" s="12">
        <v>1396</v>
      </c>
      <c r="B290" s="13" t="s">
        <v>273</v>
      </c>
      <c r="C290" s="13" t="s">
        <v>25</v>
      </c>
      <c r="D290" s="16">
        <v>181</v>
      </c>
      <c r="E290" s="15">
        <v>6400</v>
      </c>
      <c r="F290" s="15">
        <v>400</v>
      </c>
      <c r="G290" s="15">
        <v>400</v>
      </c>
      <c r="H290" s="15">
        <f t="shared" si="28"/>
        <v>7200</v>
      </c>
      <c r="I290" s="15">
        <f t="shared" si="29"/>
        <v>1303200</v>
      </c>
      <c r="J290" s="16"/>
      <c r="K290" s="15">
        <v>410000</v>
      </c>
      <c r="L290" s="15">
        <f t="shared" si="24"/>
        <v>3620</v>
      </c>
      <c r="M290" s="16"/>
      <c r="N290" s="16"/>
      <c r="O290" s="15">
        <f t="shared" si="25"/>
        <v>45250</v>
      </c>
      <c r="P290" s="15">
        <f t="shared" si="26"/>
        <v>458870</v>
      </c>
      <c r="Q290" s="15">
        <f t="shared" si="27"/>
        <v>844330</v>
      </c>
      <c r="R290" s="17">
        <v>1396</v>
      </c>
    </row>
    <row r="291" spans="1:18" ht="16.5" x14ac:dyDescent="0.25">
      <c r="A291" s="12">
        <v>1398</v>
      </c>
      <c r="B291" s="13" t="s">
        <v>211</v>
      </c>
      <c r="C291" s="13" t="s">
        <v>43</v>
      </c>
      <c r="D291" s="16">
        <v>327</v>
      </c>
      <c r="E291" s="15">
        <v>6400</v>
      </c>
      <c r="F291" s="15">
        <v>500</v>
      </c>
      <c r="G291" s="15">
        <v>400</v>
      </c>
      <c r="H291" s="15">
        <f t="shared" si="28"/>
        <v>7300</v>
      </c>
      <c r="I291" s="15">
        <f t="shared" si="29"/>
        <v>2387100</v>
      </c>
      <c r="J291" s="20"/>
      <c r="K291" s="15">
        <v>820000</v>
      </c>
      <c r="L291" s="15">
        <f t="shared" si="24"/>
        <v>6540</v>
      </c>
      <c r="M291" s="16"/>
      <c r="N291" s="16"/>
      <c r="O291" s="15">
        <f t="shared" si="25"/>
        <v>81750</v>
      </c>
      <c r="P291" s="15">
        <f t="shared" si="26"/>
        <v>908290</v>
      </c>
      <c r="Q291" s="15">
        <f t="shared" si="27"/>
        <v>1478810</v>
      </c>
      <c r="R291" s="17">
        <v>1398</v>
      </c>
    </row>
    <row r="292" spans="1:18" ht="16.5" x14ac:dyDescent="0.25">
      <c r="A292" s="12">
        <v>1400</v>
      </c>
      <c r="B292" s="13" t="s">
        <v>422</v>
      </c>
      <c r="C292" s="13" t="s">
        <v>423</v>
      </c>
      <c r="D292" s="16"/>
      <c r="E292" s="15">
        <v>6400</v>
      </c>
      <c r="F292" s="15">
        <v>300</v>
      </c>
      <c r="G292" s="15">
        <v>400</v>
      </c>
      <c r="H292" s="15">
        <f t="shared" si="28"/>
        <v>7100</v>
      </c>
      <c r="I292" s="15">
        <f t="shared" si="29"/>
        <v>0</v>
      </c>
      <c r="J292" s="30"/>
      <c r="K292" s="15"/>
      <c r="L292" s="15">
        <f t="shared" si="24"/>
        <v>0</v>
      </c>
      <c r="M292" s="16"/>
      <c r="N292" s="16"/>
      <c r="O292" s="15">
        <f t="shared" si="25"/>
        <v>0</v>
      </c>
      <c r="P292" s="15">
        <f t="shared" si="26"/>
        <v>0</v>
      </c>
      <c r="Q292" s="15">
        <f t="shared" si="27"/>
        <v>0</v>
      </c>
      <c r="R292" s="17">
        <v>1400</v>
      </c>
    </row>
    <row r="293" spans="1:18" ht="16.5" x14ac:dyDescent="0.25">
      <c r="A293" s="12">
        <v>1403</v>
      </c>
      <c r="B293" s="13" t="s">
        <v>274</v>
      </c>
      <c r="C293" s="13" t="s">
        <v>43</v>
      </c>
      <c r="D293" s="20"/>
      <c r="E293" s="15">
        <v>6400</v>
      </c>
      <c r="F293" s="15">
        <v>500</v>
      </c>
      <c r="G293" s="15">
        <v>400</v>
      </c>
      <c r="H293" s="15">
        <f t="shared" si="28"/>
        <v>7300</v>
      </c>
      <c r="I293" s="15">
        <f t="shared" si="29"/>
        <v>0</v>
      </c>
      <c r="J293" s="16"/>
      <c r="K293" s="31"/>
      <c r="L293" s="15">
        <f t="shared" si="24"/>
        <v>0</v>
      </c>
      <c r="M293" s="16"/>
      <c r="N293" s="16"/>
      <c r="O293" s="15">
        <f t="shared" si="25"/>
        <v>0</v>
      </c>
      <c r="P293" s="15">
        <f t="shared" si="26"/>
        <v>0</v>
      </c>
      <c r="Q293" s="15">
        <f t="shared" si="27"/>
        <v>0</v>
      </c>
      <c r="R293" s="17">
        <v>1403</v>
      </c>
    </row>
    <row r="294" spans="1:18" ht="16.5" x14ac:dyDescent="0.25">
      <c r="A294" s="12">
        <v>1404</v>
      </c>
      <c r="B294" s="13" t="s">
        <v>275</v>
      </c>
      <c r="C294" s="13" t="s">
        <v>43</v>
      </c>
      <c r="D294" s="16">
        <v>151</v>
      </c>
      <c r="E294" s="15">
        <v>6400</v>
      </c>
      <c r="F294" s="15">
        <v>600</v>
      </c>
      <c r="G294" s="15">
        <v>400</v>
      </c>
      <c r="H294" s="15">
        <f t="shared" si="28"/>
        <v>7400</v>
      </c>
      <c r="I294" s="15">
        <f t="shared" si="29"/>
        <v>1117400</v>
      </c>
      <c r="J294" s="16"/>
      <c r="K294" s="15">
        <v>820000</v>
      </c>
      <c r="L294" s="15">
        <f t="shared" si="24"/>
        <v>3020</v>
      </c>
      <c r="M294" s="20"/>
      <c r="N294" s="20"/>
      <c r="O294" s="15">
        <f t="shared" si="25"/>
        <v>37750</v>
      </c>
      <c r="P294" s="15">
        <f t="shared" si="26"/>
        <v>860770</v>
      </c>
      <c r="Q294" s="15">
        <f t="shared" si="27"/>
        <v>256630</v>
      </c>
      <c r="R294" s="17">
        <v>1404</v>
      </c>
    </row>
    <row r="295" spans="1:18" ht="16.5" x14ac:dyDescent="0.25">
      <c r="A295" s="12">
        <v>1405</v>
      </c>
      <c r="B295" s="13" t="s">
        <v>276</v>
      </c>
      <c r="C295" s="13" t="s">
        <v>82</v>
      </c>
      <c r="D295" s="14">
        <v>109</v>
      </c>
      <c r="E295" s="15">
        <v>6400</v>
      </c>
      <c r="F295" s="15">
        <v>500</v>
      </c>
      <c r="G295" s="15">
        <v>400</v>
      </c>
      <c r="H295" s="15">
        <f t="shared" si="28"/>
        <v>7300</v>
      </c>
      <c r="I295" s="15">
        <f t="shared" si="29"/>
        <v>795700</v>
      </c>
      <c r="J295" s="16"/>
      <c r="K295" s="15"/>
      <c r="L295" s="15">
        <f t="shared" si="24"/>
        <v>2180</v>
      </c>
      <c r="M295" s="16"/>
      <c r="N295" s="16"/>
      <c r="O295" s="15">
        <f t="shared" si="25"/>
        <v>27250</v>
      </c>
      <c r="P295" s="15">
        <f t="shared" si="26"/>
        <v>29430</v>
      </c>
      <c r="Q295" s="15">
        <f t="shared" si="27"/>
        <v>766270</v>
      </c>
      <c r="R295" s="17">
        <v>1405</v>
      </c>
    </row>
    <row r="296" spans="1:18" ht="16.5" x14ac:dyDescent="0.25">
      <c r="A296" s="12">
        <v>1406</v>
      </c>
      <c r="B296" s="13" t="s">
        <v>277</v>
      </c>
      <c r="C296" s="13" t="s">
        <v>25</v>
      </c>
      <c r="D296" s="16">
        <v>104</v>
      </c>
      <c r="E296" s="15">
        <v>6400</v>
      </c>
      <c r="F296" s="15">
        <v>400</v>
      </c>
      <c r="G296" s="15">
        <v>400</v>
      </c>
      <c r="H296" s="15">
        <f t="shared" si="28"/>
        <v>7200</v>
      </c>
      <c r="I296" s="15">
        <f t="shared" si="29"/>
        <v>748800</v>
      </c>
      <c r="J296" s="20"/>
      <c r="K296" s="15">
        <v>615000</v>
      </c>
      <c r="L296" s="15">
        <f t="shared" si="24"/>
        <v>2080</v>
      </c>
      <c r="M296" s="20"/>
      <c r="N296" s="20"/>
      <c r="O296" s="15">
        <f t="shared" si="25"/>
        <v>26000</v>
      </c>
      <c r="P296" s="15">
        <f t="shared" si="26"/>
        <v>643080</v>
      </c>
      <c r="Q296" s="15">
        <f t="shared" si="27"/>
        <v>105720</v>
      </c>
      <c r="R296" s="17">
        <v>1406</v>
      </c>
    </row>
    <row r="297" spans="1:18" ht="16.5" x14ac:dyDescent="0.25">
      <c r="A297" s="12">
        <v>1407</v>
      </c>
      <c r="B297" s="13" t="s">
        <v>278</v>
      </c>
      <c r="C297" s="13" t="s">
        <v>25</v>
      </c>
      <c r="D297" s="20"/>
      <c r="E297" s="15">
        <v>6400</v>
      </c>
      <c r="F297" s="15">
        <v>400</v>
      </c>
      <c r="G297" s="15">
        <v>400</v>
      </c>
      <c r="H297" s="15">
        <f t="shared" si="28"/>
        <v>7200</v>
      </c>
      <c r="I297" s="15">
        <f t="shared" si="29"/>
        <v>0</v>
      </c>
      <c r="J297" s="32"/>
      <c r="K297" s="15"/>
      <c r="L297" s="15">
        <f t="shared" si="24"/>
        <v>0</v>
      </c>
      <c r="M297" s="16"/>
      <c r="N297" s="16"/>
      <c r="O297" s="15">
        <f t="shared" si="25"/>
        <v>0</v>
      </c>
      <c r="P297" s="15">
        <f t="shared" si="26"/>
        <v>0</v>
      </c>
      <c r="Q297" s="15">
        <f t="shared" si="27"/>
        <v>0</v>
      </c>
      <c r="R297" s="17">
        <v>1407</v>
      </c>
    </row>
    <row r="298" spans="1:18" ht="16.5" x14ac:dyDescent="0.25">
      <c r="A298" s="12">
        <v>1410</v>
      </c>
      <c r="B298" s="13" t="s">
        <v>279</v>
      </c>
      <c r="C298" s="13" t="s">
        <v>36</v>
      </c>
      <c r="D298" s="14">
        <v>755</v>
      </c>
      <c r="E298" s="15">
        <v>6400</v>
      </c>
      <c r="F298" s="15">
        <v>600</v>
      </c>
      <c r="G298" s="15">
        <v>400</v>
      </c>
      <c r="H298" s="15">
        <f t="shared" si="28"/>
        <v>7400</v>
      </c>
      <c r="I298" s="15">
        <f t="shared" si="29"/>
        <v>5587000</v>
      </c>
      <c r="J298" s="20"/>
      <c r="K298" s="15"/>
      <c r="L298" s="15">
        <f t="shared" si="24"/>
        <v>15100</v>
      </c>
      <c r="M298" s="20"/>
      <c r="N298" s="20"/>
      <c r="O298" s="15">
        <f t="shared" si="25"/>
        <v>188750</v>
      </c>
      <c r="P298" s="15">
        <f t="shared" si="26"/>
        <v>203850</v>
      </c>
      <c r="Q298" s="15">
        <f t="shared" si="27"/>
        <v>5383150</v>
      </c>
      <c r="R298" s="17">
        <v>1410</v>
      </c>
    </row>
    <row r="299" spans="1:18" ht="16.5" x14ac:dyDescent="0.25">
      <c r="A299" s="12">
        <v>1412</v>
      </c>
      <c r="B299" s="13" t="s">
        <v>280</v>
      </c>
      <c r="C299" s="13" t="s">
        <v>43</v>
      </c>
      <c r="D299" s="20"/>
      <c r="E299" s="15">
        <v>6400</v>
      </c>
      <c r="F299" s="15">
        <v>300</v>
      </c>
      <c r="G299" s="15">
        <v>400</v>
      </c>
      <c r="H299" s="15">
        <f t="shared" si="28"/>
        <v>7100</v>
      </c>
      <c r="I299" s="15">
        <f t="shared" si="29"/>
        <v>0</v>
      </c>
      <c r="J299" s="16"/>
      <c r="K299" s="15"/>
      <c r="L299" s="15">
        <f t="shared" si="24"/>
        <v>0</v>
      </c>
      <c r="M299" s="16"/>
      <c r="N299" s="16"/>
      <c r="O299" s="15">
        <f t="shared" si="25"/>
        <v>0</v>
      </c>
      <c r="P299" s="15">
        <f t="shared" si="26"/>
        <v>0</v>
      </c>
      <c r="Q299" s="15">
        <f t="shared" si="27"/>
        <v>0</v>
      </c>
      <c r="R299" s="17">
        <v>1412</v>
      </c>
    </row>
    <row r="300" spans="1:18" ht="16.5" x14ac:dyDescent="0.25">
      <c r="A300" s="12">
        <v>1414</v>
      </c>
      <c r="B300" s="13" t="s">
        <v>281</v>
      </c>
      <c r="C300" s="13" t="s">
        <v>25</v>
      </c>
      <c r="D300" s="16"/>
      <c r="E300" s="15">
        <v>6400</v>
      </c>
      <c r="F300" s="15">
        <v>300</v>
      </c>
      <c r="G300" s="15">
        <v>400</v>
      </c>
      <c r="H300" s="15">
        <f t="shared" si="28"/>
        <v>7100</v>
      </c>
      <c r="I300" s="15">
        <f t="shared" si="29"/>
        <v>0</v>
      </c>
      <c r="J300" s="20"/>
      <c r="K300" s="15"/>
      <c r="L300" s="15">
        <f t="shared" si="24"/>
        <v>0</v>
      </c>
      <c r="M300" s="16"/>
      <c r="N300" s="16"/>
      <c r="O300" s="15">
        <f t="shared" si="25"/>
        <v>0</v>
      </c>
      <c r="P300" s="15">
        <f t="shared" si="26"/>
        <v>0</v>
      </c>
      <c r="Q300" s="15">
        <f t="shared" si="27"/>
        <v>0</v>
      </c>
      <c r="R300" s="17">
        <v>1414</v>
      </c>
    </row>
    <row r="301" spans="1:18" ht="16.5" x14ac:dyDescent="0.25">
      <c r="A301" s="12">
        <v>1418</v>
      </c>
      <c r="B301" s="13" t="s">
        <v>282</v>
      </c>
      <c r="C301" s="13" t="s">
        <v>43</v>
      </c>
      <c r="D301" s="20"/>
      <c r="E301" s="15">
        <v>6400</v>
      </c>
      <c r="F301" s="15">
        <v>300</v>
      </c>
      <c r="G301" s="15">
        <v>400</v>
      </c>
      <c r="H301" s="15">
        <f t="shared" si="28"/>
        <v>7100</v>
      </c>
      <c r="I301" s="15">
        <f t="shared" si="29"/>
        <v>0</v>
      </c>
      <c r="J301" s="16"/>
      <c r="K301" s="15"/>
      <c r="L301" s="15">
        <f t="shared" si="24"/>
        <v>0</v>
      </c>
      <c r="M301" s="16"/>
      <c r="N301" s="16"/>
      <c r="O301" s="15">
        <f t="shared" si="25"/>
        <v>0</v>
      </c>
      <c r="P301" s="15">
        <f t="shared" si="26"/>
        <v>0</v>
      </c>
      <c r="Q301" s="15">
        <f t="shared" si="27"/>
        <v>0</v>
      </c>
      <c r="R301" s="17">
        <v>1418</v>
      </c>
    </row>
    <row r="302" spans="1:18" ht="16.5" x14ac:dyDescent="0.25">
      <c r="A302" s="12">
        <v>1419</v>
      </c>
      <c r="B302" s="13" t="s">
        <v>174</v>
      </c>
      <c r="C302" s="13" t="s">
        <v>47</v>
      </c>
      <c r="D302" s="14"/>
      <c r="E302" s="15">
        <v>6400</v>
      </c>
      <c r="F302" s="15">
        <v>300</v>
      </c>
      <c r="G302" s="15">
        <v>400</v>
      </c>
      <c r="H302" s="15">
        <f t="shared" si="28"/>
        <v>7100</v>
      </c>
      <c r="I302" s="15">
        <f t="shared" si="29"/>
        <v>0</v>
      </c>
      <c r="J302" s="16"/>
      <c r="K302" s="15"/>
      <c r="L302" s="15">
        <f t="shared" si="24"/>
        <v>0</v>
      </c>
      <c r="M302" s="20"/>
      <c r="N302" s="20"/>
      <c r="O302" s="15">
        <f t="shared" si="25"/>
        <v>0</v>
      </c>
      <c r="P302" s="15">
        <f t="shared" si="26"/>
        <v>0</v>
      </c>
      <c r="Q302" s="15">
        <f t="shared" si="27"/>
        <v>0</v>
      </c>
      <c r="R302" s="17">
        <v>1419</v>
      </c>
    </row>
    <row r="303" spans="1:18" ht="16.5" x14ac:dyDescent="0.25">
      <c r="A303" s="12">
        <v>1420</v>
      </c>
      <c r="B303" s="13" t="s">
        <v>174</v>
      </c>
      <c r="C303" s="13" t="s">
        <v>25</v>
      </c>
      <c r="D303" s="16"/>
      <c r="E303" s="15">
        <v>6400</v>
      </c>
      <c r="F303" s="15">
        <v>300</v>
      </c>
      <c r="G303" s="15">
        <v>400</v>
      </c>
      <c r="H303" s="15">
        <f t="shared" si="28"/>
        <v>7100</v>
      </c>
      <c r="I303" s="15">
        <f t="shared" si="29"/>
        <v>0</v>
      </c>
      <c r="J303" s="16"/>
      <c r="K303" s="15"/>
      <c r="L303" s="15">
        <f t="shared" si="24"/>
        <v>0</v>
      </c>
      <c r="M303" s="20"/>
      <c r="N303" s="20"/>
      <c r="O303" s="15">
        <f t="shared" si="25"/>
        <v>0</v>
      </c>
      <c r="P303" s="15">
        <f t="shared" si="26"/>
        <v>0</v>
      </c>
      <c r="Q303" s="15">
        <f t="shared" si="27"/>
        <v>0</v>
      </c>
      <c r="R303" s="17">
        <v>1420</v>
      </c>
    </row>
    <row r="304" spans="1:18" ht="16.5" x14ac:dyDescent="0.25">
      <c r="A304" s="12">
        <v>1421</v>
      </c>
      <c r="B304" s="13" t="s">
        <v>283</v>
      </c>
      <c r="C304" s="13" t="s">
        <v>43</v>
      </c>
      <c r="D304" s="14"/>
      <c r="E304" s="15">
        <v>6400</v>
      </c>
      <c r="F304" s="15">
        <v>300</v>
      </c>
      <c r="G304" s="15">
        <v>400</v>
      </c>
      <c r="H304" s="15">
        <f t="shared" si="28"/>
        <v>7100</v>
      </c>
      <c r="I304" s="15">
        <f t="shared" si="29"/>
        <v>0</v>
      </c>
      <c r="J304" s="20"/>
      <c r="K304" s="15"/>
      <c r="L304" s="15">
        <f t="shared" si="24"/>
        <v>0</v>
      </c>
      <c r="M304" s="16"/>
      <c r="N304" s="16"/>
      <c r="O304" s="15">
        <f t="shared" si="25"/>
        <v>0</v>
      </c>
      <c r="P304" s="15">
        <f t="shared" si="26"/>
        <v>0</v>
      </c>
      <c r="Q304" s="15">
        <f t="shared" si="27"/>
        <v>0</v>
      </c>
      <c r="R304" s="17">
        <v>1421</v>
      </c>
    </row>
    <row r="305" spans="1:18" ht="16.5" x14ac:dyDescent="0.25">
      <c r="A305" s="12">
        <v>1422</v>
      </c>
      <c r="B305" s="13" t="s">
        <v>284</v>
      </c>
      <c r="C305" s="13" t="s">
        <v>25</v>
      </c>
      <c r="D305" s="25"/>
      <c r="E305" s="15">
        <v>6400</v>
      </c>
      <c r="F305" s="15">
        <v>300</v>
      </c>
      <c r="G305" s="15">
        <v>400</v>
      </c>
      <c r="H305" s="15">
        <f t="shared" si="28"/>
        <v>7100</v>
      </c>
      <c r="I305" s="15">
        <f t="shared" si="29"/>
        <v>0</v>
      </c>
      <c r="J305" s="20"/>
      <c r="K305" s="15"/>
      <c r="L305" s="15">
        <f t="shared" si="24"/>
        <v>0</v>
      </c>
      <c r="M305" s="20"/>
      <c r="N305" s="20"/>
      <c r="O305" s="15">
        <f t="shared" si="25"/>
        <v>0</v>
      </c>
      <c r="P305" s="15">
        <f t="shared" si="26"/>
        <v>0</v>
      </c>
      <c r="Q305" s="15">
        <f t="shared" si="27"/>
        <v>0</v>
      </c>
      <c r="R305" s="17">
        <v>1422</v>
      </c>
    </row>
    <row r="306" spans="1:18" ht="16.5" x14ac:dyDescent="0.25">
      <c r="A306" s="12">
        <v>1423</v>
      </c>
      <c r="B306" s="13" t="s">
        <v>285</v>
      </c>
      <c r="C306" s="13" t="s">
        <v>43</v>
      </c>
      <c r="D306" s="19"/>
      <c r="E306" s="15">
        <v>6400</v>
      </c>
      <c r="F306" s="15">
        <v>300</v>
      </c>
      <c r="G306" s="15">
        <v>400</v>
      </c>
      <c r="H306" s="15">
        <f t="shared" si="28"/>
        <v>7100</v>
      </c>
      <c r="I306" s="15">
        <f t="shared" si="29"/>
        <v>0</v>
      </c>
      <c r="J306" s="16"/>
      <c r="K306" s="15"/>
      <c r="L306" s="15">
        <f t="shared" si="24"/>
        <v>0</v>
      </c>
      <c r="M306" s="20"/>
      <c r="N306" s="20"/>
      <c r="O306" s="15">
        <f t="shared" si="25"/>
        <v>0</v>
      </c>
      <c r="P306" s="15">
        <f t="shared" si="26"/>
        <v>0</v>
      </c>
      <c r="Q306" s="15">
        <f t="shared" si="27"/>
        <v>0</v>
      </c>
      <c r="R306" s="17">
        <v>1423</v>
      </c>
    </row>
    <row r="307" spans="1:18" ht="16.5" x14ac:dyDescent="0.25">
      <c r="A307" s="12">
        <v>1424</v>
      </c>
      <c r="B307" s="13" t="s">
        <v>286</v>
      </c>
      <c r="C307" s="13" t="s">
        <v>25</v>
      </c>
      <c r="D307" s="16"/>
      <c r="E307" s="15">
        <v>6400</v>
      </c>
      <c r="F307" s="15">
        <v>300</v>
      </c>
      <c r="G307" s="15">
        <v>400</v>
      </c>
      <c r="H307" s="15">
        <f t="shared" si="28"/>
        <v>7100</v>
      </c>
      <c r="I307" s="15">
        <f t="shared" si="29"/>
        <v>0</v>
      </c>
      <c r="J307" s="20"/>
      <c r="K307" s="15"/>
      <c r="L307" s="15">
        <f t="shared" si="24"/>
        <v>0</v>
      </c>
      <c r="M307" s="16"/>
      <c r="N307" s="16"/>
      <c r="O307" s="15">
        <f t="shared" si="25"/>
        <v>0</v>
      </c>
      <c r="P307" s="15">
        <f t="shared" si="26"/>
        <v>0</v>
      </c>
      <c r="Q307" s="15">
        <f t="shared" si="27"/>
        <v>0</v>
      </c>
      <c r="R307" s="17">
        <v>1424</v>
      </c>
    </row>
    <row r="308" spans="1:18" ht="16.5" x14ac:dyDescent="0.25">
      <c r="A308" s="12">
        <v>1426</v>
      </c>
      <c r="B308" s="13" t="s">
        <v>287</v>
      </c>
      <c r="C308" s="13" t="s">
        <v>30</v>
      </c>
      <c r="D308" s="19"/>
      <c r="E308" s="15">
        <v>6400</v>
      </c>
      <c r="F308" s="15">
        <v>300</v>
      </c>
      <c r="G308" s="15">
        <v>400</v>
      </c>
      <c r="H308" s="15">
        <f t="shared" si="28"/>
        <v>7100</v>
      </c>
      <c r="I308" s="15">
        <f t="shared" si="29"/>
        <v>0</v>
      </c>
      <c r="J308" s="20"/>
      <c r="K308" s="15"/>
      <c r="L308" s="15">
        <f t="shared" si="24"/>
        <v>0</v>
      </c>
      <c r="M308" s="20"/>
      <c r="N308" s="20"/>
      <c r="O308" s="15">
        <f t="shared" si="25"/>
        <v>0</v>
      </c>
      <c r="P308" s="15">
        <f t="shared" si="26"/>
        <v>0</v>
      </c>
      <c r="Q308" s="15">
        <f t="shared" si="27"/>
        <v>0</v>
      </c>
      <c r="R308" s="17">
        <v>1426</v>
      </c>
    </row>
    <row r="309" spans="1:18" ht="16.5" x14ac:dyDescent="0.25">
      <c r="A309" s="12">
        <v>1427</v>
      </c>
      <c r="B309" s="13" t="s">
        <v>288</v>
      </c>
      <c r="C309" s="13" t="s">
        <v>138</v>
      </c>
      <c r="D309" s="19"/>
      <c r="E309" s="15">
        <v>6400</v>
      </c>
      <c r="F309" s="15">
        <v>300</v>
      </c>
      <c r="G309" s="15">
        <v>400</v>
      </c>
      <c r="H309" s="15">
        <f t="shared" si="28"/>
        <v>7100</v>
      </c>
      <c r="I309" s="15">
        <f t="shared" si="29"/>
        <v>0</v>
      </c>
      <c r="J309" s="16"/>
      <c r="K309" s="15"/>
      <c r="L309" s="15">
        <f t="shared" si="24"/>
        <v>0</v>
      </c>
      <c r="M309" s="16"/>
      <c r="N309" s="16"/>
      <c r="O309" s="15">
        <f t="shared" si="25"/>
        <v>0</v>
      </c>
      <c r="P309" s="15">
        <f t="shared" si="26"/>
        <v>0</v>
      </c>
      <c r="Q309" s="15">
        <f t="shared" si="27"/>
        <v>0</v>
      </c>
      <c r="R309" s="17">
        <v>1427</v>
      </c>
    </row>
    <row r="310" spans="1:18" ht="16.5" x14ac:dyDescent="0.25">
      <c r="A310" s="12">
        <v>1428</v>
      </c>
      <c r="B310" s="13" t="s">
        <v>116</v>
      </c>
      <c r="C310" s="13" t="s">
        <v>54</v>
      </c>
      <c r="D310" s="14"/>
      <c r="E310" s="15">
        <v>6400</v>
      </c>
      <c r="F310" s="15">
        <v>500</v>
      </c>
      <c r="G310" s="15">
        <v>400</v>
      </c>
      <c r="H310" s="15">
        <f t="shared" si="28"/>
        <v>7300</v>
      </c>
      <c r="I310" s="15">
        <f t="shared" si="29"/>
        <v>0</v>
      </c>
      <c r="J310" s="20"/>
      <c r="K310" s="15"/>
      <c r="L310" s="15">
        <f t="shared" si="24"/>
        <v>0</v>
      </c>
      <c r="M310" s="16"/>
      <c r="N310" s="16"/>
      <c r="O310" s="15">
        <f t="shared" si="25"/>
        <v>0</v>
      </c>
      <c r="P310" s="15">
        <f t="shared" si="26"/>
        <v>0</v>
      </c>
      <c r="Q310" s="15">
        <f t="shared" si="27"/>
        <v>0</v>
      </c>
      <c r="R310" s="17">
        <v>1428</v>
      </c>
    </row>
    <row r="311" spans="1:18" ht="16.5" x14ac:dyDescent="0.25">
      <c r="A311" s="12">
        <v>1430</v>
      </c>
      <c r="B311" s="13" t="s">
        <v>220</v>
      </c>
      <c r="C311" s="13" t="s">
        <v>25</v>
      </c>
      <c r="D311" s="25"/>
      <c r="E311" s="15">
        <v>6400</v>
      </c>
      <c r="F311" s="15">
        <v>400</v>
      </c>
      <c r="G311" s="15">
        <v>400</v>
      </c>
      <c r="H311" s="15">
        <f t="shared" si="28"/>
        <v>7200</v>
      </c>
      <c r="I311" s="15">
        <f t="shared" si="29"/>
        <v>0</v>
      </c>
      <c r="J311" s="16"/>
      <c r="K311" s="15"/>
      <c r="L311" s="15">
        <f t="shared" si="24"/>
        <v>0</v>
      </c>
      <c r="M311" s="16"/>
      <c r="N311" s="16"/>
      <c r="O311" s="15">
        <f t="shared" si="25"/>
        <v>0</v>
      </c>
      <c r="P311" s="15">
        <f t="shared" si="26"/>
        <v>0</v>
      </c>
      <c r="Q311" s="15">
        <f t="shared" si="27"/>
        <v>0</v>
      </c>
      <c r="R311" s="17">
        <v>1430</v>
      </c>
    </row>
    <row r="312" spans="1:18" ht="16.5" x14ac:dyDescent="0.25">
      <c r="A312" s="12">
        <v>1432</v>
      </c>
      <c r="B312" s="13" t="s">
        <v>289</v>
      </c>
      <c r="C312" s="13" t="s">
        <v>290</v>
      </c>
      <c r="D312" s="14"/>
      <c r="E312" s="15">
        <v>6400</v>
      </c>
      <c r="F312" s="15">
        <v>400</v>
      </c>
      <c r="G312" s="15">
        <v>400</v>
      </c>
      <c r="H312" s="15">
        <f t="shared" si="28"/>
        <v>7200</v>
      </c>
      <c r="I312" s="15">
        <f t="shared" si="29"/>
        <v>0</v>
      </c>
      <c r="J312" s="16"/>
      <c r="K312" s="15"/>
      <c r="L312" s="15">
        <f t="shared" si="24"/>
        <v>0</v>
      </c>
      <c r="M312" s="16"/>
      <c r="N312" s="16"/>
      <c r="O312" s="15">
        <f t="shared" si="25"/>
        <v>0</v>
      </c>
      <c r="P312" s="15">
        <f t="shared" si="26"/>
        <v>0</v>
      </c>
      <c r="Q312" s="15">
        <f t="shared" si="27"/>
        <v>0</v>
      </c>
      <c r="R312" s="17">
        <v>1432</v>
      </c>
    </row>
    <row r="313" spans="1:18" ht="16.5" x14ac:dyDescent="0.25">
      <c r="A313" s="12">
        <v>1435</v>
      </c>
      <c r="B313" s="13" t="s">
        <v>112</v>
      </c>
      <c r="C313" s="13" t="s">
        <v>47</v>
      </c>
      <c r="D313" s="20"/>
      <c r="E313" s="15">
        <v>6400</v>
      </c>
      <c r="F313" s="15">
        <v>300</v>
      </c>
      <c r="G313" s="15">
        <v>400</v>
      </c>
      <c r="H313" s="15">
        <f t="shared" si="28"/>
        <v>7100</v>
      </c>
      <c r="I313" s="15">
        <f t="shared" si="29"/>
        <v>0</v>
      </c>
      <c r="J313" s="16"/>
      <c r="K313" s="15"/>
      <c r="L313" s="15">
        <f t="shared" si="24"/>
        <v>0</v>
      </c>
      <c r="M313" s="16"/>
      <c r="N313" s="16"/>
      <c r="O313" s="15">
        <f t="shared" si="25"/>
        <v>0</v>
      </c>
      <c r="P313" s="15">
        <f t="shared" si="26"/>
        <v>0</v>
      </c>
      <c r="Q313" s="15">
        <f t="shared" si="27"/>
        <v>0</v>
      </c>
      <c r="R313" s="17">
        <v>1435</v>
      </c>
    </row>
    <row r="314" spans="1:18" ht="16.5" x14ac:dyDescent="0.25">
      <c r="A314" s="12">
        <v>1437</v>
      </c>
      <c r="B314" s="13" t="s">
        <v>291</v>
      </c>
      <c r="C314" s="13" t="s">
        <v>25</v>
      </c>
      <c r="D314" s="16"/>
      <c r="E314" s="15">
        <v>6400</v>
      </c>
      <c r="F314" s="15">
        <v>400</v>
      </c>
      <c r="G314" s="15">
        <v>400</v>
      </c>
      <c r="H314" s="15">
        <f t="shared" si="28"/>
        <v>7200</v>
      </c>
      <c r="I314" s="15">
        <f t="shared" si="29"/>
        <v>0</v>
      </c>
      <c r="J314" s="16"/>
      <c r="K314" s="15"/>
      <c r="L314" s="15">
        <f t="shared" si="24"/>
        <v>0</v>
      </c>
      <c r="M314" s="16"/>
      <c r="N314" s="16"/>
      <c r="O314" s="15">
        <f t="shared" si="25"/>
        <v>0</v>
      </c>
      <c r="P314" s="15">
        <f t="shared" si="26"/>
        <v>0</v>
      </c>
      <c r="Q314" s="15">
        <f t="shared" si="27"/>
        <v>0</v>
      </c>
      <c r="R314" s="17">
        <v>1437</v>
      </c>
    </row>
    <row r="315" spans="1:18" ht="16.5" x14ac:dyDescent="0.25">
      <c r="A315" s="12">
        <v>1438</v>
      </c>
      <c r="B315" s="13" t="s">
        <v>119</v>
      </c>
      <c r="C315" s="13" t="s">
        <v>43</v>
      </c>
      <c r="D315" s="14">
        <v>383</v>
      </c>
      <c r="E315" s="15">
        <v>6400</v>
      </c>
      <c r="F315" s="15">
        <v>600</v>
      </c>
      <c r="G315" s="15">
        <v>400</v>
      </c>
      <c r="H315" s="15">
        <f t="shared" si="28"/>
        <v>7400</v>
      </c>
      <c r="I315" s="15">
        <f t="shared" si="29"/>
        <v>2834200</v>
      </c>
      <c r="J315" s="16"/>
      <c r="K315" s="15"/>
      <c r="L315" s="15">
        <f t="shared" si="24"/>
        <v>7660</v>
      </c>
      <c r="M315" s="20"/>
      <c r="N315" s="20"/>
      <c r="O315" s="15">
        <f t="shared" si="25"/>
        <v>95750</v>
      </c>
      <c r="P315" s="15">
        <f t="shared" si="26"/>
        <v>103410</v>
      </c>
      <c r="Q315" s="15">
        <f t="shared" si="27"/>
        <v>2730790</v>
      </c>
      <c r="R315" s="17">
        <v>1438</v>
      </c>
    </row>
    <row r="316" spans="1:18" ht="16.5" x14ac:dyDescent="0.25">
      <c r="A316" s="12">
        <v>1439</v>
      </c>
      <c r="B316" s="13" t="s">
        <v>28</v>
      </c>
      <c r="C316" s="13" t="s">
        <v>47</v>
      </c>
      <c r="D316" s="14">
        <v>49</v>
      </c>
      <c r="E316" s="15">
        <v>6400</v>
      </c>
      <c r="F316" s="15">
        <v>400</v>
      </c>
      <c r="G316" s="15">
        <v>400</v>
      </c>
      <c r="H316" s="15">
        <f t="shared" si="28"/>
        <v>7200</v>
      </c>
      <c r="I316" s="15">
        <f t="shared" si="29"/>
        <v>352800</v>
      </c>
      <c r="J316" s="16"/>
      <c r="K316" s="15">
        <v>205000</v>
      </c>
      <c r="L316" s="15">
        <f t="shared" si="24"/>
        <v>980</v>
      </c>
      <c r="M316" s="16"/>
      <c r="N316" s="16"/>
      <c r="O316" s="15">
        <f t="shared" si="25"/>
        <v>12250</v>
      </c>
      <c r="P316" s="15">
        <f t="shared" si="26"/>
        <v>218230</v>
      </c>
      <c r="Q316" s="15">
        <f t="shared" si="27"/>
        <v>134570</v>
      </c>
      <c r="R316" s="17">
        <v>1439</v>
      </c>
    </row>
    <row r="317" spans="1:18" ht="16.5" x14ac:dyDescent="0.25">
      <c r="A317" s="12">
        <v>1440</v>
      </c>
      <c r="B317" s="13" t="s">
        <v>292</v>
      </c>
      <c r="C317" s="13" t="s">
        <v>17</v>
      </c>
      <c r="D317" s="16"/>
      <c r="E317" s="15">
        <v>6400</v>
      </c>
      <c r="F317" s="15">
        <v>400</v>
      </c>
      <c r="G317" s="15">
        <v>400</v>
      </c>
      <c r="H317" s="15">
        <f t="shared" si="28"/>
        <v>7200</v>
      </c>
      <c r="I317" s="15">
        <f t="shared" si="29"/>
        <v>0</v>
      </c>
      <c r="J317" s="20"/>
      <c r="K317" s="15"/>
      <c r="L317" s="15">
        <f t="shared" si="24"/>
        <v>0</v>
      </c>
      <c r="M317" s="20"/>
      <c r="N317" s="20"/>
      <c r="O317" s="15">
        <f t="shared" si="25"/>
        <v>0</v>
      </c>
      <c r="P317" s="15">
        <f t="shared" si="26"/>
        <v>0</v>
      </c>
      <c r="Q317" s="15">
        <f t="shared" si="27"/>
        <v>0</v>
      </c>
      <c r="R317" s="17">
        <v>1440</v>
      </c>
    </row>
    <row r="318" spans="1:18" ht="16.5" x14ac:dyDescent="0.25">
      <c r="A318" s="12">
        <v>1442</v>
      </c>
      <c r="B318" s="13" t="s">
        <v>244</v>
      </c>
      <c r="C318" s="13" t="s">
        <v>21</v>
      </c>
      <c r="D318" s="19"/>
      <c r="E318" s="15">
        <v>6400</v>
      </c>
      <c r="F318" s="15">
        <v>400</v>
      </c>
      <c r="G318" s="15">
        <v>400</v>
      </c>
      <c r="H318" s="15">
        <f t="shared" si="28"/>
        <v>7200</v>
      </c>
      <c r="I318" s="15">
        <f t="shared" si="29"/>
        <v>0</v>
      </c>
      <c r="J318" s="16"/>
      <c r="K318" s="15"/>
      <c r="L318" s="15">
        <f t="shared" si="24"/>
        <v>0</v>
      </c>
      <c r="M318" s="20"/>
      <c r="N318" s="20"/>
      <c r="O318" s="15">
        <f t="shared" si="25"/>
        <v>0</v>
      </c>
      <c r="P318" s="15">
        <f t="shared" si="26"/>
        <v>0</v>
      </c>
      <c r="Q318" s="15">
        <f t="shared" si="27"/>
        <v>0</v>
      </c>
      <c r="R318" s="17">
        <v>1442</v>
      </c>
    </row>
    <row r="319" spans="1:18" ht="16.5" x14ac:dyDescent="0.25">
      <c r="A319" s="12">
        <v>1443</v>
      </c>
      <c r="B319" s="13" t="s">
        <v>293</v>
      </c>
      <c r="C319" s="13" t="s">
        <v>54</v>
      </c>
      <c r="D319" s="14">
        <v>32</v>
      </c>
      <c r="E319" s="15">
        <v>6400</v>
      </c>
      <c r="F319" s="15">
        <v>400</v>
      </c>
      <c r="G319" s="15">
        <v>400</v>
      </c>
      <c r="H319" s="15">
        <f t="shared" si="28"/>
        <v>7200</v>
      </c>
      <c r="I319" s="15">
        <f t="shared" si="29"/>
        <v>230400</v>
      </c>
      <c r="J319" s="20"/>
      <c r="K319" s="15"/>
      <c r="L319" s="15">
        <f t="shared" si="24"/>
        <v>640</v>
      </c>
      <c r="M319" s="20"/>
      <c r="N319" s="20"/>
      <c r="O319" s="15">
        <f t="shared" si="25"/>
        <v>8000</v>
      </c>
      <c r="P319" s="15">
        <f t="shared" si="26"/>
        <v>8640</v>
      </c>
      <c r="Q319" s="15">
        <f t="shared" si="27"/>
        <v>221760</v>
      </c>
      <c r="R319" s="17">
        <v>1443</v>
      </c>
    </row>
    <row r="320" spans="1:18" ht="16.5" x14ac:dyDescent="0.25">
      <c r="A320" s="12">
        <v>1445</v>
      </c>
      <c r="B320" s="13" t="s">
        <v>292</v>
      </c>
      <c r="C320" s="13" t="s">
        <v>17</v>
      </c>
      <c r="D320" s="19"/>
      <c r="E320" s="15">
        <v>6400</v>
      </c>
      <c r="F320" s="15">
        <v>400</v>
      </c>
      <c r="G320" s="15">
        <v>400</v>
      </c>
      <c r="H320" s="15">
        <f t="shared" si="28"/>
        <v>7200</v>
      </c>
      <c r="I320" s="15">
        <f t="shared" si="29"/>
        <v>0</v>
      </c>
      <c r="J320" s="20"/>
      <c r="K320" s="15"/>
      <c r="L320" s="15">
        <f t="shared" si="24"/>
        <v>0</v>
      </c>
      <c r="M320" s="16"/>
      <c r="N320" s="16"/>
      <c r="O320" s="15">
        <f t="shared" si="25"/>
        <v>0</v>
      </c>
      <c r="P320" s="15">
        <f t="shared" si="26"/>
        <v>0</v>
      </c>
      <c r="Q320" s="15">
        <f t="shared" si="27"/>
        <v>0</v>
      </c>
      <c r="R320" s="17">
        <v>1445</v>
      </c>
    </row>
    <row r="321" spans="1:18" ht="16.5" x14ac:dyDescent="0.25">
      <c r="A321" s="12">
        <v>1446</v>
      </c>
      <c r="B321" s="13" t="s">
        <v>294</v>
      </c>
      <c r="C321" s="13" t="s">
        <v>43</v>
      </c>
      <c r="D321" s="19">
        <v>117</v>
      </c>
      <c r="E321" s="15">
        <v>6400</v>
      </c>
      <c r="F321" s="15">
        <v>500</v>
      </c>
      <c r="G321" s="15">
        <v>400</v>
      </c>
      <c r="H321" s="15">
        <f t="shared" si="28"/>
        <v>7300</v>
      </c>
      <c r="I321" s="15">
        <f t="shared" si="29"/>
        <v>854100</v>
      </c>
      <c r="J321" s="20"/>
      <c r="K321" s="15">
        <v>205000</v>
      </c>
      <c r="L321" s="15">
        <f t="shared" si="24"/>
        <v>2340</v>
      </c>
      <c r="M321" s="16"/>
      <c r="N321" s="16"/>
      <c r="O321" s="15">
        <f t="shared" si="25"/>
        <v>29250</v>
      </c>
      <c r="P321" s="15">
        <f t="shared" si="26"/>
        <v>236590</v>
      </c>
      <c r="Q321" s="15">
        <f t="shared" si="27"/>
        <v>617510</v>
      </c>
      <c r="R321" s="17">
        <v>1446</v>
      </c>
    </row>
    <row r="322" spans="1:18" ht="16.5" x14ac:dyDescent="0.25">
      <c r="A322" s="12">
        <v>1448</v>
      </c>
      <c r="B322" s="13" t="s">
        <v>295</v>
      </c>
      <c r="C322" s="13" t="s">
        <v>25</v>
      </c>
      <c r="D322" s="20"/>
      <c r="E322" s="15">
        <v>6400</v>
      </c>
      <c r="F322" s="15">
        <v>300</v>
      </c>
      <c r="G322" s="15">
        <v>400</v>
      </c>
      <c r="H322" s="15">
        <f t="shared" si="28"/>
        <v>7100</v>
      </c>
      <c r="I322" s="15">
        <f t="shared" si="29"/>
        <v>0</v>
      </c>
      <c r="J322" s="16"/>
      <c r="K322" s="15"/>
      <c r="L322" s="15">
        <f t="shared" si="24"/>
        <v>0</v>
      </c>
      <c r="M322" s="16"/>
      <c r="N322" s="16"/>
      <c r="O322" s="15">
        <f t="shared" si="25"/>
        <v>0</v>
      </c>
      <c r="P322" s="15">
        <f t="shared" si="26"/>
        <v>0</v>
      </c>
      <c r="Q322" s="15">
        <f t="shared" si="27"/>
        <v>0</v>
      </c>
      <c r="R322" s="17">
        <v>1448</v>
      </c>
    </row>
    <row r="323" spans="1:18" ht="16.5" x14ac:dyDescent="0.25">
      <c r="A323" s="12">
        <v>1449</v>
      </c>
      <c r="B323" s="13" t="s">
        <v>255</v>
      </c>
      <c r="C323" s="13" t="s">
        <v>43</v>
      </c>
      <c r="D323" s="16"/>
      <c r="E323" s="15">
        <v>6400</v>
      </c>
      <c r="F323" s="15">
        <v>300</v>
      </c>
      <c r="G323" s="15">
        <v>400</v>
      </c>
      <c r="H323" s="15">
        <f t="shared" si="28"/>
        <v>7100</v>
      </c>
      <c r="I323" s="15">
        <f t="shared" si="29"/>
        <v>0</v>
      </c>
      <c r="J323" s="16"/>
      <c r="K323" s="15"/>
      <c r="L323" s="15">
        <f t="shared" si="24"/>
        <v>0</v>
      </c>
      <c r="M323" s="20"/>
      <c r="N323" s="20"/>
      <c r="O323" s="15">
        <f t="shared" si="25"/>
        <v>0</v>
      </c>
      <c r="P323" s="15">
        <f t="shared" si="26"/>
        <v>0</v>
      </c>
      <c r="Q323" s="15">
        <f t="shared" si="27"/>
        <v>0</v>
      </c>
      <c r="R323" s="17">
        <v>1449</v>
      </c>
    </row>
    <row r="324" spans="1:18" ht="16.5" x14ac:dyDescent="0.25">
      <c r="A324" s="12">
        <v>1450</v>
      </c>
      <c r="B324" s="13" t="s">
        <v>296</v>
      </c>
      <c r="C324" s="13" t="s">
        <v>30</v>
      </c>
      <c r="D324" s="14"/>
      <c r="E324" s="15">
        <v>6400</v>
      </c>
      <c r="F324" s="15">
        <v>300</v>
      </c>
      <c r="G324" s="15">
        <v>400</v>
      </c>
      <c r="H324" s="15">
        <f t="shared" si="28"/>
        <v>7100</v>
      </c>
      <c r="I324" s="15">
        <f t="shared" si="29"/>
        <v>0</v>
      </c>
      <c r="J324" s="16"/>
      <c r="K324" s="15"/>
      <c r="L324" s="15">
        <f t="shared" si="24"/>
        <v>0</v>
      </c>
      <c r="M324" s="16"/>
      <c r="N324" s="16"/>
      <c r="O324" s="15">
        <f t="shared" si="25"/>
        <v>0</v>
      </c>
      <c r="P324" s="15">
        <f t="shared" si="26"/>
        <v>0</v>
      </c>
      <c r="Q324" s="15">
        <f t="shared" si="27"/>
        <v>0</v>
      </c>
      <c r="R324" s="17">
        <v>1450</v>
      </c>
    </row>
    <row r="325" spans="1:18" ht="16.5" x14ac:dyDescent="0.25">
      <c r="A325" s="12">
        <v>1451</v>
      </c>
      <c r="B325" s="13" t="s">
        <v>297</v>
      </c>
      <c r="C325" s="13" t="s">
        <v>54</v>
      </c>
      <c r="D325" s="14">
        <v>195</v>
      </c>
      <c r="E325" s="15">
        <v>6400</v>
      </c>
      <c r="F325" s="15">
        <v>500</v>
      </c>
      <c r="G325" s="15">
        <v>400</v>
      </c>
      <c r="H325" s="15">
        <f t="shared" si="28"/>
        <v>7300</v>
      </c>
      <c r="I325" s="15">
        <f t="shared" si="29"/>
        <v>1423500</v>
      </c>
      <c r="J325" s="20"/>
      <c r="K325" s="15">
        <v>1230000</v>
      </c>
      <c r="L325" s="15">
        <f t="shared" ref="L325:L388" si="30">D325*20</f>
        <v>3900</v>
      </c>
      <c r="M325" s="16"/>
      <c r="N325" s="16"/>
      <c r="O325" s="15">
        <f t="shared" ref="O325:O388" si="31">250*D325</f>
        <v>48750</v>
      </c>
      <c r="P325" s="15">
        <f t="shared" ref="P325:P388" si="32">SUM(J325:O325)</f>
        <v>1282650</v>
      </c>
      <c r="Q325" s="15">
        <f t="shared" ref="Q325:Q388" si="33">I325-P325</f>
        <v>140850</v>
      </c>
      <c r="R325" s="17">
        <v>1451</v>
      </c>
    </row>
    <row r="326" spans="1:18" ht="16.5" x14ac:dyDescent="0.25">
      <c r="A326" s="12">
        <v>1453</v>
      </c>
      <c r="B326" s="13" t="s">
        <v>298</v>
      </c>
      <c r="C326" s="13" t="s">
        <v>54</v>
      </c>
      <c r="D326" s="19"/>
      <c r="E326" s="15">
        <v>6400</v>
      </c>
      <c r="F326" s="15">
        <v>400</v>
      </c>
      <c r="G326" s="15">
        <v>400</v>
      </c>
      <c r="H326" s="15">
        <f t="shared" ref="H326:H389" si="34">SUM(E326:G326)</f>
        <v>7200</v>
      </c>
      <c r="I326" s="15">
        <f t="shared" ref="I326:I389" si="35">H326*D326</f>
        <v>0</v>
      </c>
      <c r="J326" s="16"/>
      <c r="K326" s="15"/>
      <c r="L326" s="15">
        <f t="shared" si="30"/>
        <v>0</v>
      </c>
      <c r="M326" s="20"/>
      <c r="N326" s="20"/>
      <c r="O326" s="15">
        <f t="shared" si="31"/>
        <v>0</v>
      </c>
      <c r="P326" s="15">
        <f t="shared" si="32"/>
        <v>0</v>
      </c>
      <c r="Q326" s="15">
        <f t="shared" si="33"/>
        <v>0</v>
      </c>
      <c r="R326" s="17">
        <v>1453</v>
      </c>
    </row>
    <row r="327" spans="1:18" ht="16.5" x14ac:dyDescent="0.25">
      <c r="A327" s="12">
        <v>1454</v>
      </c>
      <c r="B327" s="13" t="s">
        <v>299</v>
      </c>
      <c r="C327" s="13" t="s">
        <v>47</v>
      </c>
      <c r="D327" s="14"/>
      <c r="E327" s="15">
        <v>6400</v>
      </c>
      <c r="F327" s="15">
        <v>300</v>
      </c>
      <c r="G327" s="15">
        <v>400</v>
      </c>
      <c r="H327" s="15">
        <f t="shared" si="34"/>
        <v>7100</v>
      </c>
      <c r="I327" s="15">
        <f t="shared" si="35"/>
        <v>0</v>
      </c>
      <c r="J327" s="16"/>
      <c r="K327" s="15"/>
      <c r="L327" s="15">
        <f t="shared" si="30"/>
        <v>0</v>
      </c>
      <c r="M327" s="20"/>
      <c r="N327" s="20"/>
      <c r="O327" s="15">
        <f t="shared" si="31"/>
        <v>0</v>
      </c>
      <c r="P327" s="15">
        <f t="shared" si="32"/>
        <v>0</v>
      </c>
      <c r="Q327" s="15">
        <f t="shared" si="33"/>
        <v>0</v>
      </c>
      <c r="R327" s="17">
        <v>1454</v>
      </c>
    </row>
    <row r="328" spans="1:18" ht="16.5" x14ac:dyDescent="0.25">
      <c r="A328" s="12">
        <v>1455</v>
      </c>
      <c r="B328" s="13" t="s">
        <v>419</v>
      </c>
      <c r="C328" s="13" t="s">
        <v>30</v>
      </c>
      <c r="D328" s="14"/>
      <c r="E328" s="15">
        <v>6400</v>
      </c>
      <c r="F328" s="15">
        <v>300</v>
      </c>
      <c r="G328" s="15">
        <v>400</v>
      </c>
      <c r="H328" s="15">
        <f t="shared" si="34"/>
        <v>7100</v>
      </c>
      <c r="I328" s="15">
        <f t="shared" si="35"/>
        <v>0</v>
      </c>
      <c r="J328" s="16"/>
      <c r="K328" s="15"/>
      <c r="L328" s="15">
        <f t="shared" si="30"/>
        <v>0</v>
      </c>
      <c r="M328" s="20"/>
      <c r="N328" s="20"/>
      <c r="O328" s="15">
        <f t="shared" si="31"/>
        <v>0</v>
      </c>
      <c r="P328" s="15">
        <f t="shared" si="32"/>
        <v>0</v>
      </c>
      <c r="Q328" s="15">
        <f t="shared" si="33"/>
        <v>0</v>
      </c>
      <c r="R328" s="17">
        <v>1455</v>
      </c>
    </row>
    <row r="329" spans="1:18" ht="16.5" x14ac:dyDescent="0.25">
      <c r="A329" s="12">
        <v>1456</v>
      </c>
      <c r="B329" s="13" t="s">
        <v>62</v>
      </c>
      <c r="C329" s="13" t="s">
        <v>138</v>
      </c>
      <c r="D329" s="14"/>
      <c r="E329" s="15">
        <v>6400</v>
      </c>
      <c r="F329" s="15">
        <v>300</v>
      </c>
      <c r="G329" s="15">
        <v>400</v>
      </c>
      <c r="H329" s="15">
        <f t="shared" si="34"/>
        <v>7100</v>
      </c>
      <c r="I329" s="15">
        <f t="shared" si="35"/>
        <v>0</v>
      </c>
      <c r="J329" s="20"/>
      <c r="K329" s="15"/>
      <c r="L329" s="15">
        <f t="shared" si="30"/>
        <v>0</v>
      </c>
      <c r="M329" s="20"/>
      <c r="N329" s="20"/>
      <c r="O329" s="15">
        <f t="shared" si="31"/>
        <v>0</v>
      </c>
      <c r="P329" s="15">
        <f t="shared" si="32"/>
        <v>0</v>
      </c>
      <c r="Q329" s="15">
        <f t="shared" si="33"/>
        <v>0</v>
      </c>
      <c r="R329" s="17">
        <v>1456</v>
      </c>
    </row>
    <row r="330" spans="1:18" ht="16.5" x14ac:dyDescent="0.25">
      <c r="A330" s="12">
        <v>1457</v>
      </c>
      <c r="B330" s="13" t="s">
        <v>300</v>
      </c>
      <c r="C330" s="13" t="s">
        <v>30</v>
      </c>
      <c r="D330" s="14"/>
      <c r="E330" s="15">
        <v>6400</v>
      </c>
      <c r="F330" s="15">
        <v>300</v>
      </c>
      <c r="G330" s="15">
        <v>400</v>
      </c>
      <c r="H330" s="15">
        <f t="shared" si="34"/>
        <v>7100</v>
      </c>
      <c r="I330" s="15">
        <f t="shared" si="35"/>
        <v>0</v>
      </c>
      <c r="J330" s="16"/>
      <c r="K330" s="15"/>
      <c r="L330" s="15">
        <f t="shared" si="30"/>
        <v>0</v>
      </c>
      <c r="M330" s="16"/>
      <c r="N330" s="16"/>
      <c r="O330" s="15">
        <f t="shared" si="31"/>
        <v>0</v>
      </c>
      <c r="P330" s="15">
        <f t="shared" si="32"/>
        <v>0</v>
      </c>
      <c r="Q330" s="15">
        <f t="shared" si="33"/>
        <v>0</v>
      </c>
      <c r="R330" s="17">
        <v>1457</v>
      </c>
    </row>
    <row r="331" spans="1:18" ht="16.5" x14ac:dyDescent="0.25">
      <c r="A331" s="12">
        <v>1458</v>
      </c>
      <c r="B331" s="13" t="s">
        <v>179</v>
      </c>
      <c r="C331" s="13" t="s">
        <v>43</v>
      </c>
      <c r="D331" s="20"/>
      <c r="E331" s="15">
        <v>6400</v>
      </c>
      <c r="F331" s="15">
        <v>400</v>
      </c>
      <c r="G331" s="15">
        <v>400</v>
      </c>
      <c r="H331" s="15">
        <f t="shared" si="34"/>
        <v>7200</v>
      </c>
      <c r="I331" s="15">
        <f t="shared" si="35"/>
        <v>0</v>
      </c>
      <c r="J331" s="20"/>
      <c r="K331" s="15"/>
      <c r="L331" s="15">
        <f t="shared" si="30"/>
        <v>0</v>
      </c>
      <c r="M331" s="16"/>
      <c r="N331" s="16"/>
      <c r="O331" s="15">
        <f t="shared" si="31"/>
        <v>0</v>
      </c>
      <c r="P331" s="15">
        <f t="shared" si="32"/>
        <v>0</v>
      </c>
      <c r="Q331" s="15">
        <f t="shared" si="33"/>
        <v>0</v>
      </c>
      <c r="R331" s="17">
        <v>1458</v>
      </c>
    </row>
    <row r="332" spans="1:18" ht="16.5" x14ac:dyDescent="0.25">
      <c r="A332" s="12">
        <v>1459</v>
      </c>
      <c r="B332" s="13" t="s">
        <v>301</v>
      </c>
      <c r="C332" s="13" t="s">
        <v>43</v>
      </c>
      <c r="D332" s="20"/>
      <c r="E332" s="15">
        <v>6400</v>
      </c>
      <c r="F332" s="15">
        <v>300</v>
      </c>
      <c r="G332" s="15">
        <v>400</v>
      </c>
      <c r="H332" s="15">
        <f t="shared" si="34"/>
        <v>7100</v>
      </c>
      <c r="I332" s="15">
        <f t="shared" si="35"/>
        <v>0</v>
      </c>
      <c r="J332" s="20"/>
      <c r="K332" s="15"/>
      <c r="L332" s="15">
        <f t="shared" si="30"/>
        <v>0</v>
      </c>
      <c r="M332" s="16"/>
      <c r="N332" s="16"/>
      <c r="O332" s="15">
        <f t="shared" si="31"/>
        <v>0</v>
      </c>
      <c r="P332" s="15">
        <f t="shared" si="32"/>
        <v>0</v>
      </c>
      <c r="Q332" s="15">
        <f t="shared" si="33"/>
        <v>0</v>
      </c>
      <c r="R332" s="17">
        <v>1459</v>
      </c>
    </row>
    <row r="333" spans="1:18" ht="16.5" x14ac:dyDescent="0.25">
      <c r="A333" s="12">
        <v>1465</v>
      </c>
      <c r="B333" s="13" t="s">
        <v>302</v>
      </c>
      <c r="C333" s="13" t="s">
        <v>43</v>
      </c>
      <c r="D333" s="20"/>
      <c r="E333" s="15">
        <v>6400</v>
      </c>
      <c r="F333" s="15">
        <v>300</v>
      </c>
      <c r="G333" s="15">
        <v>400</v>
      </c>
      <c r="H333" s="15">
        <f t="shared" si="34"/>
        <v>7100</v>
      </c>
      <c r="I333" s="15">
        <f t="shared" si="35"/>
        <v>0</v>
      </c>
      <c r="J333" s="16"/>
      <c r="K333" s="15"/>
      <c r="L333" s="15">
        <f t="shared" si="30"/>
        <v>0</v>
      </c>
      <c r="M333" s="16"/>
      <c r="N333" s="16"/>
      <c r="O333" s="15">
        <f t="shared" si="31"/>
        <v>0</v>
      </c>
      <c r="P333" s="15">
        <f t="shared" si="32"/>
        <v>0</v>
      </c>
      <c r="Q333" s="15">
        <f t="shared" si="33"/>
        <v>0</v>
      </c>
      <c r="R333" s="17">
        <v>1465</v>
      </c>
    </row>
    <row r="334" spans="1:18" ht="16.5" x14ac:dyDescent="0.25">
      <c r="A334" s="12">
        <v>1467</v>
      </c>
      <c r="B334" s="13" t="s">
        <v>303</v>
      </c>
      <c r="C334" s="13" t="s">
        <v>82</v>
      </c>
      <c r="D334" s="14"/>
      <c r="E334" s="15">
        <v>6400</v>
      </c>
      <c r="F334" s="15">
        <v>300</v>
      </c>
      <c r="G334" s="15">
        <v>400</v>
      </c>
      <c r="H334" s="15">
        <f t="shared" si="34"/>
        <v>7100</v>
      </c>
      <c r="I334" s="15">
        <f t="shared" si="35"/>
        <v>0</v>
      </c>
      <c r="J334" s="16"/>
      <c r="K334" s="15"/>
      <c r="L334" s="15">
        <f t="shared" si="30"/>
        <v>0</v>
      </c>
      <c r="M334" s="20"/>
      <c r="N334" s="20"/>
      <c r="O334" s="15">
        <f t="shared" si="31"/>
        <v>0</v>
      </c>
      <c r="P334" s="15">
        <f t="shared" si="32"/>
        <v>0</v>
      </c>
      <c r="Q334" s="15">
        <f t="shared" si="33"/>
        <v>0</v>
      </c>
      <c r="R334" s="17">
        <v>1467</v>
      </c>
    </row>
    <row r="335" spans="1:18" ht="16.5" x14ac:dyDescent="0.25">
      <c r="A335" s="12">
        <v>1470</v>
      </c>
      <c r="B335" s="13" t="s">
        <v>304</v>
      </c>
      <c r="C335" s="13" t="s">
        <v>47</v>
      </c>
      <c r="D335" s="14"/>
      <c r="E335" s="15">
        <v>6400</v>
      </c>
      <c r="F335" s="15">
        <v>300</v>
      </c>
      <c r="G335" s="15">
        <v>400</v>
      </c>
      <c r="H335" s="15">
        <f t="shared" si="34"/>
        <v>7100</v>
      </c>
      <c r="I335" s="15">
        <f t="shared" si="35"/>
        <v>0</v>
      </c>
      <c r="J335" s="16"/>
      <c r="K335" s="15"/>
      <c r="L335" s="15">
        <f t="shared" si="30"/>
        <v>0</v>
      </c>
      <c r="M335" s="16"/>
      <c r="N335" s="16"/>
      <c r="O335" s="15">
        <f t="shared" si="31"/>
        <v>0</v>
      </c>
      <c r="P335" s="15">
        <f t="shared" si="32"/>
        <v>0</v>
      </c>
      <c r="Q335" s="15">
        <f t="shared" si="33"/>
        <v>0</v>
      </c>
      <c r="R335" s="17">
        <v>1470</v>
      </c>
    </row>
    <row r="336" spans="1:18" ht="16.5" x14ac:dyDescent="0.25">
      <c r="A336" s="12">
        <v>1471</v>
      </c>
      <c r="B336" s="13" t="s">
        <v>305</v>
      </c>
      <c r="C336" s="13" t="s">
        <v>21</v>
      </c>
      <c r="D336" s="14"/>
      <c r="E336" s="15">
        <v>6400</v>
      </c>
      <c r="F336" s="15">
        <v>300</v>
      </c>
      <c r="G336" s="15">
        <v>400</v>
      </c>
      <c r="H336" s="15">
        <f t="shared" si="34"/>
        <v>7100</v>
      </c>
      <c r="I336" s="15">
        <f t="shared" si="35"/>
        <v>0</v>
      </c>
      <c r="J336" s="20"/>
      <c r="K336" s="15"/>
      <c r="L336" s="15">
        <f t="shared" si="30"/>
        <v>0</v>
      </c>
      <c r="M336" s="16"/>
      <c r="N336" s="16"/>
      <c r="O336" s="15">
        <f t="shared" si="31"/>
        <v>0</v>
      </c>
      <c r="P336" s="15">
        <f t="shared" si="32"/>
        <v>0</v>
      </c>
      <c r="Q336" s="15">
        <f t="shared" si="33"/>
        <v>0</v>
      </c>
      <c r="R336" s="17">
        <v>1471</v>
      </c>
    </row>
    <row r="337" spans="1:18" ht="16.5" x14ac:dyDescent="0.25">
      <c r="A337" s="12">
        <v>1472</v>
      </c>
      <c r="B337" s="13" t="s">
        <v>306</v>
      </c>
      <c r="C337" s="13" t="s">
        <v>43</v>
      </c>
      <c r="D337" s="20"/>
      <c r="E337" s="15">
        <v>6400</v>
      </c>
      <c r="F337" s="15">
        <v>300</v>
      </c>
      <c r="G337" s="15">
        <v>400</v>
      </c>
      <c r="H337" s="15">
        <f t="shared" si="34"/>
        <v>7100</v>
      </c>
      <c r="I337" s="15">
        <f t="shared" si="35"/>
        <v>0</v>
      </c>
      <c r="J337" s="16"/>
      <c r="K337" s="15"/>
      <c r="L337" s="15">
        <f t="shared" si="30"/>
        <v>0</v>
      </c>
      <c r="M337" s="16"/>
      <c r="N337" s="16"/>
      <c r="O337" s="15">
        <f t="shared" si="31"/>
        <v>0</v>
      </c>
      <c r="P337" s="15">
        <f t="shared" si="32"/>
        <v>0</v>
      </c>
      <c r="Q337" s="15">
        <f t="shared" si="33"/>
        <v>0</v>
      </c>
      <c r="R337" s="17">
        <v>1472</v>
      </c>
    </row>
    <row r="338" spans="1:18" ht="16.5" x14ac:dyDescent="0.25">
      <c r="A338" s="12">
        <v>1473</v>
      </c>
      <c r="B338" s="13" t="s">
        <v>307</v>
      </c>
      <c r="C338" s="13" t="s">
        <v>25</v>
      </c>
      <c r="D338" s="16"/>
      <c r="E338" s="15">
        <v>6400</v>
      </c>
      <c r="F338" s="15">
        <v>300</v>
      </c>
      <c r="G338" s="15">
        <v>400</v>
      </c>
      <c r="H338" s="15">
        <f t="shared" si="34"/>
        <v>7100</v>
      </c>
      <c r="I338" s="15">
        <f t="shared" si="35"/>
        <v>0</v>
      </c>
      <c r="J338" s="16"/>
      <c r="K338" s="15"/>
      <c r="L338" s="15">
        <f t="shared" si="30"/>
        <v>0</v>
      </c>
      <c r="M338" s="16"/>
      <c r="N338" s="16"/>
      <c r="O338" s="15">
        <f t="shared" si="31"/>
        <v>0</v>
      </c>
      <c r="P338" s="15">
        <f t="shared" si="32"/>
        <v>0</v>
      </c>
      <c r="Q338" s="15">
        <f t="shared" si="33"/>
        <v>0</v>
      </c>
      <c r="R338" s="17">
        <v>1473</v>
      </c>
    </row>
    <row r="339" spans="1:18" ht="16.5" x14ac:dyDescent="0.25">
      <c r="A339" s="12">
        <v>1474</v>
      </c>
      <c r="B339" s="13" t="s">
        <v>131</v>
      </c>
      <c r="C339" s="13" t="s">
        <v>25</v>
      </c>
      <c r="D339" s="16">
        <v>125</v>
      </c>
      <c r="E339" s="15">
        <v>6400</v>
      </c>
      <c r="F339" s="15">
        <v>500</v>
      </c>
      <c r="G339" s="15">
        <v>400</v>
      </c>
      <c r="H339" s="15">
        <f t="shared" si="34"/>
        <v>7300</v>
      </c>
      <c r="I339" s="15">
        <f t="shared" si="35"/>
        <v>912500</v>
      </c>
      <c r="J339" s="16"/>
      <c r="K339" s="15">
        <v>410000</v>
      </c>
      <c r="L339" s="15">
        <f t="shared" si="30"/>
        <v>2500</v>
      </c>
      <c r="M339" s="20"/>
      <c r="N339" s="20"/>
      <c r="O339" s="15">
        <f t="shared" si="31"/>
        <v>31250</v>
      </c>
      <c r="P339" s="15">
        <f t="shared" si="32"/>
        <v>443750</v>
      </c>
      <c r="Q339" s="15">
        <f t="shared" si="33"/>
        <v>468750</v>
      </c>
      <c r="R339" s="17">
        <v>1474</v>
      </c>
    </row>
    <row r="340" spans="1:18" ht="16.5" x14ac:dyDescent="0.25">
      <c r="A340" s="12">
        <v>1476</v>
      </c>
      <c r="B340" s="13" t="s">
        <v>308</v>
      </c>
      <c r="C340" s="13" t="s">
        <v>25</v>
      </c>
      <c r="D340" s="16"/>
      <c r="E340" s="15">
        <v>6400</v>
      </c>
      <c r="F340" s="15">
        <v>300</v>
      </c>
      <c r="G340" s="15">
        <v>400</v>
      </c>
      <c r="H340" s="15">
        <f t="shared" si="34"/>
        <v>7100</v>
      </c>
      <c r="I340" s="15">
        <f t="shared" si="35"/>
        <v>0</v>
      </c>
      <c r="J340" s="16"/>
      <c r="K340" s="15"/>
      <c r="L340" s="15">
        <f t="shared" si="30"/>
        <v>0</v>
      </c>
      <c r="M340" s="16"/>
      <c r="N340" s="16"/>
      <c r="O340" s="15">
        <f t="shared" si="31"/>
        <v>0</v>
      </c>
      <c r="P340" s="15">
        <f t="shared" si="32"/>
        <v>0</v>
      </c>
      <c r="Q340" s="15">
        <f t="shared" si="33"/>
        <v>0</v>
      </c>
      <c r="R340" s="17">
        <v>1476</v>
      </c>
    </row>
    <row r="341" spans="1:18" ht="16.5" x14ac:dyDescent="0.25">
      <c r="A341" s="12">
        <v>1477</v>
      </c>
      <c r="B341" s="13" t="s">
        <v>112</v>
      </c>
      <c r="C341" s="13" t="s">
        <v>43</v>
      </c>
      <c r="D341" s="16"/>
      <c r="E341" s="15">
        <v>6400</v>
      </c>
      <c r="F341" s="15">
        <v>300</v>
      </c>
      <c r="G341" s="15">
        <v>400</v>
      </c>
      <c r="H341" s="15">
        <f t="shared" si="34"/>
        <v>7100</v>
      </c>
      <c r="I341" s="15">
        <f t="shared" si="35"/>
        <v>0</v>
      </c>
      <c r="J341" s="20"/>
      <c r="K341" s="15"/>
      <c r="L341" s="15">
        <f t="shared" si="30"/>
        <v>0</v>
      </c>
      <c r="M341" s="16"/>
      <c r="N341" s="16"/>
      <c r="O341" s="15">
        <f t="shared" si="31"/>
        <v>0</v>
      </c>
      <c r="P341" s="15">
        <f t="shared" si="32"/>
        <v>0</v>
      </c>
      <c r="Q341" s="15">
        <f t="shared" si="33"/>
        <v>0</v>
      </c>
      <c r="R341" s="17">
        <v>1477</v>
      </c>
    </row>
    <row r="342" spans="1:18" ht="16.5" x14ac:dyDescent="0.25">
      <c r="A342" s="12">
        <v>1480</v>
      </c>
      <c r="B342" s="13" t="s">
        <v>309</v>
      </c>
      <c r="C342" s="13" t="s">
        <v>43</v>
      </c>
      <c r="D342" s="20"/>
      <c r="E342" s="15">
        <v>6400</v>
      </c>
      <c r="F342" s="15">
        <v>300</v>
      </c>
      <c r="G342" s="15">
        <v>400</v>
      </c>
      <c r="H342" s="15">
        <f t="shared" si="34"/>
        <v>7100</v>
      </c>
      <c r="I342" s="15">
        <f t="shared" si="35"/>
        <v>0</v>
      </c>
      <c r="J342" s="16"/>
      <c r="K342" s="15"/>
      <c r="L342" s="15">
        <f t="shared" si="30"/>
        <v>0</v>
      </c>
      <c r="M342" s="20"/>
      <c r="N342" s="20"/>
      <c r="O342" s="15">
        <f t="shared" si="31"/>
        <v>0</v>
      </c>
      <c r="P342" s="15">
        <f t="shared" si="32"/>
        <v>0</v>
      </c>
      <c r="Q342" s="15">
        <f t="shared" si="33"/>
        <v>0</v>
      </c>
      <c r="R342" s="17">
        <v>1480</v>
      </c>
    </row>
    <row r="343" spans="1:18" ht="16.5" x14ac:dyDescent="0.25">
      <c r="A343" s="12">
        <v>1482</v>
      </c>
      <c r="B343" s="13" t="s">
        <v>310</v>
      </c>
      <c r="C343" s="13" t="s">
        <v>82</v>
      </c>
      <c r="D343" s="14"/>
      <c r="E343" s="15">
        <v>6400</v>
      </c>
      <c r="F343" s="15">
        <v>300</v>
      </c>
      <c r="G343" s="15">
        <v>400</v>
      </c>
      <c r="H343" s="15">
        <f t="shared" si="34"/>
        <v>7100</v>
      </c>
      <c r="I343" s="15">
        <f t="shared" si="35"/>
        <v>0</v>
      </c>
      <c r="J343" s="16"/>
      <c r="K343" s="15"/>
      <c r="L343" s="15">
        <f t="shared" si="30"/>
        <v>0</v>
      </c>
      <c r="M343" s="16"/>
      <c r="N343" s="16"/>
      <c r="O343" s="15">
        <f t="shared" si="31"/>
        <v>0</v>
      </c>
      <c r="P343" s="15">
        <f t="shared" si="32"/>
        <v>0</v>
      </c>
      <c r="Q343" s="15">
        <f t="shared" si="33"/>
        <v>0</v>
      </c>
      <c r="R343" s="17">
        <v>1482</v>
      </c>
    </row>
    <row r="344" spans="1:18" ht="16.5" x14ac:dyDescent="0.25">
      <c r="A344" s="12">
        <v>1484</v>
      </c>
      <c r="B344" s="13" t="s">
        <v>311</v>
      </c>
      <c r="C344" s="13" t="s">
        <v>82</v>
      </c>
      <c r="D344" s="14">
        <v>79</v>
      </c>
      <c r="E344" s="15">
        <v>6400</v>
      </c>
      <c r="F344" s="15">
        <v>600</v>
      </c>
      <c r="G344" s="15">
        <v>400</v>
      </c>
      <c r="H344" s="15">
        <f t="shared" si="34"/>
        <v>7400</v>
      </c>
      <c r="I344" s="15">
        <f t="shared" si="35"/>
        <v>584600</v>
      </c>
      <c r="J344" s="20"/>
      <c r="K344" s="15">
        <v>205000</v>
      </c>
      <c r="L344" s="15">
        <f t="shared" si="30"/>
        <v>1580</v>
      </c>
      <c r="M344" s="16"/>
      <c r="N344" s="16"/>
      <c r="O344" s="15">
        <f t="shared" si="31"/>
        <v>19750</v>
      </c>
      <c r="P344" s="15">
        <f t="shared" si="32"/>
        <v>226330</v>
      </c>
      <c r="Q344" s="15">
        <f t="shared" si="33"/>
        <v>358270</v>
      </c>
      <c r="R344" s="17">
        <v>1484</v>
      </c>
    </row>
    <row r="345" spans="1:18" ht="16.5" x14ac:dyDescent="0.25">
      <c r="A345" s="12">
        <v>1485</v>
      </c>
      <c r="B345" s="13" t="s">
        <v>312</v>
      </c>
      <c r="C345" s="13" t="s">
        <v>43</v>
      </c>
      <c r="D345" s="20"/>
      <c r="E345" s="15">
        <v>6400</v>
      </c>
      <c r="F345" s="15">
        <v>300</v>
      </c>
      <c r="G345" s="15">
        <v>400</v>
      </c>
      <c r="H345" s="15">
        <f t="shared" si="34"/>
        <v>7100</v>
      </c>
      <c r="I345" s="15">
        <f t="shared" si="35"/>
        <v>0</v>
      </c>
      <c r="J345" s="16"/>
      <c r="K345" s="15"/>
      <c r="L345" s="15">
        <f t="shared" si="30"/>
        <v>0</v>
      </c>
      <c r="M345" s="16"/>
      <c r="N345" s="16"/>
      <c r="O345" s="15">
        <f t="shared" si="31"/>
        <v>0</v>
      </c>
      <c r="P345" s="15">
        <f t="shared" si="32"/>
        <v>0</v>
      </c>
      <c r="Q345" s="15">
        <f t="shared" si="33"/>
        <v>0</v>
      </c>
      <c r="R345" s="17">
        <v>1485</v>
      </c>
    </row>
    <row r="346" spans="1:18" ht="16.5" x14ac:dyDescent="0.25">
      <c r="A346" s="12">
        <v>1486</v>
      </c>
      <c r="B346" s="13" t="s">
        <v>230</v>
      </c>
      <c r="C346" s="13" t="s">
        <v>36</v>
      </c>
      <c r="D346" s="14"/>
      <c r="E346" s="15">
        <v>6400</v>
      </c>
      <c r="F346" s="15">
        <v>300</v>
      </c>
      <c r="G346" s="15">
        <v>400</v>
      </c>
      <c r="H346" s="15">
        <f t="shared" si="34"/>
        <v>7100</v>
      </c>
      <c r="I346" s="15">
        <f t="shared" si="35"/>
        <v>0</v>
      </c>
      <c r="J346" s="16"/>
      <c r="K346" s="15"/>
      <c r="L346" s="15">
        <f t="shared" si="30"/>
        <v>0</v>
      </c>
      <c r="M346" s="16"/>
      <c r="N346" s="16"/>
      <c r="O346" s="15">
        <f t="shared" si="31"/>
        <v>0</v>
      </c>
      <c r="P346" s="15">
        <f t="shared" si="32"/>
        <v>0</v>
      </c>
      <c r="Q346" s="15">
        <f t="shared" si="33"/>
        <v>0</v>
      </c>
      <c r="R346" s="17">
        <v>1486</v>
      </c>
    </row>
    <row r="347" spans="1:18" ht="16.5" x14ac:dyDescent="0.25">
      <c r="A347" s="12">
        <v>1487</v>
      </c>
      <c r="B347" s="13" t="s">
        <v>313</v>
      </c>
      <c r="C347" s="13" t="s">
        <v>82</v>
      </c>
      <c r="D347" s="14"/>
      <c r="E347" s="15">
        <v>6400</v>
      </c>
      <c r="F347" s="15">
        <v>300</v>
      </c>
      <c r="G347" s="15">
        <v>400</v>
      </c>
      <c r="H347" s="15">
        <f t="shared" si="34"/>
        <v>7100</v>
      </c>
      <c r="I347" s="15">
        <f t="shared" si="35"/>
        <v>0</v>
      </c>
      <c r="J347" s="16"/>
      <c r="K347" s="15"/>
      <c r="L347" s="15">
        <f t="shared" si="30"/>
        <v>0</v>
      </c>
      <c r="M347" s="16"/>
      <c r="N347" s="16"/>
      <c r="O347" s="15">
        <f t="shared" si="31"/>
        <v>0</v>
      </c>
      <c r="P347" s="15">
        <f t="shared" si="32"/>
        <v>0</v>
      </c>
      <c r="Q347" s="15">
        <f t="shared" si="33"/>
        <v>0</v>
      </c>
      <c r="R347" s="17">
        <v>1487</v>
      </c>
    </row>
    <row r="348" spans="1:18" ht="16.5" x14ac:dyDescent="0.25">
      <c r="A348" s="12">
        <v>1488</v>
      </c>
      <c r="B348" s="13" t="s">
        <v>185</v>
      </c>
      <c r="C348" s="13" t="s">
        <v>25</v>
      </c>
      <c r="D348" s="16"/>
      <c r="E348" s="15">
        <v>6400</v>
      </c>
      <c r="F348" s="15">
        <v>300</v>
      </c>
      <c r="G348" s="15">
        <v>400</v>
      </c>
      <c r="H348" s="15">
        <f t="shared" si="34"/>
        <v>7100</v>
      </c>
      <c r="I348" s="15">
        <f t="shared" si="35"/>
        <v>0</v>
      </c>
      <c r="J348" s="16"/>
      <c r="K348" s="15"/>
      <c r="L348" s="15">
        <f t="shared" si="30"/>
        <v>0</v>
      </c>
      <c r="M348" s="16"/>
      <c r="N348" s="16"/>
      <c r="O348" s="15">
        <f t="shared" si="31"/>
        <v>0</v>
      </c>
      <c r="P348" s="15">
        <f t="shared" si="32"/>
        <v>0</v>
      </c>
      <c r="Q348" s="15">
        <f t="shared" si="33"/>
        <v>0</v>
      </c>
      <c r="R348" s="17">
        <v>1488</v>
      </c>
    </row>
    <row r="349" spans="1:18" ht="16.5" x14ac:dyDescent="0.25">
      <c r="A349" s="12">
        <v>1489</v>
      </c>
      <c r="B349" s="13" t="s">
        <v>204</v>
      </c>
      <c r="C349" s="13" t="s">
        <v>43</v>
      </c>
      <c r="D349" s="16"/>
      <c r="E349" s="15">
        <v>6400</v>
      </c>
      <c r="F349" s="15">
        <v>300</v>
      </c>
      <c r="G349" s="15">
        <v>400</v>
      </c>
      <c r="H349" s="15">
        <f t="shared" si="34"/>
        <v>7100</v>
      </c>
      <c r="I349" s="15">
        <f t="shared" si="35"/>
        <v>0</v>
      </c>
      <c r="J349" s="16"/>
      <c r="K349" s="15"/>
      <c r="L349" s="15">
        <f t="shared" si="30"/>
        <v>0</v>
      </c>
      <c r="M349" s="20"/>
      <c r="N349" s="20"/>
      <c r="O349" s="15">
        <f t="shared" si="31"/>
        <v>0</v>
      </c>
      <c r="P349" s="15">
        <f t="shared" si="32"/>
        <v>0</v>
      </c>
      <c r="Q349" s="15">
        <f t="shared" si="33"/>
        <v>0</v>
      </c>
      <c r="R349" s="17">
        <v>1489</v>
      </c>
    </row>
    <row r="350" spans="1:18" ht="16.5" x14ac:dyDescent="0.25">
      <c r="A350" s="12">
        <v>1490</v>
      </c>
      <c r="B350" s="13" t="s">
        <v>314</v>
      </c>
      <c r="C350" s="13" t="s">
        <v>43</v>
      </c>
      <c r="D350" s="16">
        <v>71</v>
      </c>
      <c r="E350" s="15">
        <v>6400</v>
      </c>
      <c r="F350" s="15">
        <v>500</v>
      </c>
      <c r="G350" s="15">
        <v>400</v>
      </c>
      <c r="H350" s="15">
        <f t="shared" si="34"/>
        <v>7300</v>
      </c>
      <c r="I350" s="15">
        <f t="shared" si="35"/>
        <v>518300</v>
      </c>
      <c r="J350" s="16"/>
      <c r="K350" s="15">
        <v>410000</v>
      </c>
      <c r="L350" s="15">
        <f t="shared" si="30"/>
        <v>1420</v>
      </c>
      <c r="M350" s="16"/>
      <c r="N350" s="16"/>
      <c r="O350" s="15">
        <f t="shared" si="31"/>
        <v>17750</v>
      </c>
      <c r="P350" s="15">
        <f t="shared" si="32"/>
        <v>429170</v>
      </c>
      <c r="Q350" s="15">
        <f t="shared" si="33"/>
        <v>89130</v>
      </c>
      <c r="R350" s="17">
        <v>1490</v>
      </c>
    </row>
    <row r="351" spans="1:18" ht="16.5" x14ac:dyDescent="0.25">
      <c r="A351" s="12">
        <v>1491</v>
      </c>
      <c r="B351" s="13" t="s">
        <v>315</v>
      </c>
      <c r="C351" s="13" t="s">
        <v>25</v>
      </c>
      <c r="D351" s="16"/>
      <c r="E351" s="15">
        <v>6400</v>
      </c>
      <c r="F351" s="15">
        <v>300</v>
      </c>
      <c r="G351" s="15">
        <v>400</v>
      </c>
      <c r="H351" s="15">
        <f t="shared" si="34"/>
        <v>7100</v>
      </c>
      <c r="I351" s="15">
        <f t="shared" si="35"/>
        <v>0</v>
      </c>
      <c r="J351" s="20"/>
      <c r="K351" s="15"/>
      <c r="L351" s="15">
        <f t="shared" si="30"/>
        <v>0</v>
      </c>
      <c r="M351" s="20"/>
      <c r="N351" s="20"/>
      <c r="O351" s="15">
        <f t="shared" si="31"/>
        <v>0</v>
      </c>
      <c r="P351" s="15">
        <f t="shared" si="32"/>
        <v>0</v>
      </c>
      <c r="Q351" s="15">
        <f t="shared" si="33"/>
        <v>0</v>
      </c>
      <c r="R351" s="17">
        <v>1491</v>
      </c>
    </row>
    <row r="352" spans="1:18" ht="16.5" x14ac:dyDescent="0.25">
      <c r="A352" s="12">
        <v>1493</v>
      </c>
      <c r="B352" s="13" t="s">
        <v>316</v>
      </c>
      <c r="C352" s="13" t="s">
        <v>21</v>
      </c>
      <c r="D352" s="19"/>
      <c r="E352" s="15">
        <v>6400</v>
      </c>
      <c r="F352" s="15">
        <v>300</v>
      </c>
      <c r="G352" s="15">
        <v>400</v>
      </c>
      <c r="H352" s="15">
        <f t="shared" si="34"/>
        <v>7100</v>
      </c>
      <c r="I352" s="15">
        <f t="shared" si="35"/>
        <v>0</v>
      </c>
      <c r="J352" s="16"/>
      <c r="K352" s="15"/>
      <c r="L352" s="15">
        <f t="shared" si="30"/>
        <v>0</v>
      </c>
      <c r="M352" s="20"/>
      <c r="N352" s="20"/>
      <c r="O352" s="15">
        <f t="shared" si="31"/>
        <v>0</v>
      </c>
      <c r="P352" s="15">
        <f t="shared" si="32"/>
        <v>0</v>
      </c>
      <c r="Q352" s="15">
        <f t="shared" si="33"/>
        <v>0</v>
      </c>
      <c r="R352" s="17">
        <v>1493</v>
      </c>
    </row>
    <row r="353" spans="1:18" ht="16.5" x14ac:dyDescent="0.25">
      <c r="A353" s="12">
        <v>1495</v>
      </c>
      <c r="B353" s="13" t="s">
        <v>317</v>
      </c>
      <c r="C353" s="13" t="s">
        <v>30</v>
      </c>
      <c r="D353" s="14">
        <v>187</v>
      </c>
      <c r="E353" s="15">
        <v>6400</v>
      </c>
      <c r="F353" s="15">
        <v>600</v>
      </c>
      <c r="G353" s="15">
        <v>400</v>
      </c>
      <c r="H353" s="15">
        <f t="shared" si="34"/>
        <v>7400</v>
      </c>
      <c r="I353" s="15">
        <f t="shared" si="35"/>
        <v>1383800</v>
      </c>
      <c r="J353" s="20"/>
      <c r="K353" s="15">
        <v>410000</v>
      </c>
      <c r="L353" s="15">
        <f t="shared" si="30"/>
        <v>3740</v>
      </c>
      <c r="M353" s="20"/>
      <c r="N353" s="20"/>
      <c r="O353" s="15">
        <f t="shared" si="31"/>
        <v>46750</v>
      </c>
      <c r="P353" s="15">
        <f t="shared" si="32"/>
        <v>460490</v>
      </c>
      <c r="Q353" s="15">
        <f t="shared" si="33"/>
        <v>923310</v>
      </c>
      <c r="R353" s="17">
        <v>1495</v>
      </c>
    </row>
    <row r="354" spans="1:18" ht="16.5" x14ac:dyDescent="0.25">
      <c r="A354" s="12">
        <v>1496</v>
      </c>
      <c r="B354" s="13" t="s">
        <v>318</v>
      </c>
      <c r="C354" s="13" t="s">
        <v>25</v>
      </c>
      <c r="D354" s="20"/>
      <c r="E354" s="15">
        <v>6400</v>
      </c>
      <c r="F354" s="15">
        <v>300</v>
      </c>
      <c r="G354" s="15">
        <v>400</v>
      </c>
      <c r="H354" s="15">
        <f t="shared" si="34"/>
        <v>7100</v>
      </c>
      <c r="I354" s="15">
        <f t="shared" si="35"/>
        <v>0</v>
      </c>
      <c r="J354" s="20"/>
      <c r="K354" s="15"/>
      <c r="L354" s="15">
        <f t="shared" si="30"/>
        <v>0</v>
      </c>
      <c r="M354" s="20"/>
      <c r="N354" s="20"/>
      <c r="O354" s="15">
        <f t="shared" si="31"/>
        <v>0</v>
      </c>
      <c r="P354" s="15">
        <f t="shared" si="32"/>
        <v>0</v>
      </c>
      <c r="Q354" s="15">
        <f t="shared" si="33"/>
        <v>0</v>
      </c>
      <c r="R354" s="17">
        <v>1496</v>
      </c>
    </row>
    <row r="355" spans="1:18" ht="16.5" x14ac:dyDescent="0.25">
      <c r="A355" s="12">
        <v>1497</v>
      </c>
      <c r="B355" s="13" t="s">
        <v>319</v>
      </c>
      <c r="C355" s="13" t="s">
        <v>25</v>
      </c>
      <c r="D355" s="20"/>
      <c r="E355" s="15">
        <v>6400</v>
      </c>
      <c r="F355" s="15">
        <v>300</v>
      </c>
      <c r="G355" s="15">
        <v>400</v>
      </c>
      <c r="H355" s="15">
        <f t="shared" si="34"/>
        <v>7100</v>
      </c>
      <c r="I355" s="15">
        <f t="shared" si="35"/>
        <v>0</v>
      </c>
      <c r="J355" s="20"/>
      <c r="K355" s="15"/>
      <c r="L355" s="15">
        <f t="shared" si="30"/>
        <v>0</v>
      </c>
      <c r="M355" s="16"/>
      <c r="N355" s="16"/>
      <c r="O355" s="15">
        <f t="shared" si="31"/>
        <v>0</v>
      </c>
      <c r="P355" s="15">
        <f t="shared" si="32"/>
        <v>0</v>
      </c>
      <c r="Q355" s="15">
        <f t="shared" si="33"/>
        <v>0</v>
      </c>
      <c r="R355" s="17">
        <v>1497</v>
      </c>
    </row>
    <row r="356" spans="1:18" ht="16.5" x14ac:dyDescent="0.25">
      <c r="A356" s="12">
        <v>1499</v>
      </c>
      <c r="B356" s="13" t="s">
        <v>320</v>
      </c>
      <c r="C356" s="13" t="s">
        <v>25</v>
      </c>
      <c r="D356" s="20"/>
      <c r="E356" s="15">
        <v>6400</v>
      </c>
      <c r="F356" s="15">
        <v>400</v>
      </c>
      <c r="G356" s="15">
        <v>400</v>
      </c>
      <c r="H356" s="15">
        <f t="shared" si="34"/>
        <v>7200</v>
      </c>
      <c r="I356" s="15">
        <f t="shared" si="35"/>
        <v>0</v>
      </c>
      <c r="J356" s="20"/>
      <c r="K356" s="15"/>
      <c r="L356" s="15">
        <f t="shared" si="30"/>
        <v>0</v>
      </c>
      <c r="M356" s="16"/>
      <c r="N356" s="16"/>
      <c r="O356" s="15">
        <f t="shared" si="31"/>
        <v>0</v>
      </c>
      <c r="P356" s="15">
        <f t="shared" si="32"/>
        <v>0</v>
      </c>
      <c r="Q356" s="15">
        <f t="shared" si="33"/>
        <v>0</v>
      </c>
      <c r="R356" s="17">
        <v>1499</v>
      </c>
    </row>
    <row r="357" spans="1:18" ht="16.5" x14ac:dyDescent="0.25">
      <c r="A357" s="12">
        <v>1500</v>
      </c>
      <c r="B357" s="13" t="s">
        <v>321</v>
      </c>
      <c r="C357" s="13" t="s">
        <v>54</v>
      </c>
      <c r="D357" s="19"/>
      <c r="E357" s="15">
        <v>6400</v>
      </c>
      <c r="F357" s="15">
        <v>300</v>
      </c>
      <c r="G357" s="15">
        <v>400</v>
      </c>
      <c r="H357" s="15">
        <f t="shared" si="34"/>
        <v>7100</v>
      </c>
      <c r="I357" s="15">
        <f t="shared" si="35"/>
        <v>0</v>
      </c>
      <c r="J357" s="16"/>
      <c r="K357" s="15"/>
      <c r="L357" s="15">
        <f t="shared" si="30"/>
        <v>0</v>
      </c>
      <c r="M357" s="16"/>
      <c r="N357" s="16"/>
      <c r="O357" s="15">
        <f t="shared" si="31"/>
        <v>0</v>
      </c>
      <c r="P357" s="15">
        <f t="shared" si="32"/>
        <v>0</v>
      </c>
      <c r="Q357" s="15">
        <f t="shared" si="33"/>
        <v>0</v>
      </c>
      <c r="R357" s="17">
        <v>1500</v>
      </c>
    </row>
    <row r="358" spans="1:18" ht="16.5" x14ac:dyDescent="0.25">
      <c r="A358" s="12">
        <v>1502</v>
      </c>
      <c r="B358" s="13" t="s">
        <v>322</v>
      </c>
      <c r="C358" s="13" t="s">
        <v>25</v>
      </c>
      <c r="D358" s="16"/>
      <c r="E358" s="15">
        <v>6400</v>
      </c>
      <c r="F358" s="15">
        <v>300</v>
      </c>
      <c r="G358" s="15">
        <v>400</v>
      </c>
      <c r="H358" s="15">
        <f t="shared" si="34"/>
        <v>7100</v>
      </c>
      <c r="I358" s="15">
        <f t="shared" si="35"/>
        <v>0</v>
      </c>
      <c r="J358" s="16"/>
      <c r="K358" s="15"/>
      <c r="L358" s="15">
        <f t="shared" si="30"/>
        <v>0</v>
      </c>
      <c r="M358" s="16"/>
      <c r="N358" s="16"/>
      <c r="O358" s="15">
        <f t="shared" si="31"/>
        <v>0</v>
      </c>
      <c r="P358" s="15">
        <f t="shared" si="32"/>
        <v>0</v>
      </c>
      <c r="Q358" s="15">
        <f t="shared" si="33"/>
        <v>0</v>
      </c>
      <c r="R358" s="17">
        <v>1502</v>
      </c>
    </row>
    <row r="359" spans="1:18" ht="16.5" x14ac:dyDescent="0.25">
      <c r="A359" s="12">
        <v>1503</v>
      </c>
      <c r="B359" s="13" t="s">
        <v>323</v>
      </c>
      <c r="C359" s="13" t="s">
        <v>21</v>
      </c>
      <c r="D359" s="14"/>
      <c r="E359" s="15">
        <v>6400</v>
      </c>
      <c r="F359" s="15">
        <v>300</v>
      </c>
      <c r="G359" s="15">
        <v>400</v>
      </c>
      <c r="H359" s="15">
        <f t="shared" si="34"/>
        <v>7100</v>
      </c>
      <c r="I359" s="15">
        <f t="shared" si="35"/>
        <v>0</v>
      </c>
      <c r="J359" s="16"/>
      <c r="K359" s="15"/>
      <c r="L359" s="15">
        <f t="shared" si="30"/>
        <v>0</v>
      </c>
      <c r="M359" s="16"/>
      <c r="N359" s="16"/>
      <c r="O359" s="15">
        <f t="shared" si="31"/>
        <v>0</v>
      </c>
      <c r="P359" s="15">
        <f t="shared" si="32"/>
        <v>0</v>
      </c>
      <c r="Q359" s="15">
        <f t="shared" si="33"/>
        <v>0</v>
      </c>
      <c r="R359" s="17">
        <v>1503</v>
      </c>
    </row>
    <row r="360" spans="1:18" ht="16.5" x14ac:dyDescent="0.25">
      <c r="A360" s="12">
        <v>1504</v>
      </c>
      <c r="B360" s="13" t="s">
        <v>324</v>
      </c>
      <c r="C360" s="13" t="s">
        <v>43</v>
      </c>
      <c r="D360" s="16"/>
      <c r="E360" s="15">
        <v>6400</v>
      </c>
      <c r="F360" s="15">
        <v>300</v>
      </c>
      <c r="G360" s="15">
        <v>400</v>
      </c>
      <c r="H360" s="15">
        <f t="shared" si="34"/>
        <v>7100</v>
      </c>
      <c r="I360" s="15">
        <f t="shared" si="35"/>
        <v>0</v>
      </c>
      <c r="J360" s="16"/>
      <c r="K360" s="15"/>
      <c r="L360" s="15">
        <f t="shared" si="30"/>
        <v>0</v>
      </c>
      <c r="M360" s="20"/>
      <c r="N360" s="20"/>
      <c r="O360" s="15">
        <f t="shared" si="31"/>
        <v>0</v>
      </c>
      <c r="P360" s="15">
        <f t="shared" si="32"/>
        <v>0</v>
      </c>
      <c r="Q360" s="15">
        <f t="shared" si="33"/>
        <v>0</v>
      </c>
      <c r="R360" s="17">
        <v>1504</v>
      </c>
    </row>
    <row r="361" spans="1:18" ht="16.5" x14ac:dyDescent="0.25">
      <c r="A361" s="12">
        <v>1505</v>
      </c>
      <c r="B361" s="13" t="s">
        <v>325</v>
      </c>
      <c r="C361" s="13" t="s">
        <v>25</v>
      </c>
      <c r="D361" s="16"/>
      <c r="E361" s="15">
        <v>6400</v>
      </c>
      <c r="F361" s="15">
        <v>300</v>
      </c>
      <c r="G361" s="15">
        <v>400</v>
      </c>
      <c r="H361" s="15">
        <f t="shared" si="34"/>
        <v>7100</v>
      </c>
      <c r="I361" s="15">
        <f t="shared" si="35"/>
        <v>0</v>
      </c>
      <c r="J361" s="16"/>
      <c r="K361" s="15"/>
      <c r="L361" s="15">
        <f t="shared" si="30"/>
        <v>0</v>
      </c>
      <c r="M361" s="20"/>
      <c r="N361" s="20"/>
      <c r="O361" s="15">
        <f t="shared" si="31"/>
        <v>0</v>
      </c>
      <c r="P361" s="15">
        <f t="shared" si="32"/>
        <v>0</v>
      </c>
      <c r="Q361" s="15">
        <f t="shared" si="33"/>
        <v>0</v>
      </c>
      <c r="R361" s="17">
        <v>1505</v>
      </c>
    </row>
    <row r="362" spans="1:18" ht="16.5" x14ac:dyDescent="0.25">
      <c r="A362" s="12">
        <v>1506</v>
      </c>
      <c r="B362" s="13" t="s">
        <v>326</v>
      </c>
      <c r="C362" s="13" t="s">
        <v>30</v>
      </c>
      <c r="D362" s="14">
        <v>61</v>
      </c>
      <c r="E362" s="15">
        <v>6400</v>
      </c>
      <c r="F362" s="15">
        <v>500</v>
      </c>
      <c r="G362" s="15">
        <v>400</v>
      </c>
      <c r="H362" s="15">
        <f t="shared" si="34"/>
        <v>7300</v>
      </c>
      <c r="I362" s="15">
        <f t="shared" si="35"/>
        <v>445300</v>
      </c>
      <c r="J362" s="20"/>
      <c r="K362" s="15">
        <v>205000</v>
      </c>
      <c r="L362" s="15">
        <f t="shared" si="30"/>
        <v>1220</v>
      </c>
      <c r="M362" s="16"/>
      <c r="N362" s="16"/>
      <c r="O362" s="15">
        <f t="shared" si="31"/>
        <v>15250</v>
      </c>
      <c r="P362" s="15">
        <f t="shared" si="32"/>
        <v>221470</v>
      </c>
      <c r="Q362" s="15">
        <f t="shared" si="33"/>
        <v>223830</v>
      </c>
      <c r="R362" s="17">
        <v>1506</v>
      </c>
    </row>
    <row r="363" spans="1:18" ht="16.5" x14ac:dyDescent="0.25">
      <c r="A363" s="12">
        <v>1507</v>
      </c>
      <c r="B363" s="13" t="s">
        <v>327</v>
      </c>
      <c r="C363" s="13" t="s">
        <v>25</v>
      </c>
      <c r="D363" s="20"/>
      <c r="E363" s="15">
        <v>6400</v>
      </c>
      <c r="F363" s="15">
        <v>400</v>
      </c>
      <c r="G363" s="15">
        <v>400</v>
      </c>
      <c r="H363" s="15">
        <f t="shared" si="34"/>
        <v>7200</v>
      </c>
      <c r="I363" s="15">
        <f t="shared" si="35"/>
        <v>0</v>
      </c>
      <c r="J363" s="20"/>
      <c r="K363" s="15"/>
      <c r="L363" s="15">
        <f t="shared" si="30"/>
        <v>0</v>
      </c>
      <c r="M363" s="16"/>
      <c r="N363" s="16"/>
      <c r="O363" s="15">
        <f t="shared" si="31"/>
        <v>0</v>
      </c>
      <c r="P363" s="15">
        <f t="shared" si="32"/>
        <v>0</v>
      </c>
      <c r="Q363" s="15">
        <f t="shared" si="33"/>
        <v>0</v>
      </c>
      <c r="R363" s="17">
        <v>1507</v>
      </c>
    </row>
    <row r="364" spans="1:18" ht="16.5" x14ac:dyDescent="0.25">
      <c r="A364" s="12">
        <v>1508</v>
      </c>
      <c r="B364" s="13" t="s">
        <v>304</v>
      </c>
      <c r="C364" s="13" t="s">
        <v>21</v>
      </c>
      <c r="D364" s="19"/>
      <c r="E364" s="15">
        <v>6400</v>
      </c>
      <c r="F364" s="15">
        <v>300</v>
      </c>
      <c r="G364" s="15">
        <v>400</v>
      </c>
      <c r="H364" s="15">
        <f t="shared" si="34"/>
        <v>7100</v>
      </c>
      <c r="I364" s="15">
        <f t="shared" si="35"/>
        <v>0</v>
      </c>
      <c r="J364" s="16"/>
      <c r="K364" s="15"/>
      <c r="L364" s="15">
        <f t="shared" si="30"/>
        <v>0</v>
      </c>
      <c r="M364" s="16"/>
      <c r="N364" s="16"/>
      <c r="O364" s="15">
        <f t="shared" si="31"/>
        <v>0</v>
      </c>
      <c r="P364" s="15">
        <f t="shared" si="32"/>
        <v>0</v>
      </c>
      <c r="Q364" s="15">
        <f t="shared" si="33"/>
        <v>0</v>
      </c>
      <c r="R364" s="17">
        <v>1508</v>
      </c>
    </row>
    <row r="365" spans="1:18" ht="16.5" x14ac:dyDescent="0.25">
      <c r="A365" s="12">
        <v>1509</v>
      </c>
      <c r="B365" s="13" t="s">
        <v>328</v>
      </c>
      <c r="C365" s="13" t="s">
        <v>30</v>
      </c>
      <c r="D365" s="14">
        <v>57</v>
      </c>
      <c r="E365" s="15">
        <v>6400</v>
      </c>
      <c r="F365" s="15">
        <v>500</v>
      </c>
      <c r="G365" s="15">
        <v>400</v>
      </c>
      <c r="H365" s="15">
        <f t="shared" si="34"/>
        <v>7300</v>
      </c>
      <c r="I365" s="15">
        <f t="shared" si="35"/>
        <v>416100</v>
      </c>
      <c r="J365" s="16"/>
      <c r="K365" s="15">
        <v>205000</v>
      </c>
      <c r="L365" s="15">
        <f t="shared" si="30"/>
        <v>1140</v>
      </c>
      <c r="M365" s="20"/>
      <c r="N365" s="20"/>
      <c r="O365" s="15">
        <f t="shared" si="31"/>
        <v>14250</v>
      </c>
      <c r="P365" s="15">
        <f t="shared" si="32"/>
        <v>220390</v>
      </c>
      <c r="Q365" s="15">
        <f t="shared" si="33"/>
        <v>195710</v>
      </c>
      <c r="R365" s="17">
        <v>1509</v>
      </c>
    </row>
    <row r="366" spans="1:18" ht="16.5" x14ac:dyDescent="0.25">
      <c r="A366" s="12">
        <v>1512</v>
      </c>
      <c r="B366" s="13" t="s">
        <v>329</v>
      </c>
      <c r="C366" s="13" t="s">
        <v>25</v>
      </c>
      <c r="D366" s="16"/>
      <c r="E366" s="15">
        <v>6400</v>
      </c>
      <c r="F366" s="15">
        <v>300</v>
      </c>
      <c r="G366" s="15">
        <v>400</v>
      </c>
      <c r="H366" s="15">
        <f t="shared" si="34"/>
        <v>7100</v>
      </c>
      <c r="I366" s="15">
        <f t="shared" si="35"/>
        <v>0</v>
      </c>
      <c r="J366" s="16"/>
      <c r="K366" s="15"/>
      <c r="L366" s="15">
        <f t="shared" si="30"/>
        <v>0</v>
      </c>
      <c r="M366" s="16"/>
      <c r="N366" s="16"/>
      <c r="O366" s="15">
        <f t="shared" si="31"/>
        <v>0</v>
      </c>
      <c r="P366" s="15">
        <f t="shared" si="32"/>
        <v>0</v>
      </c>
      <c r="Q366" s="15">
        <f t="shared" si="33"/>
        <v>0</v>
      </c>
      <c r="R366" s="17">
        <v>1512</v>
      </c>
    </row>
    <row r="367" spans="1:18" ht="16.5" x14ac:dyDescent="0.25">
      <c r="A367" s="12">
        <v>1513</v>
      </c>
      <c r="B367" s="13" t="s">
        <v>330</v>
      </c>
      <c r="C367" s="13" t="s">
        <v>54</v>
      </c>
      <c r="D367" s="14"/>
      <c r="E367" s="15">
        <v>6400</v>
      </c>
      <c r="F367" s="15">
        <v>400</v>
      </c>
      <c r="G367" s="15">
        <v>400</v>
      </c>
      <c r="H367" s="15">
        <f t="shared" si="34"/>
        <v>7200</v>
      </c>
      <c r="I367" s="15">
        <f t="shared" si="35"/>
        <v>0</v>
      </c>
      <c r="J367" s="20"/>
      <c r="K367" s="15"/>
      <c r="L367" s="15">
        <f t="shared" si="30"/>
        <v>0</v>
      </c>
      <c r="M367" s="20"/>
      <c r="N367" s="20"/>
      <c r="O367" s="15">
        <f t="shared" si="31"/>
        <v>0</v>
      </c>
      <c r="P367" s="15">
        <f t="shared" si="32"/>
        <v>0</v>
      </c>
      <c r="Q367" s="15">
        <f t="shared" si="33"/>
        <v>0</v>
      </c>
      <c r="R367" s="17">
        <v>1513</v>
      </c>
    </row>
    <row r="368" spans="1:18" ht="16.5" x14ac:dyDescent="0.25">
      <c r="A368" s="12">
        <v>1514</v>
      </c>
      <c r="B368" s="13" t="s">
        <v>331</v>
      </c>
      <c r="C368" s="13" t="s">
        <v>30</v>
      </c>
      <c r="D368" s="19">
        <v>48</v>
      </c>
      <c r="E368" s="15">
        <v>6400</v>
      </c>
      <c r="F368" s="15">
        <v>500</v>
      </c>
      <c r="G368" s="15">
        <v>400</v>
      </c>
      <c r="H368" s="15">
        <f t="shared" si="34"/>
        <v>7300</v>
      </c>
      <c r="I368" s="15">
        <f t="shared" si="35"/>
        <v>350400</v>
      </c>
      <c r="J368" s="16"/>
      <c r="K368" s="15">
        <v>205000</v>
      </c>
      <c r="L368" s="15">
        <f t="shared" si="30"/>
        <v>960</v>
      </c>
      <c r="M368" s="16"/>
      <c r="N368" s="16"/>
      <c r="O368" s="15">
        <f t="shared" si="31"/>
        <v>12000</v>
      </c>
      <c r="P368" s="15">
        <f t="shared" si="32"/>
        <v>217960</v>
      </c>
      <c r="Q368" s="15">
        <f t="shared" si="33"/>
        <v>132440</v>
      </c>
      <c r="R368" s="17">
        <v>1514</v>
      </c>
    </row>
    <row r="369" spans="1:18" ht="16.5" x14ac:dyDescent="0.25">
      <c r="A369" s="12">
        <v>1515</v>
      </c>
      <c r="B369" s="13" t="s">
        <v>332</v>
      </c>
      <c r="C369" s="13" t="s">
        <v>43</v>
      </c>
      <c r="D369" s="16"/>
      <c r="E369" s="15">
        <v>6400</v>
      </c>
      <c r="F369" s="15">
        <v>300</v>
      </c>
      <c r="G369" s="15">
        <v>400</v>
      </c>
      <c r="H369" s="15">
        <f t="shared" si="34"/>
        <v>7100</v>
      </c>
      <c r="I369" s="15">
        <f t="shared" si="35"/>
        <v>0</v>
      </c>
      <c r="J369" s="20"/>
      <c r="K369" s="15"/>
      <c r="L369" s="15">
        <f t="shared" si="30"/>
        <v>0</v>
      </c>
      <c r="M369" s="20"/>
      <c r="N369" s="20"/>
      <c r="O369" s="15">
        <f t="shared" si="31"/>
        <v>0</v>
      </c>
      <c r="P369" s="15">
        <f t="shared" si="32"/>
        <v>0</v>
      </c>
      <c r="Q369" s="15">
        <f t="shared" si="33"/>
        <v>0</v>
      </c>
      <c r="R369" s="17">
        <v>1515</v>
      </c>
    </row>
    <row r="370" spans="1:18" ht="16.5" x14ac:dyDescent="0.25">
      <c r="A370" s="12">
        <v>1516</v>
      </c>
      <c r="B370" s="13" t="s">
        <v>333</v>
      </c>
      <c r="C370" s="13" t="s">
        <v>25</v>
      </c>
      <c r="D370" s="20"/>
      <c r="E370" s="15">
        <v>6400</v>
      </c>
      <c r="F370" s="15">
        <v>300</v>
      </c>
      <c r="G370" s="15">
        <v>400</v>
      </c>
      <c r="H370" s="15">
        <f t="shared" si="34"/>
        <v>7100</v>
      </c>
      <c r="I370" s="15">
        <f t="shared" si="35"/>
        <v>0</v>
      </c>
      <c r="J370" s="16"/>
      <c r="K370" s="15"/>
      <c r="L370" s="15">
        <f t="shared" si="30"/>
        <v>0</v>
      </c>
      <c r="M370" s="16"/>
      <c r="N370" s="16"/>
      <c r="O370" s="15">
        <f t="shared" si="31"/>
        <v>0</v>
      </c>
      <c r="P370" s="15">
        <f t="shared" si="32"/>
        <v>0</v>
      </c>
      <c r="Q370" s="15">
        <f t="shared" si="33"/>
        <v>0</v>
      </c>
      <c r="R370" s="17">
        <v>1516</v>
      </c>
    </row>
    <row r="371" spans="1:18" ht="16.5" x14ac:dyDescent="0.25">
      <c r="A371" s="12">
        <v>1517</v>
      </c>
      <c r="B371" s="13" t="s">
        <v>275</v>
      </c>
      <c r="C371" s="13" t="s">
        <v>25</v>
      </c>
      <c r="D371" s="16"/>
      <c r="E371" s="15">
        <v>6400</v>
      </c>
      <c r="F371" s="15">
        <v>300</v>
      </c>
      <c r="G371" s="15">
        <v>400</v>
      </c>
      <c r="H371" s="15">
        <f t="shared" si="34"/>
        <v>7100</v>
      </c>
      <c r="I371" s="15">
        <f t="shared" si="35"/>
        <v>0</v>
      </c>
      <c r="J371" s="20"/>
      <c r="K371" s="15"/>
      <c r="L371" s="15">
        <f t="shared" si="30"/>
        <v>0</v>
      </c>
      <c r="M371" s="16"/>
      <c r="N371" s="16"/>
      <c r="O371" s="15">
        <f t="shared" si="31"/>
        <v>0</v>
      </c>
      <c r="P371" s="15">
        <f t="shared" si="32"/>
        <v>0</v>
      </c>
      <c r="Q371" s="15">
        <f t="shared" si="33"/>
        <v>0</v>
      </c>
      <c r="R371" s="17">
        <v>1517</v>
      </c>
    </row>
    <row r="372" spans="1:18" ht="16.5" x14ac:dyDescent="0.25">
      <c r="A372" s="12">
        <v>1518</v>
      </c>
      <c r="B372" s="13" t="s">
        <v>239</v>
      </c>
      <c r="C372" s="13" t="s">
        <v>25</v>
      </c>
      <c r="D372" s="20"/>
      <c r="E372" s="15">
        <v>6400</v>
      </c>
      <c r="F372" s="15">
        <v>400</v>
      </c>
      <c r="G372" s="15">
        <v>400</v>
      </c>
      <c r="H372" s="15">
        <f t="shared" si="34"/>
        <v>7200</v>
      </c>
      <c r="I372" s="15">
        <f t="shared" si="35"/>
        <v>0</v>
      </c>
      <c r="J372" s="16"/>
      <c r="K372" s="15"/>
      <c r="L372" s="15">
        <f t="shared" si="30"/>
        <v>0</v>
      </c>
      <c r="M372" s="16"/>
      <c r="N372" s="16"/>
      <c r="O372" s="15">
        <f t="shared" si="31"/>
        <v>0</v>
      </c>
      <c r="P372" s="15">
        <f t="shared" si="32"/>
        <v>0</v>
      </c>
      <c r="Q372" s="15">
        <f t="shared" si="33"/>
        <v>0</v>
      </c>
      <c r="R372" s="17">
        <v>1518</v>
      </c>
    </row>
    <row r="373" spans="1:18" ht="16.5" x14ac:dyDescent="0.25">
      <c r="A373" s="12">
        <v>1519</v>
      </c>
      <c r="B373" s="13" t="s">
        <v>334</v>
      </c>
      <c r="C373" s="13" t="s">
        <v>16</v>
      </c>
      <c r="D373" s="14">
        <v>25</v>
      </c>
      <c r="E373" s="15">
        <v>6400</v>
      </c>
      <c r="F373" s="15">
        <v>500</v>
      </c>
      <c r="G373" s="15">
        <v>400</v>
      </c>
      <c r="H373" s="15">
        <f t="shared" si="34"/>
        <v>7300</v>
      </c>
      <c r="I373" s="15">
        <f t="shared" si="35"/>
        <v>182500</v>
      </c>
      <c r="J373" s="16"/>
      <c r="K373" s="15">
        <v>170000</v>
      </c>
      <c r="L373" s="15">
        <f t="shared" si="30"/>
        <v>500</v>
      </c>
      <c r="M373" s="16"/>
      <c r="N373" s="16"/>
      <c r="O373" s="15">
        <f t="shared" si="31"/>
        <v>6250</v>
      </c>
      <c r="P373" s="15">
        <f t="shared" si="32"/>
        <v>176750</v>
      </c>
      <c r="Q373" s="15">
        <f t="shared" si="33"/>
        <v>5750</v>
      </c>
      <c r="R373" s="17">
        <v>1519</v>
      </c>
    </row>
    <row r="374" spans="1:18" ht="16.5" x14ac:dyDescent="0.25">
      <c r="A374" s="12">
        <v>1520</v>
      </c>
      <c r="B374" s="13" t="s">
        <v>335</v>
      </c>
      <c r="C374" s="13" t="s">
        <v>21</v>
      </c>
      <c r="D374" s="20"/>
      <c r="E374" s="15">
        <v>6400</v>
      </c>
      <c r="F374" s="15">
        <v>300</v>
      </c>
      <c r="G374" s="15">
        <v>400</v>
      </c>
      <c r="H374" s="15">
        <f t="shared" si="34"/>
        <v>7100</v>
      </c>
      <c r="I374" s="15">
        <f t="shared" si="35"/>
        <v>0</v>
      </c>
      <c r="J374" s="16"/>
      <c r="K374" s="15"/>
      <c r="L374" s="15">
        <f t="shared" si="30"/>
        <v>0</v>
      </c>
      <c r="M374" s="16"/>
      <c r="N374" s="16"/>
      <c r="O374" s="15">
        <f t="shared" si="31"/>
        <v>0</v>
      </c>
      <c r="P374" s="15">
        <f t="shared" si="32"/>
        <v>0</v>
      </c>
      <c r="Q374" s="15">
        <f t="shared" si="33"/>
        <v>0</v>
      </c>
      <c r="R374" s="17">
        <v>1520</v>
      </c>
    </row>
    <row r="375" spans="1:18" ht="16.5" x14ac:dyDescent="0.25">
      <c r="A375" s="12">
        <v>1521</v>
      </c>
      <c r="B375" s="13" t="s">
        <v>336</v>
      </c>
      <c r="C375" s="13" t="s">
        <v>36</v>
      </c>
      <c r="D375" s="14"/>
      <c r="E375" s="15">
        <v>6400</v>
      </c>
      <c r="F375" s="15">
        <v>400</v>
      </c>
      <c r="G375" s="15">
        <v>400</v>
      </c>
      <c r="H375" s="15">
        <f t="shared" si="34"/>
        <v>7200</v>
      </c>
      <c r="I375" s="15">
        <f t="shared" si="35"/>
        <v>0</v>
      </c>
      <c r="J375" s="16"/>
      <c r="K375" s="15"/>
      <c r="L375" s="15">
        <f t="shared" si="30"/>
        <v>0</v>
      </c>
      <c r="M375" s="16"/>
      <c r="N375" s="16"/>
      <c r="O375" s="15">
        <f t="shared" si="31"/>
        <v>0</v>
      </c>
      <c r="P375" s="15">
        <f t="shared" si="32"/>
        <v>0</v>
      </c>
      <c r="Q375" s="15">
        <f t="shared" si="33"/>
        <v>0</v>
      </c>
      <c r="R375" s="17">
        <v>1521</v>
      </c>
    </row>
    <row r="376" spans="1:18" ht="16.5" x14ac:dyDescent="0.25">
      <c r="A376" s="12">
        <v>1522</v>
      </c>
      <c r="B376" s="13" t="s">
        <v>337</v>
      </c>
      <c r="C376" s="13" t="s">
        <v>25</v>
      </c>
      <c r="D376" s="16"/>
      <c r="E376" s="15">
        <v>6400</v>
      </c>
      <c r="F376" s="15">
        <v>300</v>
      </c>
      <c r="G376" s="15">
        <v>400</v>
      </c>
      <c r="H376" s="15">
        <f t="shared" si="34"/>
        <v>7100</v>
      </c>
      <c r="I376" s="15">
        <f t="shared" si="35"/>
        <v>0</v>
      </c>
      <c r="J376" s="16"/>
      <c r="K376" s="15"/>
      <c r="L376" s="15">
        <f t="shared" si="30"/>
        <v>0</v>
      </c>
      <c r="M376" s="16"/>
      <c r="N376" s="16"/>
      <c r="O376" s="15">
        <f t="shared" si="31"/>
        <v>0</v>
      </c>
      <c r="P376" s="15">
        <f t="shared" si="32"/>
        <v>0</v>
      </c>
      <c r="Q376" s="15">
        <f t="shared" si="33"/>
        <v>0</v>
      </c>
      <c r="R376" s="17">
        <v>1522</v>
      </c>
    </row>
    <row r="377" spans="1:18" ht="16.5" x14ac:dyDescent="0.25">
      <c r="A377" s="12">
        <v>1523</v>
      </c>
      <c r="B377" s="13" t="s">
        <v>338</v>
      </c>
      <c r="C377" s="13" t="s">
        <v>36</v>
      </c>
      <c r="D377" s="14"/>
      <c r="E377" s="15">
        <v>6400</v>
      </c>
      <c r="F377" s="15">
        <v>300</v>
      </c>
      <c r="G377" s="15">
        <v>400</v>
      </c>
      <c r="H377" s="15">
        <f t="shared" si="34"/>
        <v>7100</v>
      </c>
      <c r="I377" s="15">
        <f t="shared" si="35"/>
        <v>0</v>
      </c>
      <c r="J377" s="16"/>
      <c r="K377" s="15"/>
      <c r="L377" s="15">
        <f t="shared" si="30"/>
        <v>0</v>
      </c>
      <c r="M377" s="20"/>
      <c r="N377" s="20"/>
      <c r="O377" s="15">
        <f t="shared" si="31"/>
        <v>0</v>
      </c>
      <c r="P377" s="15">
        <f t="shared" si="32"/>
        <v>0</v>
      </c>
      <c r="Q377" s="15">
        <f t="shared" si="33"/>
        <v>0</v>
      </c>
      <c r="R377" s="17">
        <v>1523</v>
      </c>
    </row>
    <row r="378" spans="1:18" ht="16.5" x14ac:dyDescent="0.25">
      <c r="A378" s="12">
        <v>1524</v>
      </c>
      <c r="B378" s="13" t="s">
        <v>339</v>
      </c>
      <c r="C378" s="13" t="s">
        <v>425</v>
      </c>
      <c r="D378" s="14">
        <v>67</v>
      </c>
      <c r="E378" s="15">
        <v>6400</v>
      </c>
      <c r="F378" s="15">
        <v>400</v>
      </c>
      <c r="G378" s="15">
        <v>400</v>
      </c>
      <c r="H378" s="15">
        <f t="shared" si="34"/>
        <v>7200</v>
      </c>
      <c r="I378" s="15">
        <f t="shared" si="35"/>
        <v>482400</v>
      </c>
      <c r="J378" s="16"/>
      <c r="K378" s="15"/>
      <c r="L378" s="15">
        <f t="shared" si="30"/>
        <v>1340</v>
      </c>
      <c r="M378" s="16"/>
      <c r="N378" s="16"/>
      <c r="O378" s="15">
        <f t="shared" si="31"/>
        <v>16750</v>
      </c>
      <c r="P378" s="15">
        <f t="shared" si="32"/>
        <v>18090</v>
      </c>
      <c r="Q378" s="15">
        <f t="shared" si="33"/>
        <v>464310</v>
      </c>
      <c r="R378" s="17">
        <v>1524</v>
      </c>
    </row>
    <row r="379" spans="1:18" ht="16.5" x14ac:dyDescent="0.25">
      <c r="A379" s="12">
        <v>1525</v>
      </c>
      <c r="B379" s="13" t="s">
        <v>340</v>
      </c>
      <c r="C379" s="13" t="s">
        <v>30</v>
      </c>
      <c r="D379" s="14"/>
      <c r="E379" s="15">
        <v>6400</v>
      </c>
      <c r="F379" s="15">
        <v>400</v>
      </c>
      <c r="G379" s="15">
        <v>400</v>
      </c>
      <c r="H379" s="15">
        <f t="shared" si="34"/>
        <v>7200</v>
      </c>
      <c r="I379" s="15">
        <f t="shared" si="35"/>
        <v>0</v>
      </c>
      <c r="J379" s="20"/>
      <c r="K379" s="15"/>
      <c r="L379" s="15">
        <f t="shared" si="30"/>
        <v>0</v>
      </c>
      <c r="M379" s="20"/>
      <c r="N379" s="20"/>
      <c r="O379" s="15">
        <f t="shared" si="31"/>
        <v>0</v>
      </c>
      <c r="P379" s="15">
        <f t="shared" si="32"/>
        <v>0</v>
      </c>
      <c r="Q379" s="15">
        <f t="shared" si="33"/>
        <v>0</v>
      </c>
      <c r="R379" s="17">
        <v>1525</v>
      </c>
    </row>
    <row r="380" spans="1:18" ht="16.5" x14ac:dyDescent="0.25">
      <c r="A380" s="12">
        <v>1526</v>
      </c>
      <c r="B380" s="13" t="s">
        <v>341</v>
      </c>
      <c r="C380" s="13" t="s">
        <v>43</v>
      </c>
      <c r="D380" s="20"/>
      <c r="E380" s="15">
        <v>6400</v>
      </c>
      <c r="F380" s="15">
        <v>300</v>
      </c>
      <c r="G380" s="15">
        <v>400</v>
      </c>
      <c r="H380" s="15">
        <f t="shared" si="34"/>
        <v>7100</v>
      </c>
      <c r="I380" s="15">
        <f t="shared" si="35"/>
        <v>0</v>
      </c>
      <c r="J380" s="16"/>
      <c r="K380" s="15"/>
      <c r="L380" s="15">
        <f t="shared" si="30"/>
        <v>0</v>
      </c>
      <c r="M380" s="20"/>
      <c r="N380" s="20"/>
      <c r="O380" s="15">
        <f t="shared" si="31"/>
        <v>0</v>
      </c>
      <c r="P380" s="15">
        <f t="shared" si="32"/>
        <v>0</v>
      </c>
      <c r="Q380" s="15">
        <f t="shared" si="33"/>
        <v>0</v>
      </c>
      <c r="R380" s="17">
        <v>1526</v>
      </c>
    </row>
    <row r="381" spans="1:18" ht="16.5" x14ac:dyDescent="0.25">
      <c r="A381" s="12">
        <v>1527</v>
      </c>
      <c r="B381" s="13" t="s">
        <v>342</v>
      </c>
      <c r="C381" s="13" t="s">
        <v>43</v>
      </c>
      <c r="D381" s="16"/>
      <c r="E381" s="15">
        <v>6400</v>
      </c>
      <c r="F381" s="15">
        <v>300</v>
      </c>
      <c r="G381" s="15">
        <v>400</v>
      </c>
      <c r="H381" s="15">
        <f t="shared" si="34"/>
        <v>7100</v>
      </c>
      <c r="I381" s="15">
        <f t="shared" si="35"/>
        <v>0</v>
      </c>
      <c r="J381" s="20"/>
      <c r="K381" s="15"/>
      <c r="L381" s="15">
        <f t="shared" si="30"/>
        <v>0</v>
      </c>
      <c r="M381" s="20"/>
      <c r="N381" s="20"/>
      <c r="O381" s="15">
        <f t="shared" si="31"/>
        <v>0</v>
      </c>
      <c r="P381" s="15">
        <f t="shared" si="32"/>
        <v>0</v>
      </c>
      <c r="Q381" s="15">
        <f t="shared" si="33"/>
        <v>0</v>
      </c>
      <c r="R381" s="17">
        <v>1527</v>
      </c>
    </row>
    <row r="382" spans="1:18" ht="16.5" x14ac:dyDescent="0.25">
      <c r="A382" s="12">
        <v>1528</v>
      </c>
      <c r="B382" s="13" t="s">
        <v>343</v>
      </c>
      <c r="C382" s="13" t="s">
        <v>36</v>
      </c>
      <c r="D382" s="19"/>
      <c r="E382" s="15">
        <v>6400</v>
      </c>
      <c r="F382" s="15">
        <v>300</v>
      </c>
      <c r="G382" s="15">
        <v>400</v>
      </c>
      <c r="H382" s="15">
        <f t="shared" si="34"/>
        <v>7100</v>
      </c>
      <c r="I382" s="15">
        <f t="shared" si="35"/>
        <v>0</v>
      </c>
      <c r="J382" s="20"/>
      <c r="K382" s="15"/>
      <c r="L382" s="15">
        <f t="shared" si="30"/>
        <v>0</v>
      </c>
      <c r="M382" s="20"/>
      <c r="N382" s="20"/>
      <c r="O382" s="15">
        <f t="shared" si="31"/>
        <v>0</v>
      </c>
      <c r="P382" s="15">
        <f t="shared" si="32"/>
        <v>0</v>
      </c>
      <c r="Q382" s="15">
        <f t="shared" si="33"/>
        <v>0</v>
      </c>
      <c r="R382" s="17">
        <v>1528</v>
      </c>
    </row>
    <row r="383" spans="1:18" ht="16.5" x14ac:dyDescent="0.25">
      <c r="A383" s="12">
        <v>1529</v>
      </c>
      <c r="B383" s="13" t="s">
        <v>344</v>
      </c>
      <c r="C383" s="13" t="s">
        <v>36</v>
      </c>
      <c r="D383" s="19"/>
      <c r="E383" s="15">
        <v>6400</v>
      </c>
      <c r="F383" s="15">
        <v>300</v>
      </c>
      <c r="G383" s="15">
        <v>400</v>
      </c>
      <c r="H383" s="15">
        <f t="shared" si="34"/>
        <v>7100</v>
      </c>
      <c r="I383" s="15">
        <f t="shared" si="35"/>
        <v>0</v>
      </c>
      <c r="J383" s="20"/>
      <c r="K383" s="15"/>
      <c r="L383" s="15">
        <f t="shared" si="30"/>
        <v>0</v>
      </c>
      <c r="M383" s="20"/>
      <c r="N383" s="20"/>
      <c r="O383" s="15">
        <f t="shared" si="31"/>
        <v>0</v>
      </c>
      <c r="P383" s="15">
        <f t="shared" si="32"/>
        <v>0</v>
      </c>
      <c r="Q383" s="15">
        <f t="shared" si="33"/>
        <v>0</v>
      </c>
      <c r="R383" s="17">
        <v>1529</v>
      </c>
    </row>
    <row r="384" spans="1:18" ht="16.5" x14ac:dyDescent="0.25">
      <c r="A384" s="12">
        <v>1530</v>
      </c>
      <c r="B384" s="13" t="s">
        <v>345</v>
      </c>
      <c r="C384" s="13" t="s">
        <v>36</v>
      </c>
      <c r="D384" s="19"/>
      <c r="E384" s="15">
        <v>6400</v>
      </c>
      <c r="F384" s="15">
        <v>300</v>
      </c>
      <c r="G384" s="15">
        <v>400</v>
      </c>
      <c r="H384" s="15">
        <f t="shared" si="34"/>
        <v>7100</v>
      </c>
      <c r="I384" s="15">
        <f t="shared" si="35"/>
        <v>0</v>
      </c>
      <c r="J384" s="20"/>
      <c r="K384" s="15"/>
      <c r="L384" s="15">
        <f t="shared" si="30"/>
        <v>0</v>
      </c>
      <c r="M384" s="16"/>
      <c r="N384" s="16"/>
      <c r="O384" s="15">
        <f t="shared" si="31"/>
        <v>0</v>
      </c>
      <c r="P384" s="15">
        <f t="shared" si="32"/>
        <v>0</v>
      </c>
      <c r="Q384" s="15">
        <f t="shared" si="33"/>
        <v>0</v>
      </c>
      <c r="R384" s="17">
        <v>1530</v>
      </c>
    </row>
    <row r="385" spans="1:18" ht="16.5" x14ac:dyDescent="0.25">
      <c r="A385" s="12">
        <v>1531</v>
      </c>
      <c r="B385" s="13" t="s">
        <v>346</v>
      </c>
      <c r="C385" s="13" t="s">
        <v>36</v>
      </c>
      <c r="D385" s="19"/>
      <c r="E385" s="15">
        <v>6400</v>
      </c>
      <c r="F385" s="15">
        <v>300</v>
      </c>
      <c r="G385" s="15">
        <v>400</v>
      </c>
      <c r="H385" s="15">
        <f t="shared" si="34"/>
        <v>7100</v>
      </c>
      <c r="I385" s="15">
        <f t="shared" si="35"/>
        <v>0</v>
      </c>
      <c r="J385" s="20"/>
      <c r="K385" s="15"/>
      <c r="L385" s="15">
        <f t="shared" si="30"/>
        <v>0</v>
      </c>
      <c r="M385" s="16"/>
      <c r="N385" s="16"/>
      <c r="O385" s="15">
        <f t="shared" si="31"/>
        <v>0</v>
      </c>
      <c r="P385" s="15">
        <f t="shared" si="32"/>
        <v>0</v>
      </c>
      <c r="Q385" s="15">
        <f t="shared" si="33"/>
        <v>0</v>
      </c>
      <c r="R385" s="17">
        <v>1531</v>
      </c>
    </row>
    <row r="386" spans="1:18" ht="16.5" x14ac:dyDescent="0.25">
      <c r="A386" s="12">
        <v>1532</v>
      </c>
      <c r="B386" s="13" t="s">
        <v>347</v>
      </c>
      <c r="C386" s="13" t="s">
        <v>36</v>
      </c>
      <c r="D386" s="19"/>
      <c r="E386" s="15">
        <v>6400</v>
      </c>
      <c r="F386" s="15">
        <v>300</v>
      </c>
      <c r="G386" s="15">
        <v>400</v>
      </c>
      <c r="H386" s="15">
        <f t="shared" si="34"/>
        <v>7100</v>
      </c>
      <c r="I386" s="15">
        <f t="shared" si="35"/>
        <v>0</v>
      </c>
      <c r="J386" s="16"/>
      <c r="K386" s="15"/>
      <c r="L386" s="15">
        <f t="shared" si="30"/>
        <v>0</v>
      </c>
      <c r="M386" s="16"/>
      <c r="N386" s="16"/>
      <c r="O386" s="15">
        <f t="shared" si="31"/>
        <v>0</v>
      </c>
      <c r="P386" s="15">
        <f t="shared" si="32"/>
        <v>0</v>
      </c>
      <c r="Q386" s="15">
        <f t="shared" si="33"/>
        <v>0</v>
      </c>
      <c r="R386" s="17">
        <v>1532</v>
      </c>
    </row>
    <row r="387" spans="1:18" ht="16.5" x14ac:dyDescent="0.25">
      <c r="A387" s="12">
        <v>1533</v>
      </c>
      <c r="B387" s="13" t="s">
        <v>198</v>
      </c>
      <c r="C387" s="13" t="s">
        <v>25</v>
      </c>
      <c r="D387" s="16">
        <v>90</v>
      </c>
      <c r="E387" s="15">
        <v>6400</v>
      </c>
      <c r="F387" s="15">
        <v>400</v>
      </c>
      <c r="G387" s="15">
        <v>400</v>
      </c>
      <c r="H387" s="15">
        <f t="shared" si="34"/>
        <v>7200</v>
      </c>
      <c r="I387" s="15">
        <f t="shared" si="35"/>
        <v>648000</v>
      </c>
      <c r="J387" s="16"/>
      <c r="K387" s="15">
        <v>205000</v>
      </c>
      <c r="L387" s="15">
        <f t="shared" si="30"/>
        <v>1800</v>
      </c>
      <c r="M387" s="16"/>
      <c r="N387" s="16"/>
      <c r="O387" s="15">
        <f t="shared" si="31"/>
        <v>22500</v>
      </c>
      <c r="P387" s="15">
        <f t="shared" si="32"/>
        <v>229300</v>
      </c>
      <c r="Q387" s="15">
        <f t="shared" si="33"/>
        <v>418700</v>
      </c>
      <c r="R387" s="17">
        <v>1533</v>
      </c>
    </row>
    <row r="388" spans="1:18" ht="16.5" x14ac:dyDescent="0.25">
      <c r="A388" s="12">
        <v>1534</v>
      </c>
      <c r="B388" s="13" t="s">
        <v>348</v>
      </c>
      <c r="C388" s="13" t="s">
        <v>36</v>
      </c>
      <c r="D388" s="14"/>
      <c r="E388" s="15">
        <v>6400</v>
      </c>
      <c r="F388" s="15">
        <v>300</v>
      </c>
      <c r="G388" s="15">
        <v>400</v>
      </c>
      <c r="H388" s="15">
        <f t="shared" si="34"/>
        <v>7100</v>
      </c>
      <c r="I388" s="15">
        <f t="shared" si="35"/>
        <v>0</v>
      </c>
      <c r="J388" s="16"/>
      <c r="K388" s="15"/>
      <c r="L388" s="15">
        <f t="shared" si="30"/>
        <v>0</v>
      </c>
      <c r="M388" s="20"/>
      <c r="N388" s="20"/>
      <c r="O388" s="15">
        <f t="shared" si="31"/>
        <v>0</v>
      </c>
      <c r="P388" s="15">
        <f t="shared" si="32"/>
        <v>0</v>
      </c>
      <c r="Q388" s="15">
        <f t="shared" si="33"/>
        <v>0</v>
      </c>
      <c r="R388" s="17">
        <v>1534</v>
      </c>
    </row>
    <row r="389" spans="1:18" ht="16.5" x14ac:dyDescent="0.25">
      <c r="A389" s="12">
        <v>1535</v>
      </c>
      <c r="B389" s="13" t="s">
        <v>136</v>
      </c>
      <c r="C389" s="13" t="s">
        <v>47</v>
      </c>
      <c r="D389" s="14"/>
      <c r="E389" s="15">
        <v>6400</v>
      </c>
      <c r="F389" s="15">
        <v>300</v>
      </c>
      <c r="G389" s="15">
        <v>400</v>
      </c>
      <c r="H389" s="15">
        <f t="shared" si="34"/>
        <v>7100</v>
      </c>
      <c r="I389" s="15">
        <f t="shared" si="35"/>
        <v>0</v>
      </c>
      <c r="J389" s="16"/>
      <c r="K389" s="15"/>
      <c r="L389" s="15">
        <f t="shared" ref="L389:L452" si="36">D389*20</f>
        <v>0</v>
      </c>
      <c r="M389" s="16"/>
      <c r="N389" s="16"/>
      <c r="O389" s="15">
        <f t="shared" ref="O389:O452" si="37">250*D389</f>
        <v>0</v>
      </c>
      <c r="P389" s="15">
        <f t="shared" ref="P389:P452" si="38">SUM(J389:O389)</f>
        <v>0</v>
      </c>
      <c r="Q389" s="15">
        <f t="shared" ref="Q389:Q452" si="39">I389-P389</f>
        <v>0</v>
      </c>
      <c r="R389" s="17">
        <v>1535</v>
      </c>
    </row>
    <row r="390" spans="1:18" ht="16.5" x14ac:dyDescent="0.25">
      <c r="A390" s="12">
        <v>1536</v>
      </c>
      <c r="B390" s="13" t="s">
        <v>349</v>
      </c>
      <c r="C390" s="13" t="s">
        <v>36</v>
      </c>
      <c r="D390" s="16"/>
      <c r="E390" s="15">
        <v>6400</v>
      </c>
      <c r="F390" s="15">
        <v>400</v>
      </c>
      <c r="G390" s="15">
        <v>400</v>
      </c>
      <c r="H390" s="15">
        <f t="shared" ref="H390:H453" si="40">SUM(E390:G390)</f>
        <v>7200</v>
      </c>
      <c r="I390" s="15">
        <f t="shared" ref="I390:I453" si="41">H390*D390</f>
        <v>0</v>
      </c>
      <c r="J390" s="20"/>
      <c r="K390" s="15"/>
      <c r="L390" s="15">
        <f t="shared" si="36"/>
        <v>0</v>
      </c>
      <c r="M390" s="16"/>
      <c r="N390" s="16"/>
      <c r="O390" s="15">
        <f t="shared" si="37"/>
        <v>0</v>
      </c>
      <c r="P390" s="15">
        <f t="shared" si="38"/>
        <v>0</v>
      </c>
      <c r="Q390" s="15">
        <f t="shared" si="39"/>
        <v>0</v>
      </c>
      <c r="R390" s="17">
        <v>1536</v>
      </c>
    </row>
    <row r="391" spans="1:18" ht="16.5" x14ac:dyDescent="0.25">
      <c r="A391" s="12">
        <v>1537</v>
      </c>
      <c r="B391" s="13" t="s">
        <v>350</v>
      </c>
      <c r="C391" s="13" t="s">
        <v>54</v>
      </c>
      <c r="D391" s="19"/>
      <c r="E391" s="15">
        <v>6400</v>
      </c>
      <c r="F391" s="15">
        <v>400</v>
      </c>
      <c r="G391" s="15">
        <v>400</v>
      </c>
      <c r="H391" s="15">
        <f t="shared" si="40"/>
        <v>7200</v>
      </c>
      <c r="I391" s="15">
        <f t="shared" si="41"/>
        <v>0</v>
      </c>
      <c r="J391" s="16"/>
      <c r="K391" s="15"/>
      <c r="L391" s="15">
        <f t="shared" si="36"/>
        <v>0</v>
      </c>
      <c r="M391" s="16"/>
      <c r="N391" s="16"/>
      <c r="O391" s="15">
        <f t="shared" si="37"/>
        <v>0</v>
      </c>
      <c r="P391" s="15">
        <f t="shared" si="38"/>
        <v>0</v>
      </c>
      <c r="Q391" s="15">
        <f t="shared" si="39"/>
        <v>0</v>
      </c>
      <c r="R391" s="17">
        <v>1537</v>
      </c>
    </row>
    <row r="392" spans="1:18" ht="16.5" x14ac:dyDescent="0.25">
      <c r="A392" s="12">
        <v>1538</v>
      </c>
      <c r="B392" s="13" t="s">
        <v>351</v>
      </c>
      <c r="C392" s="13" t="s">
        <v>43</v>
      </c>
      <c r="D392" s="16">
        <v>80</v>
      </c>
      <c r="E392" s="15">
        <v>6400</v>
      </c>
      <c r="F392" s="15">
        <v>600</v>
      </c>
      <c r="G392" s="15">
        <v>400</v>
      </c>
      <c r="H392" s="15">
        <f t="shared" si="40"/>
        <v>7400</v>
      </c>
      <c r="I392" s="15">
        <f t="shared" si="41"/>
        <v>592000</v>
      </c>
      <c r="J392" s="16"/>
      <c r="K392" s="15">
        <v>570000</v>
      </c>
      <c r="L392" s="15">
        <f t="shared" si="36"/>
        <v>1600</v>
      </c>
      <c r="M392" s="16"/>
      <c r="N392" s="16"/>
      <c r="O392" s="15">
        <f t="shared" si="37"/>
        <v>20000</v>
      </c>
      <c r="P392" s="15">
        <f t="shared" si="38"/>
        <v>591600</v>
      </c>
      <c r="Q392" s="15">
        <f t="shared" si="39"/>
        <v>400</v>
      </c>
      <c r="R392" s="17">
        <v>1538</v>
      </c>
    </row>
    <row r="393" spans="1:18" ht="16.5" x14ac:dyDescent="0.25">
      <c r="A393" s="12">
        <v>1540</v>
      </c>
      <c r="B393" s="13" t="s">
        <v>352</v>
      </c>
      <c r="C393" s="13" t="s">
        <v>25</v>
      </c>
      <c r="D393" s="16"/>
      <c r="E393" s="15">
        <v>6400</v>
      </c>
      <c r="F393" s="15">
        <v>400</v>
      </c>
      <c r="G393" s="15">
        <v>400</v>
      </c>
      <c r="H393" s="15">
        <f t="shared" si="40"/>
        <v>7200</v>
      </c>
      <c r="I393" s="15">
        <f t="shared" si="41"/>
        <v>0</v>
      </c>
      <c r="J393" s="16"/>
      <c r="K393" s="15"/>
      <c r="L393" s="15">
        <f t="shared" si="36"/>
        <v>0</v>
      </c>
      <c r="M393" s="16"/>
      <c r="N393" s="16"/>
      <c r="O393" s="15">
        <f t="shared" si="37"/>
        <v>0</v>
      </c>
      <c r="P393" s="15">
        <f t="shared" si="38"/>
        <v>0</v>
      </c>
      <c r="Q393" s="15">
        <f t="shared" si="39"/>
        <v>0</v>
      </c>
      <c r="R393" s="17">
        <v>1540</v>
      </c>
    </row>
    <row r="394" spans="1:18" ht="16.5" x14ac:dyDescent="0.25">
      <c r="A394" s="12">
        <v>1542</v>
      </c>
      <c r="B394" s="13" t="s">
        <v>214</v>
      </c>
      <c r="C394" s="13" t="s">
        <v>25</v>
      </c>
      <c r="D394" s="16">
        <v>54</v>
      </c>
      <c r="E394" s="15">
        <v>6400</v>
      </c>
      <c r="F394" s="15">
        <v>500</v>
      </c>
      <c r="G394" s="15">
        <v>400</v>
      </c>
      <c r="H394" s="15">
        <f t="shared" si="40"/>
        <v>7300</v>
      </c>
      <c r="I394" s="15">
        <f t="shared" si="41"/>
        <v>394200</v>
      </c>
      <c r="J394" s="16"/>
      <c r="K394" s="15">
        <v>205000</v>
      </c>
      <c r="L394" s="15">
        <f t="shared" si="36"/>
        <v>1080</v>
      </c>
      <c r="M394" s="16"/>
      <c r="N394" s="16"/>
      <c r="O394" s="15">
        <f t="shared" si="37"/>
        <v>13500</v>
      </c>
      <c r="P394" s="15">
        <f t="shared" si="38"/>
        <v>219580</v>
      </c>
      <c r="Q394" s="15">
        <f t="shared" si="39"/>
        <v>174620</v>
      </c>
      <c r="R394" s="17">
        <v>1542</v>
      </c>
    </row>
    <row r="395" spans="1:18" ht="16.5" x14ac:dyDescent="0.25">
      <c r="A395" s="12">
        <v>1543</v>
      </c>
      <c r="B395" s="13" t="s">
        <v>353</v>
      </c>
      <c r="C395" s="13" t="s">
        <v>82</v>
      </c>
      <c r="D395" s="16">
        <v>148</v>
      </c>
      <c r="E395" s="15">
        <v>6400</v>
      </c>
      <c r="F395" s="15">
        <v>600</v>
      </c>
      <c r="G395" s="15">
        <v>400</v>
      </c>
      <c r="H395" s="15">
        <f t="shared" si="40"/>
        <v>7400</v>
      </c>
      <c r="I395" s="15">
        <f t="shared" si="41"/>
        <v>1095200</v>
      </c>
      <c r="J395" s="16"/>
      <c r="K395" s="15">
        <v>410000</v>
      </c>
      <c r="L395" s="15">
        <f t="shared" si="36"/>
        <v>2960</v>
      </c>
      <c r="M395" s="16"/>
      <c r="N395" s="16"/>
      <c r="O395" s="15">
        <f t="shared" si="37"/>
        <v>37000</v>
      </c>
      <c r="P395" s="15">
        <f t="shared" si="38"/>
        <v>449960</v>
      </c>
      <c r="Q395" s="15">
        <f t="shared" si="39"/>
        <v>645240</v>
      </c>
      <c r="R395" s="17">
        <v>1543</v>
      </c>
    </row>
    <row r="396" spans="1:18" ht="16.5" x14ac:dyDescent="0.25">
      <c r="A396" s="12">
        <v>1544</v>
      </c>
      <c r="B396" s="13" t="s">
        <v>354</v>
      </c>
      <c r="C396" s="13" t="s">
        <v>188</v>
      </c>
      <c r="D396" s="16">
        <v>165</v>
      </c>
      <c r="E396" s="15">
        <v>6400</v>
      </c>
      <c r="F396" s="15">
        <v>500</v>
      </c>
      <c r="G396" s="15">
        <v>400</v>
      </c>
      <c r="H396" s="15">
        <f t="shared" si="40"/>
        <v>7300</v>
      </c>
      <c r="I396" s="15">
        <f t="shared" si="41"/>
        <v>1204500</v>
      </c>
      <c r="J396" s="16"/>
      <c r="K396" s="15"/>
      <c r="L396" s="15">
        <f t="shared" si="36"/>
        <v>3300</v>
      </c>
      <c r="M396" s="16"/>
      <c r="N396" s="16"/>
      <c r="O396" s="15">
        <f t="shared" si="37"/>
        <v>41250</v>
      </c>
      <c r="P396" s="15">
        <f t="shared" si="38"/>
        <v>44550</v>
      </c>
      <c r="Q396" s="15">
        <f t="shared" si="39"/>
        <v>1159950</v>
      </c>
      <c r="R396" s="17">
        <v>1544</v>
      </c>
    </row>
    <row r="397" spans="1:18" ht="16.5" x14ac:dyDescent="0.25">
      <c r="A397" s="12">
        <v>1545</v>
      </c>
      <c r="B397" s="13" t="s">
        <v>355</v>
      </c>
      <c r="C397" s="13" t="s">
        <v>43</v>
      </c>
      <c r="D397" s="16"/>
      <c r="E397" s="15">
        <v>6400</v>
      </c>
      <c r="F397" s="15">
        <v>300</v>
      </c>
      <c r="G397" s="15">
        <v>400</v>
      </c>
      <c r="H397" s="15">
        <f t="shared" si="40"/>
        <v>7100</v>
      </c>
      <c r="I397" s="15">
        <f t="shared" si="41"/>
        <v>0</v>
      </c>
      <c r="J397" s="16"/>
      <c r="K397" s="15"/>
      <c r="L397" s="15">
        <f t="shared" si="36"/>
        <v>0</v>
      </c>
      <c r="M397" s="16"/>
      <c r="N397" s="16"/>
      <c r="O397" s="15">
        <f t="shared" si="37"/>
        <v>0</v>
      </c>
      <c r="P397" s="15">
        <f t="shared" si="38"/>
        <v>0</v>
      </c>
      <c r="Q397" s="15">
        <f t="shared" si="39"/>
        <v>0</v>
      </c>
      <c r="R397" s="17">
        <v>1545</v>
      </c>
    </row>
    <row r="398" spans="1:18" ht="16.5" x14ac:dyDescent="0.25">
      <c r="A398" s="12">
        <v>1547</v>
      </c>
      <c r="B398" s="13" t="s">
        <v>356</v>
      </c>
      <c r="C398" s="13" t="s">
        <v>47</v>
      </c>
      <c r="D398" s="16"/>
      <c r="E398" s="15">
        <v>6400</v>
      </c>
      <c r="F398" s="15">
        <v>400</v>
      </c>
      <c r="G398" s="15">
        <v>400</v>
      </c>
      <c r="H398" s="15">
        <f t="shared" si="40"/>
        <v>7200</v>
      </c>
      <c r="I398" s="15">
        <f t="shared" si="41"/>
        <v>0</v>
      </c>
      <c r="J398" s="16"/>
      <c r="K398" s="15"/>
      <c r="L398" s="15">
        <f t="shared" si="36"/>
        <v>0</v>
      </c>
      <c r="M398" s="16"/>
      <c r="N398" s="16"/>
      <c r="O398" s="15">
        <f t="shared" si="37"/>
        <v>0</v>
      </c>
      <c r="P398" s="15">
        <f t="shared" si="38"/>
        <v>0</v>
      </c>
      <c r="Q398" s="15">
        <f t="shared" si="39"/>
        <v>0</v>
      </c>
      <c r="R398" s="17">
        <v>1547</v>
      </c>
    </row>
    <row r="399" spans="1:18" ht="16.5" x14ac:dyDescent="0.25">
      <c r="A399" s="12">
        <v>1548</v>
      </c>
      <c r="B399" s="13" t="s">
        <v>357</v>
      </c>
      <c r="C399" s="13" t="s">
        <v>25</v>
      </c>
      <c r="D399" s="16"/>
      <c r="E399" s="15">
        <v>6400</v>
      </c>
      <c r="F399" s="15">
        <v>300</v>
      </c>
      <c r="G399" s="15">
        <v>400</v>
      </c>
      <c r="H399" s="15">
        <f t="shared" si="40"/>
        <v>7100</v>
      </c>
      <c r="I399" s="15">
        <f t="shared" si="41"/>
        <v>0</v>
      </c>
      <c r="J399" s="15"/>
      <c r="K399" s="15"/>
      <c r="L399" s="15">
        <f t="shared" si="36"/>
        <v>0</v>
      </c>
      <c r="M399" s="16"/>
      <c r="N399" s="16"/>
      <c r="O399" s="15">
        <f t="shared" si="37"/>
        <v>0</v>
      </c>
      <c r="P399" s="15">
        <f t="shared" si="38"/>
        <v>0</v>
      </c>
      <c r="Q399" s="15">
        <f t="shared" si="39"/>
        <v>0</v>
      </c>
      <c r="R399" s="17">
        <v>1548</v>
      </c>
    </row>
    <row r="400" spans="1:18" ht="16.5" x14ac:dyDescent="0.25">
      <c r="A400" s="12">
        <v>1549</v>
      </c>
      <c r="B400" s="13" t="s">
        <v>358</v>
      </c>
      <c r="C400" s="13" t="s">
        <v>25</v>
      </c>
      <c r="D400" s="16">
        <v>104</v>
      </c>
      <c r="E400" s="15">
        <v>6400</v>
      </c>
      <c r="F400" s="15">
        <v>400</v>
      </c>
      <c r="G400" s="15">
        <v>400</v>
      </c>
      <c r="H400" s="15">
        <f t="shared" si="40"/>
        <v>7200</v>
      </c>
      <c r="I400" s="15">
        <f t="shared" si="41"/>
        <v>748800</v>
      </c>
      <c r="J400" s="16"/>
      <c r="K400" s="15">
        <v>205000</v>
      </c>
      <c r="L400" s="15">
        <f t="shared" si="36"/>
        <v>2080</v>
      </c>
      <c r="M400" s="16"/>
      <c r="N400" s="16"/>
      <c r="O400" s="15">
        <f t="shared" si="37"/>
        <v>26000</v>
      </c>
      <c r="P400" s="15">
        <f t="shared" si="38"/>
        <v>233080</v>
      </c>
      <c r="Q400" s="15">
        <f t="shared" si="39"/>
        <v>515720</v>
      </c>
      <c r="R400" s="17">
        <v>1549</v>
      </c>
    </row>
    <row r="401" spans="1:18" ht="16.5" x14ac:dyDescent="0.25">
      <c r="A401" s="12">
        <v>1551</v>
      </c>
      <c r="B401" s="13" t="s">
        <v>359</v>
      </c>
      <c r="C401" s="13" t="s">
        <v>360</v>
      </c>
      <c r="D401" s="16"/>
      <c r="E401" s="15">
        <v>6400</v>
      </c>
      <c r="F401" s="15">
        <v>300</v>
      </c>
      <c r="G401" s="15">
        <v>400</v>
      </c>
      <c r="H401" s="15">
        <f t="shared" si="40"/>
        <v>7100</v>
      </c>
      <c r="I401" s="15">
        <f t="shared" si="41"/>
        <v>0</v>
      </c>
      <c r="J401" s="16"/>
      <c r="K401" s="15"/>
      <c r="L401" s="15">
        <f t="shared" si="36"/>
        <v>0</v>
      </c>
      <c r="M401" s="16"/>
      <c r="N401" s="16"/>
      <c r="O401" s="15">
        <f t="shared" si="37"/>
        <v>0</v>
      </c>
      <c r="P401" s="15">
        <f t="shared" si="38"/>
        <v>0</v>
      </c>
      <c r="Q401" s="15">
        <f t="shared" si="39"/>
        <v>0</v>
      </c>
      <c r="R401" s="17">
        <v>1551</v>
      </c>
    </row>
    <row r="402" spans="1:18" ht="16.5" x14ac:dyDescent="0.25">
      <c r="A402" s="12">
        <v>1552</v>
      </c>
      <c r="B402" s="13" t="s">
        <v>361</v>
      </c>
      <c r="C402" s="13" t="s">
        <v>25</v>
      </c>
      <c r="D402" s="16"/>
      <c r="E402" s="15">
        <v>6400</v>
      </c>
      <c r="F402" s="15">
        <v>300</v>
      </c>
      <c r="G402" s="15">
        <v>400</v>
      </c>
      <c r="H402" s="15">
        <f t="shared" si="40"/>
        <v>7100</v>
      </c>
      <c r="I402" s="15">
        <f t="shared" si="41"/>
        <v>0</v>
      </c>
      <c r="J402" s="16"/>
      <c r="K402" s="15"/>
      <c r="L402" s="15">
        <f t="shared" si="36"/>
        <v>0</v>
      </c>
      <c r="M402" s="16"/>
      <c r="N402" s="16"/>
      <c r="O402" s="15">
        <f t="shared" si="37"/>
        <v>0</v>
      </c>
      <c r="P402" s="15">
        <f t="shared" si="38"/>
        <v>0</v>
      </c>
      <c r="Q402" s="15">
        <f t="shared" si="39"/>
        <v>0</v>
      </c>
      <c r="R402" s="17">
        <v>1552</v>
      </c>
    </row>
    <row r="403" spans="1:18" ht="16.5" x14ac:dyDescent="0.25">
      <c r="A403" s="12">
        <v>1570</v>
      </c>
      <c r="B403" s="13" t="s">
        <v>50</v>
      </c>
      <c r="C403" s="13" t="s">
        <v>25</v>
      </c>
      <c r="D403" s="16"/>
      <c r="E403" s="15">
        <v>6400</v>
      </c>
      <c r="F403" s="15">
        <v>300</v>
      </c>
      <c r="G403" s="15">
        <v>400</v>
      </c>
      <c r="H403" s="15">
        <f t="shared" si="40"/>
        <v>7100</v>
      </c>
      <c r="I403" s="15">
        <f t="shared" si="41"/>
        <v>0</v>
      </c>
      <c r="J403" s="16"/>
      <c r="K403" s="15"/>
      <c r="L403" s="15">
        <f t="shared" si="36"/>
        <v>0</v>
      </c>
      <c r="M403" s="16"/>
      <c r="N403" s="16"/>
      <c r="O403" s="15">
        <f t="shared" si="37"/>
        <v>0</v>
      </c>
      <c r="P403" s="15">
        <f t="shared" si="38"/>
        <v>0</v>
      </c>
      <c r="Q403" s="15">
        <f t="shared" si="39"/>
        <v>0</v>
      </c>
      <c r="R403" s="17">
        <v>1570</v>
      </c>
    </row>
    <row r="404" spans="1:18" ht="16.5" x14ac:dyDescent="0.25">
      <c r="A404" s="12">
        <v>1571</v>
      </c>
      <c r="B404" s="13" t="s">
        <v>362</v>
      </c>
      <c r="C404" s="13" t="s">
        <v>25</v>
      </c>
      <c r="D404" s="16"/>
      <c r="E404" s="15">
        <v>6400</v>
      </c>
      <c r="F404" s="15">
        <v>400</v>
      </c>
      <c r="G404" s="15">
        <v>400</v>
      </c>
      <c r="H404" s="15">
        <f t="shared" si="40"/>
        <v>7200</v>
      </c>
      <c r="I404" s="15">
        <f t="shared" si="41"/>
        <v>0</v>
      </c>
      <c r="J404" s="16"/>
      <c r="K404" s="15"/>
      <c r="L404" s="15">
        <f t="shared" si="36"/>
        <v>0</v>
      </c>
      <c r="M404" s="16"/>
      <c r="N404" s="16"/>
      <c r="O404" s="15">
        <f t="shared" si="37"/>
        <v>0</v>
      </c>
      <c r="P404" s="15">
        <f t="shared" si="38"/>
        <v>0</v>
      </c>
      <c r="Q404" s="15">
        <f t="shared" si="39"/>
        <v>0</v>
      </c>
      <c r="R404" s="17">
        <v>1571</v>
      </c>
    </row>
    <row r="405" spans="1:18" ht="16.5" x14ac:dyDescent="0.25">
      <c r="A405" s="12">
        <v>1572</v>
      </c>
      <c r="B405" s="13" t="s">
        <v>363</v>
      </c>
      <c r="C405" s="13" t="s">
        <v>25</v>
      </c>
      <c r="D405" s="16">
        <v>203</v>
      </c>
      <c r="E405" s="15">
        <v>6400</v>
      </c>
      <c r="F405" s="15">
        <v>500</v>
      </c>
      <c r="G405" s="15">
        <v>400</v>
      </c>
      <c r="H405" s="15">
        <f t="shared" si="40"/>
        <v>7300</v>
      </c>
      <c r="I405" s="15">
        <f t="shared" si="41"/>
        <v>1481900</v>
      </c>
      <c r="J405" s="16"/>
      <c r="K405" s="15">
        <v>410000</v>
      </c>
      <c r="L405" s="15">
        <f t="shared" si="36"/>
        <v>4060</v>
      </c>
      <c r="M405" s="16"/>
      <c r="N405" s="16"/>
      <c r="O405" s="15">
        <f t="shared" si="37"/>
        <v>50750</v>
      </c>
      <c r="P405" s="15">
        <f t="shared" si="38"/>
        <v>464810</v>
      </c>
      <c r="Q405" s="15">
        <f t="shared" si="39"/>
        <v>1017090</v>
      </c>
      <c r="R405" s="17">
        <v>1572</v>
      </c>
    </row>
    <row r="406" spans="1:18" ht="16.5" x14ac:dyDescent="0.25">
      <c r="A406" s="12">
        <v>1573</v>
      </c>
      <c r="B406" s="13" t="s">
        <v>229</v>
      </c>
      <c r="C406" s="13" t="s">
        <v>36</v>
      </c>
      <c r="D406" s="16">
        <v>126</v>
      </c>
      <c r="E406" s="15">
        <v>6400</v>
      </c>
      <c r="F406" s="15">
        <v>400</v>
      </c>
      <c r="G406" s="15">
        <v>400</v>
      </c>
      <c r="H406" s="15">
        <f t="shared" si="40"/>
        <v>7200</v>
      </c>
      <c r="I406" s="15">
        <f t="shared" si="41"/>
        <v>907200</v>
      </c>
      <c r="J406" s="16"/>
      <c r="K406" s="15"/>
      <c r="L406" s="15">
        <f t="shared" si="36"/>
        <v>2520</v>
      </c>
      <c r="M406" s="16"/>
      <c r="N406" s="16"/>
      <c r="O406" s="15">
        <f t="shared" si="37"/>
        <v>31500</v>
      </c>
      <c r="P406" s="15">
        <f t="shared" si="38"/>
        <v>34020</v>
      </c>
      <c r="Q406" s="15">
        <f t="shared" si="39"/>
        <v>873180</v>
      </c>
      <c r="R406" s="17">
        <v>1573</v>
      </c>
    </row>
    <row r="407" spans="1:18" ht="16.5" x14ac:dyDescent="0.25">
      <c r="A407" s="12">
        <v>1574</v>
      </c>
      <c r="B407" s="13" t="s">
        <v>364</v>
      </c>
      <c r="C407" s="13" t="s">
        <v>36</v>
      </c>
      <c r="D407" s="16"/>
      <c r="E407" s="15">
        <v>6400</v>
      </c>
      <c r="F407" s="15">
        <v>300</v>
      </c>
      <c r="G407" s="15">
        <v>400</v>
      </c>
      <c r="H407" s="15">
        <f t="shared" si="40"/>
        <v>7100</v>
      </c>
      <c r="I407" s="15">
        <f t="shared" si="41"/>
        <v>0</v>
      </c>
      <c r="J407" s="16"/>
      <c r="K407" s="15"/>
      <c r="L407" s="15">
        <f t="shared" si="36"/>
        <v>0</v>
      </c>
      <c r="M407" s="16"/>
      <c r="N407" s="16"/>
      <c r="O407" s="15">
        <f t="shared" si="37"/>
        <v>0</v>
      </c>
      <c r="P407" s="15">
        <f t="shared" si="38"/>
        <v>0</v>
      </c>
      <c r="Q407" s="15">
        <f t="shared" si="39"/>
        <v>0</v>
      </c>
      <c r="R407" s="17">
        <v>1574</v>
      </c>
    </row>
    <row r="408" spans="1:18" ht="16.5" x14ac:dyDescent="0.25">
      <c r="A408" s="12">
        <v>1575</v>
      </c>
      <c r="B408" s="13" t="s">
        <v>365</v>
      </c>
      <c r="C408" s="13" t="s">
        <v>30</v>
      </c>
      <c r="D408" s="16"/>
      <c r="E408" s="15">
        <v>6400</v>
      </c>
      <c r="F408" s="15">
        <v>300</v>
      </c>
      <c r="G408" s="15">
        <v>400</v>
      </c>
      <c r="H408" s="15">
        <f t="shared" si="40"/>
        <v>7100</v>
      </c>
      <c r="I408" s="15">
        <f t="shared" si="41"/>
        <v>0</v>
      </c>
      <c r="J408" s="16"/>
      <c r="K408" s="15"/>
      <c r="L408" s="15">
        <f t="shared" si="36"/>
        <v>0</v>
      </c>
      <c r="M408" s="16"/>
      <c r="N408" s="16"/>
      <c r="O408" s="15">
        <f t="shared" si="37"/>
        <v>0</v>
      </c>
      <c r="P408" s="15">
        <f t="shared" si="38"/>
        <v>0</v>
      </c>
      <c r="Q408" s="15">
        <f t="shared" si="39"/>
        <v>0</v>
      </c>
      <c r="R408" s="17">
        <v>1575</v>
      </c>
    </row>
    <row r="409" spans="1:18" ht="16.5" x14ac:dyDescent="0.25">
      <c r="A409" s="12">
        <v>1576</v>
      </c>
      <c r="B409" s="13" t="s">
        <v>366</v>
      </c>
      <c r="C409" s="13" t="s">
        <v>25</v>
      </c>
      <c r="D409" s="16">
        <v>126</v>
      </c>
      <c r="E409" s="15">
        <v>6400</v>
      </c>
      <c r="F409" s="15">
        <v>400</v>
      </c>
      <c r="G409" s="15">
        <v>400</v>
      </c>
      <c r="H409" s="15">
        <f t="shared" si="40"/>
        <v>7200</v>
      </c>
      <c r="I409" s="15">
        <f t="shared" si="41"/>
        <v>907200</v>
      </c>
      <c r="J409" s="16"/>
      <c r="K409" s="15">
        <v>205000</v>
      </c>
      <c r="L409" s="15">
        <f t="shared" si="36"/>
        <v>2520</v>
      </c>
      <c r="M409" s="16"/>
      <c r="N409" s="16"/>
      <c r="O409" s="15">
        <f t="shared" si="37"/>
        <v>31500</v>
      </c>
      <c r="P409" s="15">
        <f t="shared" si="38"/>
        <v>239020</v>
      </c>
      <c r="Q409" s="15">
        <f t="shared" si="39"/>
        <v>668180</v>
      </c>
      <c r="R409" s="17">
        <v>1576</v>
      </c>
    </row>
    <row r="410" spans="1:18" ht="16.5" x14ac:dyDescent="0.25">
      <c r="A410" s="12">
        <v>1577</v>
      </c>
      <c r="B410" s="13" t="s">
        <v>101</v>
      </c>
      <c r="C410" s="13" t="s">
        <v>47</v>
      </c>
      <c r="D410" s="16">
        <v>214</v>
      </c>
      <c r="E410" s="15">
        <v>6400</v>
      </c>
      <c r="F410" s="15">
        <v>600</v>
      </c>
      <c r="G410" s="15">
        <v>400</v>
      </c>
      <c r="H410" s="15">
        <f t="shared" si="40"/>
        <v>7400</v>
      </c>
      <c r="I410" s="15">
        <f t="shared" si="41"/>
        <v>1583600</v>
      </c>
      <c r="J410" s="16"/>
      <c r="K410" s="15">
        <v>820000</v>
      </c>
      <c r="L410" s="15">
        <f t="shared" si="36"/>
        <v>4280</v>
      </c>
      <c r="M410" s="16"/>
      <c r="N410" s="16"/>
      <c r="O410" s="15">
        <f t="shared" si="37"/>
        <v>53500</v>
      </c>
      <c r="P410" s="15">
        <f t="shared" si="38"/>
        <v>877780</v>
      </c>
      <c r="Q410" s="15">
        <f t="shared" si="39"/>
        <v>705820</v>
      </c>
      <c r="R410" s="17">
        <v>1577</v>
      </c>
    </row>
    <row r="411" spans="1:18" ht="16.5" x14ac:dyDescent="0.25">
      <c r="A411" s="12">
        <v>1578</v>
      </c>
      <c r="B411" s="13" t="s">
        <v>215</v>
      </c>
      <c r="C411" s="13" t="s">
        <v>17</v>
      </c>
      <c r="D411" s="29"/>
      <c r="E411" s="15">
        <v>6400</v>
      </c>
      <c r="F411" s="15">
        <v>300</v>
      </c>
      <c r="G411" s="15">
        <v>400</v>
      </c>
      <c r="H411" s="15">
        <f t="shared" si="40"/>
        <v>7100</v>
      </c>
      <c r="I411" s="15">
        <f t="shared" si="41"/>
        <v>0</v>
      </c>
      <c r="J411" s="33"/>
      <c r="K411" s="15"/>
      <c r="L411" s="15">
        <f t="shared" si="36"/>
        <v>0</v>
      </c>
      <c r="M411" s="16"/>
      <c r="N411" s="16"/>
      <c r="O411" s="15">
        <f t="shared" si="37"/>
        <v>0</v>
      </c>
      <c r="P411" s="15">
        <f t="shared" si="38"/>
        <v>0</v>
      </c>
      <c r="Q411" s="15">
        <f t="shared" si="39"/>
        <v>0</v>
      </c>
      <c r="R411" s="17">
        <v>1578</v>
      </c>
    </row>
    <row r="412" spans="1:18" ht="16.5" x14ac:dyDescent="0.25">
      <c r="A412" s="12">
        <v>1579</v>
      </c>
      <c r="B412" s="13" t="s">
        <v>367</v>
      </c>
      <c r="C412" s="13" t="s">
        <v>25</v>
      </c>
      <c r="D412" s="16"/>
      <c r="E412" s="15">
        <v>6400</v>
      </c>
      <c r="F412" s="15">
        <v>300</v>
      </c>
      <c r="G412" s="15">
        <v>400</v>
      </c>
      <c r="H412" s="15">
        <f t="shared" si="40"/>
        <v>7100</v>
      </c>
      <c r="I412" s="15">
        <f t="shared" si="41"/>
        <v>0</v>
      </c>
      <c r="J412" s="16"/>
      <c r="K412" s="15"/>
      <c r="L412" s="15">
        <f t="shared" si="36"/>
        <v>0</v>
      </c>
      <c r="M412" s="16"/>
      <c r="N412" s="16"/>
      <c r="O412" s="15">
        <f t="shared" si="37"/>
        <v>0</v>
      </c>
      <c r="P412" s="15">
        <f t="shared" si="38"/>
        <v>0</v>
      </c>
      <c r="Q412" s="15">
        <f t="shared" si="39"/>
        <v>0</v>
      </c>
      <c r="R412" s="17">
        <v>1579</v>
      </c>
    </row>
    <row r="413" spans="1:18" ht="16.5" x14ac:dyDescent="0.25">
      <c r="A413" s="12">
        <v>1580</v>
      </c>
      <c r="B413" s="13" t="s">
        <v>365</v>
      </c>
      <c r="C413" s="13" t="s">
        <v>17</v>
      </c>
      <c r="D413" s="16"/>
      <c r="E413" s="15">
        <v>6400</v>
      </c>
      <c r="F413" s="15">
        <v>300</v>
      </c>
      <c r="G413" s="15">
        <v>400</v>
      </c>
      <c r="H413" s="15">
        <f t="shared" si="40"/>
        <v>7100</v>
      </c>
      <c r="I413" s="15">
        <f t="shared" si="41"/>
        <v>0</v>
      </c>
      <c r="J413" s="16"/>
      <c r="K413" s="15"/>
      <c r="L413" s="15">
        <f t="shared" si="36"/>
        <v>0</v>
      </c>
      <c r="M413" s="16"/>
      <c r="N413" s="16"/>
      <c r="O413" s="15">
        <f t="shared" si="37"/>
        <v>0</v>
      </c>
      <c r="P413" s="15">
        <f t="shared" si="38"/>
        <v>0</v>
      </c>
      <c r="Q413" s="15">
        <f t="shared" si="39"/>
        <v>0</v>
      </c>
      <c r="R413" s="17">
        <v>1580</v>
      </c>
    </row>
    <row r="414" spans="1:18" ht="16.5" x14ac:dyDescent="0.25">
      <c r="A414" s="12">
        <v>1581</v>
      </c>
      <c r="B414" s="13" t="s">
        <v>368</v>
      </c>
      <c r="C414" s="13" t="s">
        <v>30</v>
      </c>
      <c r="D414" s="16"/>
      <c r="E414" s="15">
        <v>6400</v>
      </c>
      <c r="F414" s="15">
        <v>400</v>
      </c>
      <c r="G414" s="15">
        <v>400</v>
      </c>
      <c r="H414" s="15">
        <f t="shared" si="40"/>
        <v>7200</v>
      </c>
      <c r="I414" s="15">
        <f t="shared" si="41"/>
        <v>0</v>
      </c>
      <c r="J414" s="16"/>
      <c r="K414" s="15"/>
      <c r="L414" s="15">
        <f t="shared" si="36"/>
        <v>0</v>
      </c>
      <c r="M414" s="16"/>
      <c r="N414" s="16"/>
      <c r="O414" s="15">
        <f t="shared" si="37"/>
        <v>0</v>
      </c>
      <c r="P414" s="15">
        <f t="shared" si="38"/>
        <v>0</v>
      </c>
      <c r="Q414" s="15">
        <f t="shared" si="39"/>
        <v>0</v>
      </c>
      <c r="R414" s="17">
        <v>1581</v>
      </c>
    </row>
    <row r="415" spans="1:18" ht="16.5" x14ac:dyDescent="0.25">
      <c r="A415" s="12">
        <v>1582</v>
      </c>
      <c r="B415" s="13" t="s">
        <v>232</v>
      </c>
      <c r="C415" s="13" t="s">
        <v>16</v>
      </c>
      <c r="D415" s="16"/>
      <c r="E415" s="15">
        <v>6400</v>
      </c>
      <c r="F415" s="15">
        <v>300</v>
      </c>
      <c r="G415" s="15">
        <v>400</v>
      </c>
      <c r="H415" s="15">
        <f t="shared" si="40"/>
        <v>7100</v>
      </c>
      <c r="I415" s="15">
        <f t="shared" si="41"/>
        <v>0</v>
      </c>
      <c r="J415" s="16"/>
      <c r="K415" s="15"/>
      <c r="L415" s="15">
        <f t="shared" si="36"/>
        <v>0</v>
      </c>
      <c r="M415" s="16"/>
      <c r="N415" s="16"/>
      <c r="O415" s="15">
        <f t="shared" si="37"/>
        <v>0</v>
      </c>
      <c r="P415" s="15">
        <f t="shared" si="38"/>
        <v>0</v>
      </c>
      <c r="Q415" s="15">
        <f t="shared" si="39"/>
        <v>0</v>
      </c>
      <c r="R415" s="17">
        <v>1582</v>
      </c>
    </row>
    <row r="416" spans="1:18" ht="16.5" x14ac:dyDescent="0.25">
      <c r="A416" s="12">
        <v>1584</v>
      </c>
      <c r="B416" s="13" t="s">
        <v>369</v>
      </c>
      <c r="C416" s="13" t="s">
        <v>21</v>
      </c>
      <c r="D416" s="20"/>
      <c r="E416" s="15">
        <v>6400</v>
      </c>
      <c r="F416" s="15">
        <v>400</v>
      </c>
      <c r="G416" s="15">
        <v>400</v>
      </c>
      <c r="H416" s="15">
        <f t="shared" si="40"/>
        <v>7200</v>
      </c>
      <c r="I416" s="15">
        <f t="shared" si="41"/>
        <v>0</v>
      </c>
      <c r="J416" s="16"/>
      <c r="K416" s="15"/>
      <c r="L416" s="15">
        <f t="shared" si="36"/>
        <v>0</v>
      </c>
      <c r="M416" s="16"/>
      <c r="N416" s="16"/>
      <c r="O416" s="15">
        <f t="shared" si="37"/>
        <v>0</v>
      </c>
      <c r="P416" s="15">
        <f t="shared" si="38"/>
        <v>0</v>
      </c>
      <c r="Q416" s="15">
        <f t="shared" si="39"/>
        <v>0</v>
      </c>
      <c r="R416" s="17">
        <v>1584</v>
      </c>
    </row>
    <row r="417" spans="1:18" ht="16.5" x14ac:dyDescent="0.25">
      <c r="A417" s="12">
        <v>1585</v>
      </c>
      <c r="B417" s="13" t="s">
        <v>370</v>
      </c>
      <c r="C417" s="13" t="s">
        <v>25</v>
      </c>
      <c r="D417" s="20"/>
      <c r="E417" s="15">
        <v>6400</v>
      </c>
      <c r="F417" s="15">
        <v>300</v>
      </c>
      <c r="G417" s="15">
        <v>400</v>
      </c>
      <c r="H417" s="15">
        <f t="shared" si="40"/>
        <v>7100</v>
      </c>
      <c r="I417" s="15">
        <f t="shared" si="41"/>
        <v>0</v>
      </c>
      <c r="J417" s="16"/>
      <c r="K417" s="15"/>
      <c r="L417" s="15">
        <f t="shared" si="36"/>
        <v>0</v>
      </c>
      <c r="M417" s="16"/>
      <c r="N417" s="16"/>
      <c r="O417" s="15">
        <f t="shared" si="37"/>
        <v>0</v>
      </c>
      <c r="P417" s="15">
        <f t="shared" si="38"/>
        <v>0</v>
      </c>
      <c r="Q417" s="15">
        <f t="shared" si="39"/>
        <v>0</v>
      </c>
      <c r="R417" s="17">
        <v>1585</v>
      </c>
    </row>
    <row r="418" spans="1:18" ht="16.5" x14ac:dyDescent="0.25">
      <c r="A418" s="12">
        <v>1586</v>
      </c>
      <c r="B418" s="13" t="s">
        <v>371</v>
      </c>
      <c r="C418" s="13" t="s">
        <v>17</v>
      </c>
      <c r="D418" s="20"/>
      <c r="E418" s="15">
        <v>6400</v>
      </c>
      <c r="F418" s="15">
        <v>300</v>
      </c>
      <c r="G418" s="15">
        <v>400</v>
      </c>
      <c r="H418" s="15">
        <f t="shared" si="40"/>
        <v>7100</v>
      </c>
      <c r="I418" s="15">
        <f t="shared" si="41"/>
        <v>0</v>
      </c>
      <c r="J418" s="16"/>
      <c r="K418" s="15"/>
      <c r="L418" s="15">
        <f t="shared" si="36"/>
        <v>0</v>
      </c>
      <c r="M418" s="16"/>
      <c r="N418" s="16"/>
      <c r="O418" s="15">
        <f t="shared" si="37"/>
        <v>0</v>
      </c>
      <c r="P418" s="15">
        <f t="shared" si="38"/>
        <v>0</v>
      </c>
      <c r="Q418" s="15">
        <f t="shared" si="39"/>
        <v>0</v>
      </c>
      <c r="R418" s="17">
        <v>1586</v>
      </c>
    </row>
    <row r="419" spans="1:18" ht="16.5" x14ac:dyDescent="0.25">
      <c r="A419" s="12">
        <v>1587</v>
      </c>
      <c r="B419" s="13" t="s">
        <v>372</v>
      </c>
      <c r="C419" s="13" t="s">
        <v>36</v>
      </c>
      <c r="D419" s="20">
        <v>277</v>
      </c>
      <c r="E419" s="15">
        <v>6400</v>
      </c>
      <c r="F419" s="15">
        <v>500</v>
      </c>
      <c r="G419" s="15">
        <v>400</v>
      </c>
      <c r="H419" s="15">
        <f t="shared" si="40"/>
        <v>7300</v>
      </c>
      <c r="I419" s="15">
        <f t="shared" si="41"/>
        <v>2022100</v>
      </c>
      <c r="J419" s="20"/>
      <c r="K419" s="20"/>
      <c r="L419" s="15">
        <f t="shared" si="36"/>
        <v>5540</v>
      </c>
      <c r="M419" s="16"/>
      <c r="N419" s="16"/>
      <c r="O419" s="15">
        <f t="shared" si="37"/>
        <v>69250</v>
      </c>
      <c r="P419" s="15">
        <f t="shared" si="38"/>
        <v>74790</v>
      </c>
      <c r="Q419" s="15">
        <f t="shared" si="39"/>
        <v>1947310</v>
      </c>
      <c r="R419" s="17">
        <v>1587</v>
      </c>
    </row>
    <row r="420" spans="1:18" ht="16.5" x14ac:dyDescent="0.25">
      <c r="A420" s="12">
        <v>1588</v>
      </c>
      <c r="B420" s="13" t="s">
        <v>373</v>
      </c>
      <c r="C420" s="13" t="s">
        <v>25</v>
      </c>
      <c r="D420" s="20"/>
      <c r="E420" s="15">
        <v>6400</v>
      </c>
      <c r="F420" s="15">
        <v>300</v>
      </c>
      <c r="G420" s="15">
        <v>400</v>
      </c>
      <c r="H420" s="15">
        <f t="shared" si="40"/>
        <v>7100</v>
      </c>
      <c r="I420" s="15">
        <f t="shared" si="41"/>
        <v>0</v>
      </c>
      <c r="J420" s="16"/>
      <c r="K420" s="15"/>
      <c r="L420" s="15">
        <f t="shared" si="36"/>
        <v>0</v>
      </c>
      <c r="M420" s="16"/>
      <c r="N420" s="16"/>
      <c r="O420" s="15">
        <f t="shared" si="37"/>
        <v>0</v>
      </c>
      <c r="P420" s="15">
        <f t="shared" si="38"/>
        <v>0</v>
      </c>
      <c r="Q420" s="15">
        <f t="shared" si="39"/>
        <v>0</v>
      </c>
      <c r="R420" s="17">
        <v>1588</v>
      </c>
    </row>
    <row r="421" spans="1:18" ht="16.5" x14ac:dyDescent="0.25">
      <c r="A421" s="12">
        <v>1589</v>
      </c>
      <c r="B421" s="13" t="s">
        <v>374</v>
      </c>
      <c r="C421" s="13" t="s">
        <v>82</v>
      </c>
      <c r="D421" s="20">
        <v>243</v>
      </c>
      <c r="E421" s="15">
        <v>6400</v>
      </c>
      <c r="F421" s="15">
        <v>500</v>
      </c>
      <c r="G421" s="15">
        <v>400</v>
      </c>
      <c r="H421" s="15">
        <f t="shared" si="40"/>
        <v>7300</v>
      </c>
      <c r="I421" s="15">
        <f t="shared" si="41"/>
        <v>1773900</v>
      </c>
      <c r="J421" s="16"/>
      <c r="K421" s="15"/>
      <c r="L421" s="15">
        <f t="shared" si="36"/>
        <v>4860</v>
      </c>
      <c r="M421" s="16"/>
      <c r="N421" s="16"/>
      <c r="O421" s="15">
        <f t="shared" si="37"/>
        <v>60750</v>
      </c>
      <c r="P421" s="15">
        <f t="shared" si="38"/>
        <v>65610</v>
      </c>
      <c r="Q421" s="15">
        <f t="shared" si="39"/>
        <v>1708290</v>
      </c>
      <c r="R421" s="17">
        <v>1589</v>
      </c>
    </row>
    <row r="422" spans="1:18" ht="16.5" x14ac:dyDescent="0.25">
      <c r="A422" s="12">
        <v>1590</v>
      </c>
      <c r="B422" s="13" t="s">
        <v>375</v>
      </c>
      <c r="C422" s="13" t="s">
        <v>376</v>
      </c>
      <c r="D422" s="20"/>
      <c r="E422" s="15">
        <v>6400</v>
      </c>
      <c r="F422" s="15">
        <v>400</v>
      </c>
      <c r="G422" s="15">
        <v>400</v>
      </c>
      <c r="H422" s="15">
        <f t="shared" si="40"/>
        <v>7200</v>
      </c>
      <c r="I422" s="15">
        <f t="shared" si="41"/>
        <v>0</v>
      </c>
      <c r="J422" s="16"/>
      <c r="K422" s="15"/>
      <c r="L422" s="15">
        <f t="shared" si="36"/>
        <v>0</v>
      </c>
      <c r="M422" s="16"/>
      <c r="N422" s="16"/>
      <c r="O422" s="15">
        <f t="shared" si="37"/>
        <v>0</v>
      </c>
      <c r="P422" s="15">
        <f t="shared" si="38"/>
        <v>0</v>
      </c>
      <c r="Q422" s="15">
        <f t="shared" si="39"/>
        <v>0</v>
      </c>
      <c r="R422" s="17">
        <v>1590</v>
      </c>
    </row>
    <row r="423" spans="1:18" ht="16.5" x14ac:dyDescent="0.25">
      <c r="A423" s="12">
        <v>1591</v>
      </c>
      <c r="B423" s="13" t="s">
        <v>332</v>
      </c>
      <c r="C423" s="13" t="s">
        <v>47</v>
      </c>
      <c r="D423" s="20"/>
      <c r="E423" s="15">
        <v>6400</v>
      </c>
      <c r="F423" s="15">
        <v>300</v>
      </c>
      <c r="G423" s="15">
        <v>400</v>
      </c>
      <c r="H423" s="15">
        <f t="shared" si="40"/>
        <v>7100</v>
      </c>
      <c r="I423" s="15">
        <f t="shared" si="41"/>
        <v>0</v>
      </c>
      <c r="J423" s="16"/>
      <c r="K423" s="15"/>
      <c r="L423" s="15">
        <f t="shared" si="36"/>
        <v>0</v>
      </c>
      <c r="M423" s="16"/>
      <c r="N423" s="16"/>
      <c r="O423" s="15">
        <f t="shared" si="37"/>
        <v>0</v>
      </c>
      <c r="P423" s="15">
        <f t="shared" si="38"/>
        <v>0</v>
      </c>
      <c r="Q423" s="15">
        <f t="shared" si="39"/>
        <v>0</v>
      </c>
      <c r="R423" s="17">
        <v>1591</v>
      </c>
    </row>
    <row r="424" spans="1:18" ht="16.5" x14ac:dyDescent="0.25">
      <c r="A424" s="12">
        <v>1592</v>
      </c>
      <c r="B424" s="13" t="s">
        <v>18</v>
      </c>
      <c r="C424" s="13" t="s">
        <v>376</v>
      </c>
      <c r="D424" s="20"/>
      <c r="E424" s="15">
        <v>6400</v>
      </c>
      <c r="F424" s="15">
        <v>400</v>
      </c>
      <c r="G424" s="15">
        <v>400</v>
      </c>
      <c r="H424" s="15">
        <f t="shared" si="40"/>
        <v>7200</v>
      </c>
      <c r="I424" s="15">
        <f t="shared" si="41"/>
        <v>0</v>
      </c>
      <c r="J424" s="16"/>
      <c r="K424" s="15"/>
      <c r="L424" s="15">
        <f t="shared" si="36"/>
        <v>0</v>
      </c>
      <c r="M424" s="16"/>
      <c r="N424" s="16"/>
      <c r="O424" s="15">
        <f t="shared" si="37"/>
        <v>0</v>
      </c>
      <c r="P424" s="15">
        <f t="shared" si="38"/>
        <v>0</v>
      </c>
      <c r="Q424" s="15">
        <f t="shared" si="39"/>
        <v>0</v>
      </c>
      <c r="R424" s="17">
        <v>1592</v>
      </c>
    </row>
    <row r="425" spans="1:18" ht="16.5" x14ac:dyDescent="0.25">
      <c r="A425" s="12">
        <v>1594</v>
      </c>
      <c r="B425" s="13" t="s">
        <v>377</v>
      </c>
      <c r="C425" s="13" t="s">
        <v>36</v>
      </c>
      <c r="D425" s="20">
        <v>330</v>
      </c>
      <c r="E425" s="15">
        <v>6400</v>
      </c>
      <c r="F425" s="15">
        <v>500</v>
      </c>
      <c r="G425" s="15">
        <v>400</v>
      </c>
      <c r="H425" s="15">
        <f t="shared" si="40"/>
        <v>7300</v>
      </c>
      <c r="I425" s="15">
        <f t="shared" si="41"/>
        <v>2409000</v>
      </c>
      <c r="J425" s="16"/>
      <c r="K425" s="15"/>
      <c r="L425" s="15">
        <f t="shared" si="36"/>
        <v>6600</v>
      </c>
      <c r="M425" s="16"/>
      <c r="N425" s="16"/>
      <c r="O425" s="15">
        <f t="shared" si="37"/>
        <v>82500</v>
      </c>
      <c r="P425" s="15">
        <f t="shared" si="38"/>
        <v>89100</v>
      </c>
      <c r="Q425" s="15">
        <f t="shared" si="39"/>
        <v>2319900</v>
      </c>
      <c r="R425" s="17">
        <v>1594</v>
      </c>
    </row>
    <row r="426" spans="1:18" ht="16.5" x14ac:dyDescent="0.25">
      <c r="A426" s="12">
        <v>1595</v>
      </c>
      <c r="B426" s="13" t="s">
        <v>378</v>
      </c>
      <c r="C426" s="13" t="s">
        <v>43</v>
      </c>
      <c r="D426" s="20"/>
      <c r="E426" s="15">
        <v>6400</v>
      </c>
      <c r="F426" s="15">
        <v>300</v>
      </c>
      <c r="G426" s="15">
        <v>400</v>
      </c>
      <c r="H426" s="15">
        <f t="shared" si="40"/>
        <v>7100</v>
      </c>
      <c r="I426" s="15">
        <f t="shared" si="41"/>
        <v>0</v>
      </c>
      <c r="J426" s="16"/>
      <c r="K426" s="15"/>
      <c r="L426" s="15">
        <f t="shared" si="36"/>
        <v>0</v>
      </c>
      <c r="M426" s="16"/>
      <c r="N426" s="16"/>
      <c r="O426" s="15">
        <f t="shared" si="37"/>
        <v>0</v>
      </c>
      <c r="P426" s="15">
        <f t="shared" si="38"/>
        <v>0</v>
      </c>
      <c r="Q426" s="15">
        <f t="shared" si="39"/>
        <v>0</v>
      </c>
      <c r="R426" s="17">
        <v>1595</v>
      </c>
    </row>
    <row r="427" spans="1:18" ht="16.5" x14ac:dyDescent="0.25">
      <c r="A427" s="12">
        <v>1596</v>
      </c>
      <c r="B427" s="13" t="s">
        <v>379</v>
      </c>
      <c r="C427" s="13" t="s">
        <v>36</v>
      </c>
      <c r="D427" s="20">
        <v>339</v>
      </c>
      <c r="E427" s="15">
        <v>6400</v>
      </c>
      <c r="F427" s="15">
        <v>400</v>
      </c>
      <c r="G427" s="15">
        <v>400</v>
      </c>
      <c r="H427" s="15">
        <f t="shared" si="40"/>
        <v>7200</v>
      </c>
      <c r="I427" s="15">
        <f t="shared" si="41"/>
        <v>2440800</v>
      </c>
      <c r="J427" s="16"/>
      <c r="K427" s="15"/>
      <c r="L427" s="15">
        <f t="shared" si="36"/>
        <v>6780</v>
      </c>
      <c r="M427" s="16"/>
      <c r="N427" s="16"/>
      <c r="O427" s="15">
        <f t="shared" si="37"/>
        <v>84750</v>
      </c>
      <c r="P427" s="15">
        <f t="shared" si="38"/>
        <v>91530</v>
      </c>
      <c r="Q427" s="15">
        <f t="shared" si="39"/>
        <v>2349270</v>
      </c>
      <c r="R427" s="17">
        <v>1596</v>
      </c>
    </row>
    <row r="428" spans="1:18" ht="16.5" x14ac:dyDescent="0.25">
      <c r="A428" s="12">
        <v>1597</v>
      </c>
      <c r="B428" s="13" t="s">
        <v>380</v>
      </c>
      <c r="C428" s="13" t="s">
        <v>16</v>
      </c>
      <c r="D428" s="20"/>
      <c r="E428" s="15">
        <v>6400</v>
      </c>
      <c r="F428" s="15">
        <v>300</v>
      </c>
      <c r="G428" s="15">
        <v>400</v>
      </c>
      <c r="H428" s="15">
        <f t="shared" si="40"/>
        <v>7100</v>
      </c>
      <c r="I428" s="15">
        <f t="shared" si="41"/>
        <v>0</v>
      </c>
      <c r="J428" s="16"/>
      <c r="K428" s="15"/>
      <c r="L428" s="15">
        <f t="shared" si="36"/>
        <v>0</v>
      </c>
      <c r="M428" s="16"/>
      <c r="N428" s="16"/>
      <c r="O428" s="15">
        <f t="shared" si="37"/>
        <v>0</v>
      </c>
      <c r="P428" s="15">
        <f t="shared" si="38"/>
        <v>0</v>
      </c>
      <c r="Q428" s="15">
        <f t="shared" si="39"/>
        <v>0</v>
      </c>
      <c r="R428" s="17">
        <v>1597</v>
      </c>
    </row>
    <row r="429" spans="1:18" ht="16.5" x14ac:dyDescent="0.25">
      <c r="A429" s="12">
        <v>1598</v>
      </c>
      <c r="B429" s="13" t="s">
        <v>381</v>
      </c>
      <c r="C429" s="13" t="s">
        <v>30</v>
      </c>
      <c r="D429" s="20"/>
      <c r="E429" s="15">
        <v>6400</v>
      </c>
      <c r="F429" s="15">
        <v>400</v>
      </c>
      <c r="G429" s="15">
        <v>400</v>
      </c>
      <c r="H429" s="15">
        <f t="shared" si="40"/>
        <v>7200</v>
      </c>
      <c r="I429" s="15">
        <f t="shared" si="41"/>
        <v>0</v>
      </c>
      <c r="J429" s="16"/>
      <c r="K429" s="15"/>
      <c r="L429" s="15">
        <f t="shared" si="36"/>
        <v>0</v>
      </c>
      <c r="M429" s="16"/>
      <c r="N429" s="16"/>
      <c r="O429" s="15">
        <f t="shared" si="37"/>
        <v>0</v>
      </c>
      <c r="P429" s="15">
        <f t="shared" si="38"/>
        <v>0</v>
      </c>
      <c r="Q429" s="15">
        <f t="shared" si="39"/>
        <v>0</v>
      </c>
      <c r="R429" s="17">
        <v>1598</v>
      </c>
    </row>
    <row r="430" spans="1:18" ht="16.5" x14ac:dyDescent="0.25">
      <c r="A430" s="12">
        <v>1599</v>
      </c>
      <c r="B430" s="13" t="s">
        <v>426</v>
      </c>
      <c r="C430" s="13" t="s">
        <v>36</v>
      </c>
      <c r="D430" s="20"/>
      <c r="E430" s="15">
        <v>6400</v>
      </c>
      <c r="F430" s="15">
        <v>300</v>
      </c>
      <c r="G430" s="15">
        <v>400</v>
      </c>
      <c r="H430" s="15">
        <f t="shared" si="40"/>
        <v>7100</v>
      </c>
      <c r="I430" s="15">
        <f t="shared" si="41"/>
        <v>0</v>
      </c>
      <c r="J430" s="16"/>
      <c r="K430" s="15"/>
      <c r="L430" s="15">
        <f t="shared" si="36"/>
        <v>0</v>
      </c>
      <c r="M430" s="16"/>
      <c r="N430" s="16"/>
      <c r="O430" s="15">
        <f t="shared" si="37"/>
        <v>0</v>
      </c>
      <c r="P430" s="15">
        <f t="shared" si="38"/>
        <v>0</v>
      </c>
      <c r="Q430" s="15">
        <f t="shared" si="39"/>
        <v>0</v>
      </c>
      <c r="R430" s="17">
        <v>1599</v>
      </c>
    </row>
    <row r="431" spans="1:18" ht="16.5" x14ac:dyDescent="0.25">
      <c r="A431" s="12">
        <v>1600</v>
      </c>
      <c r="B431" s="13"/>
      <c r="C431" s="13" t="s">
        <v>47</v>
      </c>
      <c r="D431" s="20"/>
      <c r="E431" s="15">
        <v>6400</v>
      </c>
      <c r="F431" s="15">
        <v>300</v>
      </c>
      <c r="G431" s="15">
        <v>400</v>
      </c>
      <c r="H431" s="15">
        <f t="shared" si="40"/>
        <v>7100</v>
      </c>
      <c r="I431" s="15">
        <f t="shared" si="41"/>
        <v>0</v>
      </c>
      <c r="J431" s="16"/>
      <c r="K431" s="15"/>
      <c r="L431" s="15">
        <f t="shared" si="36"/>
        <v>0</v>
      </c>
      <c r="M431" s="16"/>
      <c r="N431" s="16"/>
      <c r="O431" s="15">
        <f t="shared" si="37"/>
        <v>0</v>
      </c>
      <c r="P431" s="15">
        <f t="shared" si="38"/>
        <v>0</v>
      </c>
      <c r="Q431" s="15">
        <f t="shared" si="39"/>
        <v>0</v>
      </c>
      <c r="R431" s="17">
        <v>1600</v>
      </c>
    </row>
    <row r="432" spans="1:18" ht="16.5" x14ac:dyDescent="0.25">
      <c r="A432" s="12">
        <v>1601</v>
      </c>
      <c r="B432" s="13" t="s">
        <v>424</v>
      </c>
      <c r="C432" s="13" t="s">
        <v>54</v>
      </c>
      <c r="D432" s="20"/>
      <c r="E432" s="15">
        <v>6400</v>
      </c>
      <c r="F432" s="15">
        <v>400</v>
      </c>
      <c r="G432" s="15">
        <v>400</v>
      </c>
      <c r="H432" s="15">
        <f t="shared" si="40"/>
        <v>7200</v>
      </c>
      <c r="I432" s="15">
        <f t="shared" si="41"/>
        <v>0</v>
      </c>
      <c r="J432" s="16"/>
      <c r="K432" s="15"/>
      <c r="L432" s="15">
        <f t="shared" si="36"/>
        <v>0</v>
      </c>
      <c r="M432" s="16"/>
      <c r="N432" s="16"/>
      <c r="O432" s="15">
        <f t="shared" si="37"/>
        <v>0</v>
      </c>
      <c r="P432" s="15">
        <f t="shared" si="38"/>
        <v>0</v>
      </c>
      <c r="Q432" s="15">
        <f t="shared" si="39"/>
        <v>0</v>
      </c>
      <c r="R432" s="17">
        <v>1601</v>
      </c>
    </row>
    <row r="433" spans="1:18" ht="16.5" x14ac:dyDescent="0.25">
      <c r="A433" s="12">
        <v>1602</v>
      </c>
      <c r="B433" s="13"/>
      <c r="C433" s="13"/>
      <c r="D433" s="20"/>
      <c r="E433" s="15">
        <v>6400</v>
      </c>
      <c r="F433" s="15">
        <v>300</v>
      </c>
      <c r="G433" s="15">
        <v>400</v>
      </c>
      <c r="H433" s="15">
        <f t="shared" si="40"/>
        <v>7100</v>
      </c>
      <c r="I433" s="15">
        <f t="shared" si="41"/>
        <v>0</v>
      </c>
      <c r="J433" s="16"/>
      <c r="K433" s="15"/>
      <c r="L433" s="15">
        <f t="shared" si="36"/>
        <v>0</v>
      </c>
      <c r="M433" s="16"/>
      <c r="N433" s="16"/>
      <c r="O433" s="15">
        <f t="shared" si="37"/>
        <v>0</v>
      </c>
      <c r="P433" s="15">
        <f t="shared" si="38"/>
        <v>0</v>
      </c>
      <c r="Q433" s="15">
        <f t="shared" si="39"/>
        <v>0</v>
      </c>
      <c r="R433" s="17">
        <v>1602</v>
      </c>
    </row>
    <row r="434" spans="1:18" ht="16.5" x14ac:dyDescent="0.25">
      <c r="A434" s="12">
        <v>1603</v>
      </c>
      <c r="B434" s="13" t="s">
        <v>382</v>
      </c>
      <c r="C434" s="13" t="s">
        <v>43</v>
      </c>
      <c r="D434" s="20">
        <v>99</v>
      </c>
      <c r="E434" s="15">
        <v>6400</v>
      </c>
      <c r="F434" s="15">
        <v>400</v>
      </c>
      <c r="G434" s="15">
        <v>400</v>
      </c>
      <c r="H434" s="15">
        <f t="shared" si="40"/>
        <v>7200</v>
      </c>
      <c r="I434" s="15">
        <f t="shared" si="41"/>
        <v>712800</v>
      </c>
      <c r="J434" s="16"/>
      <c r="K434" s="15"/>
      <c r="L434" s="15">
        <f t="shared" si="36"/>
        <v>1980</v>
      </c>
      <c r="M434" s="16"/>
      <c r="N434" s="16"/>
      <c r="O434" s="15">
        <f t="shared" si="37"/>
        <v>24750</v>
      </c>
      <c r="P434" s="15">
        <f t="shared" si="38"/>
        <v>26730</v>
      </c>
      <c r="Q434" s="15">
        <f t="shared" si="39"/>
        <v>686070</v>
      </c>
      <c r="R434" s="17">
        <v>1603</v>
      </c>
    </row>
    <row r="435" spans="1:18" ht="16.5" x14ac:dyDescent="0.25">
      <c r="A435" s="12">
        <v>1604</v>
      </c>
      <c r="B435" s="13" t="s">
        <v>383</v>
      </c>
      <c r="C435" s="13" t="s">
        <v>186</v>
      </c>
      <c r="D435" s="20"/>
      <c r="E435" s="15">
        <v>6400</v>
      </c>
      <c r="F435" s="15">
        <v>300</v>
      </c>
      <c r="G435" s="15">
        <v>400</v>
      </c>
      <c r="H435" s="15">
        <f t="shared" si="40"/>
        <v>7100</v>
      </c>
      <c r="I435" s="15">
        <f t="shared" si="41"/>
        <v>0</v>
      </c>
      <c r="J435" s="16"/>
      <c r="K435" s="15"/>
      <c r="L435" s="15">
        <f t="shared" si="36"/>
        <v>0</v>
      </c>
      <c r="M435" s="16"/>
      <c r="N435" s="16"/>
      <c r="O435" s="15">
        <f t="shared" si="37"/>
        <v>0</v>
      </c>
      <c r="P435" s="15">
        <f t="shared" si="38"/>
        <v>0</v>
      </c>
      <c r="Q435" s="15">
        <f t="shared" si="39"/>
        <v>0</v>
      </c>
      <c r="R435" s="17">
        <v>1604</v>
      </c>
    </row>
    <row r="436" spans="1:18" ht="16.5" x14ac:dyDescent="0.25">
      <c r="A436" s="12">
        <v>1605</v>
      </c>
      <c r="B436" s="34" t="s">
        <v>384</v>
      </c>
      <c r="C436" s="13" t="s">
        <v>186</v>
      </c>
      <c r="D436" s="20"/>
      <c r="E436" s="15">
        <v>6400</v>
      </c>
      <c r="F436" s="15">
        <v>300</v>
      </c>
      <c r="G436" s="15">
        <v>400</v>
      </c>
      <c r="H436" s="15">
        <f t="shared" si="40"/>
        <v>7100</v>
      </c>
      <c r="I436" s="15">
        <f t="shared" si="41"/>
        <v>0</v>
      </c>
      <c r="J436" s="16"/>
      <c r="K436" s="15"/>
      <c r="L436" s="15">
        <f t="shared" si="36"/>
        <v>0</v>
      </c>
      <c r="M436" s="16"/>
      <c r="N436" s="16"/>
      <c r="O436" s="15">
        <f t="shared" si="37"/>
        <v>0</v>
      </c>
      <c r="P436" s="15">
        <f t="shared" si="38"/>
        <v>0</v>
      </c>
      <c r="Q436" s="15">
        <f t="shared" si="39"/>
        <v>0</v>
      </c>
      <c r="R436" s="17">
        <v>1605</v>
      </c>
    </row>
    <row r="437" spans="1:18" ht="16.5" x14ac:dyDescent="0.25">
      <c r="A437" s="12">
        <v>1606</v>
      </c>
      <c r="B437" s="13" t="s">
        <v>385</v>
      </c>
      <c r="C437" s="13" t="s">
        <v>43</v>
      </c>
      <c r="D437" s="20"/>
      <c r="E437" s="15">
        <v>6400</v>
      </c>
      <c r="F437" s="15">
        <v>500</v>
      </c>
      <c r="G437" s="15">
        <v>400</v>
      </c>
      <c r="H437" s="15">
        <f t="shared" si="40"/>
        <v>7300</v>
      </c>
      <c r="I437" s="15">
        <f t="shared" si="41"/>
        <v>0</v>
      </c>
      <c r="J437" s="16"/>
      <c r="K437" s="15"/>
      <c r="L437" s="15">
        <f t="shared" si="36"/>
        <v>0</v>
      </c>
      <c r="M437" s="16"/>
      <c r="N437" s="16"/>
      <c r="O437" s="15">
        <f t="shared" si="37"/>
        <v>0</v>
      </c>
      <c r="P437" s="15">
        <f t="shared" si="38"/>
        <v>0</v>
      </c>
      <c r="Q437" s="15">
        <f t="shared" si="39"/>
        <v>0</v>
      </c>
      <c r="R437" s="17">
        <v>1606</v>
      </c>
    </row>
    <row r="438" spans="1:18" ht="16.5" x14ac:dyDescent="0.25">
      <c r="A438" s="12">
        <v>1607</v>
      </c>
      <c r="B438" s="13" t="s">
        <v>410</v>
      </c>
      <c r="C438" s="13" t="s">
        <v>25</v>
      </c>
      <c r="D438" s="20"/>
      <c r="E438" s="15">
        <v>6400</v>
      </c>
      <c r="F438" s="15">
        <v>300</v>
      </c>
      <c r="G438" s="15">
        <v>400</v>
      </c>
      <c r="H438" s="15">
        <f t="shared" si="40"/>
        <v>7100</v>
      </c>
      <c r="I438" s="15">
        <f t="shared" si="41"/>
        <v>0</v>
      </c>
      <c r="J438" s="16"/>
      <c r="K438" s="15"/>
      <c r="L438" s="15">
        <f t="shared" si="36"/>
        <v>0</v>
      </c>
      <c r="M438" s="16"/>
      <c r="N438" s="16"/>
      <c r="O438" s="15">
        <f t="shared" si="37"/>
        <v>0</v>
      </c>
      <c r="P438" s="15">
        <f t="shared" si="38"/>
        <v>0</v>
      </c>
      <c r="Q438" s="15">
        <f t="shared" si="39"/>
        <v>0</v>
      </c>
      <c r="R438" s="17">
        <v>1607</v>
      </c>
    </row>
    <row r="439" spans="1:18" ht="16.5" x14ac:dyDescent="0.25">
      <c r="A439" s="12">
        <v>1608</v>
      </c>
      <c r="B439" s="13"/>
      <c r="C439" s="13"/>
      <c r="D439" s="20"/>
      <c r="E439" s="15">
        <v>6400</v>
      </c>
      <c r="F439" s="15">
        <v>500</v>
      </c>
      <c r="G439" s="15">
        <v>400</v>
      </c>
      <c r="H439" s="15">
        <f t="shared" si="40"/>
        <v>7300</v>
      </c>
      <c r="I439" s="15">
        <f t="shared" si="41"/>
        <v>0</v>
      </c>
      <c r="J439" s="16"/>
      <c r="K439" s="15"/>
      <c r="L439" s="15">
        <f t="shared" si="36"/>
        <v>0</v>
      </c>
      <c r="M439" s="16"/>
      <c r="N439" s="16"/>
      <c r="O439" s="15">
        <f t="shared" si="37"/>
        <v>0</v>
      </c>
      <c r="P439" s="15">
        <f t="shared" si="38"/>
        <v>0</v>
      </c>
      <c r="Q439" s="15">
        <f t="shared" si="39"/>
        <v>0</v>
      </c>
      <c r="R439" s="17">
        <v>1608</v>
      </c>
    </row>
    <row r="440" spans="1:18" ht="16.5" x14ac:dyDescent="0.25">
      <c r="A440" s="12">
        <v>1609</v>
      </c>
      <c r="B440" s="13" t="s">
        <v>386</v>
      </c>
      <c r="C440" s="13" t="s">
        <v>43</v>
      </c>
      <c r="D440" s="20"/>
      <c r="E440" s="15">
        <v>6400</v>
      </c>
      <c r="F440" s="15">
        <v>400</v>
      </c>
      <c r="G440" s="15">
        <v>400</v>
      </c>
      <c r="H440" s="15">
        <f t="shared" si="40"/>
        <v>7200</v>
      </c>
      <c r="I440" s="15">
        <f t="shared" si="41"/>
        <v>0</v>
      </c>
      <c r="J440" s="16"/>
      <c r="K440" s="15"/>
      <c r="L440" s="15">
        <f t="shared" si="36"/>
        <v>0</v>
      </c>
      <c r="M440" s="16"/>
      <c r="N440" s="16"/>
      <c r="O440" s="15">
        <f t="shared" si="37"/>
        <v>0</v>
      </c>
      <c r="P440" s="15">
        <f t="shared" si="38"/>
        <v>0</v>
      </c>
      <c r="Q440" s="15">
        <f t="shared" si="39"/>
        <v>0</v>
      </c>
      <c r="R440" s="17">
        <v>1609</v>
      </c>
    </row>
    <row r="441" spans="1:18" ht="16.5" x14ac:dyDescent="0.25">
      <c r="A441" s="12">
        <v>1610</v>
      </c>
      <c r="B441" s="13" t="s">
        <v>379</v>
      </c>
      <c r="C441" s="13" t="s">
        <v>25</v>
      </c>
      <c r="D441" s="20"/>
      <c r="E441" s="15">
        <v>6400</v>
      </c>
      <c r="F441" s="15">
        <v>400</v>
      </c>
      <c r="G441" s="15">
        <v>400</v>
      </c>
      <c r="H441" s="15">
        <f t="shared" si="40"/>
        <v>7200</v>
      </c>
      <c r="I441" s="15">
        <f t="shared" si="41"/>
        <v>0</v>
      </c>
      <c r="J441" s="16"/>
      <c r="K441" s="15"/>
      <c r="L441" s="15">
        <f t="shared" si="36"/>
        <v>0</v>
      </c>
      <c r="M441" s="16"/>
      <c r="N441" s="16"/>
      <c r="O441" s="15">
        <f t="shared" si="37"/>
        <v>0</v>
      </c>
      <c r="P441" s="15">
        <f t="shared" si="38"/>
        <v>0</v>
      </c>
      <c r="Q441" s="15">
        <f t="shared" si="39"/>
        <v>0</v>
      </c>
      <c r="R441" s="17">
        <v>1610</v>
      </c>
    </row>
    <row r="442" spans="1:18" ht="16.5" x14ac:dyDescent="0.25">
      <c r="A442" s="12">
        <v>1611</v>
      </c>
      <c r="B442" s="13" t="s">
        <v>252</v>
      </c>
      <c r="C442" s="13"/>
      <c r="D442" s="20"/>
      <c r="E442" s="15">
        <v>6400</v>
      </c>
      <c r="F442" s="15">
        <v>400</v>
      </c>
      <c r="G442" s="15">
        <v>400</v>
      </c>
      <c r="H442" s="15">
        <f t="shared" si="40"/>
        <v>7200</v>
      </c>
      <c r="I442" s="15">
        <f t="shared" si="41"/>
        <v>0</v>
      </c>
      <c r="J442" s="16"/>
      <c r="K442" s="15"/>
      <c r="L442" s="15">
        <f t="shared" si="36"/>
        <v>0</v>
      </c>
      <c r="M442" s="16"/>
      <c r="N442" s="16"/>
      <c r="O442" s="15">
        <f t="shared" si="37"/>
        <v>0</v>
      </c>
      <c r="P442" s="15">
        <f t="shared" si="38"/>
        <v>0</v>
      </c>
      <c r="Q442" s="15">
        <f t="shared" si="39"/>
        <v>0</v>
      </c>
      <c r="R442" s="17">
        <v>1611</v>
      </c>
    </row>
    <row r="443" spans="1:18" ht="16.5" x14ac:dyDescent="0.25">
      <c r="A443" s="12">
        <v>1612</v>
      </c>
      <c r="B443" s="13" t="s">
        <v>387</v>
      </c>
      <c r="C443" s="13" t="s">
        <v>19</v>
      </c>
      <c r="D443" s="20"/>
      <c r="E443" s="15">
        <v>6400</v>
      </c>
      <c r="F443" s="15">
        <v>300</v>
      </c>
      <c r="G443" s="15">
        <v>400</v>
      </c>
      <c r="H443" s="15">
        <f t="shared" si="40"/>
        <v>7100</v>
      </c>
      <c r="I443" s="15">
        <f t="shared" si="41"/>
        <v>0</v>
      </c>
      <c r="J443" s="16"/>
      <c r="K443" s="15"/>
      <c r="L443" s="15">
        <f t="shared" si="36"/>
        <v>0</v>
      </c>
      <c r="M443" s="16"/>
      <c r="N443" s="16"/>
      <c r="O443" s="15">
        <f t="shared" si="37"/>
        <v>0</v>
      </c>
      <c r="P443" s="15">
        <f t="shared" si="38"/>
        <v>0</v>
      </c>
      <c r="Q443" s="15">
        <f t="shared" si="39"/>
        <v>0</v>
      </c>
      <c r="R443" s="17">
        <v>1612</v>
      </c>
    </row>
    <row r="444" spans="1:18" ht="16.5" x14ac:dyDescent="0.25">
      <c r="A444" s="12">
        <v>1613</v>
      </c>
      <c r="B444" s="13" t="s">
        <v>388</v>
      </c>
      <c r="C444" s="13" t="s">
        <v>43</v>
      </c>
      <c r="D444" s="20">
        <v>138</v>
      </c>
      <c r="E444" s="15">
        <v>6400</v>
      </c>
      <c r="F444" s="15">
        <v>600</v>
      </c>
      <c r="G444" s="15">
        <v>400</v>
      </c>
      <c r="H444" s="15">
        <f t="shared" si="40"/>
        <v>7400</v>
      </c>
      <c r="I444" s="15">
        <f t="shared" si="41"/>
        <v>1021200</v>
      </c>
      <c r="J444" s="16"/>
      <c r="K444" s="15">
        <v>640000</v>
      </c>
      <c r="L444" s="15">
        <f t="shared" si="36"/>
        <v>2760</v>
      </c>
      <c r="M444" s="16"/>
      <c r="N444" s="16"/>
      <c r="O444" s="15">
        <f t="shared" si="37"/>
        <v>34500</v>
      </c>
      <c r="P444" s="15">
        <f t="shared" si="38"/>
        <v>677260</v>
      </c>
      <c r="Q444" s="15">
        <f t="shared" si="39"/>
        <v>343940</v>
      </c>
      <c r="R444" s="17">
        <v>1613</v>
      </c>
    </row>
    <row r="445" spans="1:18" ht="16.5" x14ac:dyDescent="0.25">
      <c r="A445" s="12">
        <v>1614</v>
      </c>
      <c r="B445" s="13" t="s">
        <v>389</v>
      </c>
      <c r="C445" s="13" t="s">
        <v>184</v>
      </c>
      <c r="D445" s="20"/>
      <c r="E445" s="15">
        <v>6400</v>
      </c>
      <c r="F445" s="15">
        <v>400</v>
      </c>
      <c r="G445" s="15">
        <v>400</v>
      </c>
      <c r="H445" s="15">
        <f t="shared" si="40"/>
        <v>7200</v>
      </c>
      <c r="I445" s="15">
        <f t="shared" si="41"/>
        <v>0</v>
      </c>
      <c r="J445" s="14"/>
      <c r="K445" s="15"/>
      <c r="L445" s="15">
        <f t="shared" si="36"/>
        <v>0</v>
      </c>
      <c r="M445" s="16"/>
      <c r="N445" s="16"/>
      <c r="O445" s="15">
        <f t="shared" si="37"/>
        <v>0</v>
      </c>
      <c r="P445" s="15">
        <f t="shared" si="38"/>
        <v>0</v>
      </c>
      <c r="Q445" s="15">
        <f t="shared" si="39"/>
        <v>0</v>
      </c>
      <c r="R445" s="17">
        <v>1614</v>
      </c>
    </row>
    <row r="446" spans="1:18" ht="16.5" x14ac:dyDescent="0.25">
      <c r="A446" s="12">
        <v>1615</v>
      </c>
      <c r="B446" s="13" t="s">
        <v>411</v>
      </c>
      <c r="C446" s="13" t="s">
        <v>30</v>
      </c>
      <c r="D446" s="20"/>
      <c r="E446" s="15">
        <v>6400</v>
      </c>
      <c r="F446" s="15">
        <v>400</v>
      </c>
      <c r="G446" s="15">
        <v>400</v>
      </c>
      <c r="H446" s="15">
        <f t="shared" si="40"/>
        <v>7200</v>
      </c>
      <c r="I446" s="15">
        <f t="shared" si="41"/>
        <v>0</v>
      </c>
      <c r="J446" s="16"/>
      <c r="K446" s="15"/>
      <c r="L446" s="15">
        <f t="shared" si="36"/>
        <v>0</v>
      </c>
      <c r="M446" s="16"/>
      <c r="N446" s="16"/>
      <c r="O446" s="15">
        <f t="shared" si="37"/>
        <v>0</v>
      </c>
      <c r="P446" s="15">
        <f t="shared" si="38"/>
        <v>0</v>
      </c>
      <c r="Q446" s="15">
        <f t="shared" si="39"/>
        <v>0</v>
      </c>
      <c r="R446" s="17">
        <v>1615</v>
      </c>
    </row>
    <row r="447" spans="1:18" ht="16.5" x14ac:dyDescent="0.25">
      <c r="A447" s="12">
        <v>1616</v>
      </c>
      <c r="B447" s="13" t="s">
        <v>177</v>
      </c>
      <c r="C447" s="13" t="s">
        <v>30</v>
      </c>
      <c r="D447" s="20">
        <v>69</v>
      </c>
      <c r="E447" s="15">
        <v>6400</v>
      </c>
      <c r="F447" s="15">
        <v>600</v>
      </c>
      <c r="G447" s="15">
        <v>400</v>
      </c>
      <c r="H447" s="15">
        <f t="shared" si="40"/>
        <v>7400</v>
      </c>
      <c r="I447" s="15">
        <f t="shared" si="41"/>
        <v>510600</v>
      </c>
      <c r="J447" s="16"/>
      <c r="K447" s="15">
        <v>205000</v>
      </c>
      <c r="L447" s="15">
        <f t="shared" si="36"/>
        <v>1380</v>
      </c>
      <c r="M447" s="16"/>
      <c r="N447" s="16"/>
      <c r="O447" s="15">
        <f t="shared" si="37"/>
        <v>17250</v>
      </c>
      <c r="P447" s="15">
        <f t="shared" si="38"/>
        <v>223630</v>
      </c>
      <c r="Q447" s="15">
        <f t="shared" si="39"/>
        <v>286970</v>
      </c>
      <c r="R447" s="17">
        <v>1616</v>
      </c>
    </row>
    <row r="448" spans="1:18" ht="16.5" x14ac:dyDescent="0.25">
      <c r="A448" s="12">
        <v>1617</v>
      </c>
      <c r="B448" s="13"/>
      <c r="C448" s="13" t="s">
        <v>36</v>
      </c>
      <c r="D448" s="20"/>
      <c r="E448" s="15">
        <v>6400</v>
      </c>
      <c r="F448" s="15">
        <v>300</v>
      </c>
      <c r="G448" s="15">
        <v>400</v>
      </c>
      <c r="H448" s="15">
        <f t="shared" si="40"/>
        <v>7100</v>
      </c>
      <c r="I448" s="15">
        <f t="shared" si="41"/>
        <v>0</v>
      </c>
      <c r="J448" s="16"/>
      <c r="K448" s="15"/>
      <c r="L448" s="15">
        <f t="shared" si="36"/>
        <v>0</v>
      </c>
      <c r="M448" s="16"/>
      <c r="N448" s="16"/>
      <c r="O448" s="15">
        <f t="shared" si="37"/>
        <v>0</v>
      </c>
      <c r="P448" s="15">
        <f t="shared" si="38"/>
        <v>0</v>
      </c>
      <c r="Q448" s="15">
        <f t="shared" si="39"/>
        <v>0</v>
      </c>
      <c r="R448" s="17">
        <v>1617</v>
      </c>
    </row>
    <row r="449" spans="1:18" ht="16.5" x14ac:dyDescent="0.25">
      <c r="A449" s="12">
        <v>1618</v>
      </c>
      <c r="B449" s="13" t="s">
        <v>365</v>
      </c>
      <c r="C449" s="13" t="s">
        <v>30</v>
      </c>
      <c r="D449" s="20">
        <v>99</v>
      </c>
      <c r="E449" s="15">
        <v>6400</v>
      </c>
      <c r="F449" s="15">
        <v>600</v>
      </c>
      <c r="G449" s="15">
        <v>400</v>
      </c>
      <c r="H449" s="15">
        <f t="shared" si="40"/>
        <v>7400</v>
      </c>
      <c r="I449" s="15">
        <f t="shared" si="41"/>
        <v>732600</v>
      </c>
      <c r="J449" s="16"/>
      <c r="K449" s="15">
        <v>205000</v>
      </c>
      <c r="L449" s="15">
        <f t="shared" si="36"/>
        <v>1980</v>
      </c>
      <c r="M449" s="16"/>
      <c r="N449" s="16"/>
      <c r="O449" s="15">
        <f t="shared" si="37"/>
        <v>24750</v>
      </c>
      <c r="P449" s="15">
        <f t="shared" si="38"/>
        <v>231730</v>
      </c>
      <c r="Q449" s="15">
        <f t="shared" si="39"/>
        <v>500870</v>
      </c>
      <c r="R449" s="17">
        <v>1618</v>
      </c>
    </row>
    <row r="450" spans="1:18" ht="16.5" x14ac:dyDescent="0.25">
      <c r="A450" s="12">
        <v>1619</v>
      </c>
      <c r="B450" s="13" t="s">
        <v>409</v>
      </c>
      <c r="C450" s="13" t="s">
        <v>30</v>
      </c>
      <c r="D450" s="20"/>
      <c r="E450" s="15">
        <v>6400</v>
      </c>
      <c r="F450" s="15">
        <v>300</v>
      </c>
      <c r="G450" s="15">
        <v>400</v>
      </c>
      <c r="H450" s="15">
        <f t="shared" si="40"/>
        <v>7100</v>
      </c>
      <c r="I450" s="15">
        <f t="shared" si="41"/>
        <v>0</v>
      </c>
      <c r="J450" s="16"/>
      <c r="K450" s="15"/>
      <c r="L450" s="15">
        <f t="shared" si="36"/>
        <v>0</v>
      </c>
      <c r="M450" s="16"/>
      <c r="N450" s="16"/>
      <c r="O450" s="15">
        <f t="shared" si="37"/>
        <v>0</v>
      </c>
      <c r="P450" s="15">
        <f t="shared" si="38"/>
        <v>0</v>
      </c>
      <c r="Q450" s="15">
        <f t="shared" si="39"/>
        <v>0</v>
      </c>
      <c r="R450" s="17">
        <v>1619</v>
      </c>
    </row>
    <row r="451" spans="1:18" ht="16.5" x14ac:dyDescent="0.25">
      <c r="A451" s="12">
        <v>1620</v>
      </c>
      <c r="B451" s="13" t="s">
        <v>452</v>
      </c>
      <c r="C451" s="13" t="s">
        <v>25</v>
      </c>
      <c r="D451" s="20">
        <v>73</v>
      </c>
      <c r="E451" s="15">
        <v>6400</v>
      </c>
      <c r="F451" s="15">
        <v>400</v>
      </c>
      <c r="G451" s="15">
        <v>400</v>
      </c>
      <c r="H451" s="15">
        <f t="shared" si="40"/>
        <v>7200</v>
      </c>
      <c r="I451" s="15">
        <f t="shared" si="41"/>
        <v>525600</v>
      </c>
      <c r="J451" s="16"/>
      <c r="K451" s="15">
        <v>205000</v>
      </c>
      <c r="L451" s="15">
        <f t="shared" si="36"/>
        <v>1460</v>
      </c>
      <c r="M451" s="16"/>
      <c r="N451" s="16"/>
      <c r="O451" s="15">
        <f t="shared" si="37"/>
        <v>18250</v>
      </c>
      <c r="P451" s="15">
        <f t="shared" si="38"/>
        <v>224710</v>
      </c>
      <c r="Q451" s="15">
        <f t="shared" si="39"/>
        <v>300890</v>
      </c>
      <c r="R451" s="17">
        <v>1620</v>
      </c>
    </row>
    <row r="452" spans="1:18" ht="16.5" x14ac:dyDescent="0.25">
      <c r="A452" s="12">
        <v>1621</v>
      </c>
      <c r="B452" s="13" t="s">
        <v>408</v>
      </c>
      <c r="C452" s="13" t="s">
        <v>82</v>
      </c>
      <c r="D452" s="20">
        <v>54</v>
      </c>
      <c r="E452" s="15">
        <v>6400</v>
      </c>
      <c r="F452" s="15">
        <v>400</v>
      </c>
      <c r="G452" s="15">
        <v>400</v>
      </c>
      <c r="H452" s="15">
        <f t="shared" si="40"/>
        <v>7200</v>
      </c>
      <c r="I452" s="15">
        <f t="shared" si="41"/>
        <v>388800</v>
      </c>
      <c r="J452" s="16"/>
      <c r="K452" s="15"/>
      <c r="L452" s="15">
        <f t="shared" si="36"/>
        <v>1080</v>
      </c>
      <c r="M452" s="16"/>
      <c r="N452" s="16"/>
      <c r="O452" s="15">
        <f t="shared" si="37"/>
        <v>13500</v>
      </c>
      <c r="P452" s="15">
        <f t="shared" si="38"/>
        <v>14580</v>
      </c>
      <c r="Q452" s="15">
        <f t="shared" si="39"/>
        <v>374220</v>
      </c>
      <c r="R452" s="17">
        <v>1621</v>
      </c>
    </row>
    <row r="453" spans="1:18" ht="16.5" x14ac:dyDescent="0.25">
      <c r="A453" s="12">
        <v>1622</v>
      </c>
      <c r="B453" s="13" t="s">
        <v>412</v>
      </c>
      <c r="C453" s="13" t="s">
        <v>54</v>
      </c>
      <c r="D453" s="20"/>
      <c r="E453" s="15">
        <v>6400</v>
      </c>
      <c r="F453" s="15">
        <v>300</v>
      </c>
      <c r="G453" s="15">
        <v>400</v>
      </c>
      <c r="H453" s="15">
        <f t="shared" si="40"/>
        <v>7100</v>
      </c>
      <c r="I453" s="15">
        <f t="shared" si="41"/>
        <v>0</v>
      </c>
      <c r="J453" s="16"/>
      <c r="K453" s="15"/>
      <c r="L453" s="15">
        <f t="shared" ref="L453:L474" si="42">D453*20</f>
        <v>0</v>
      </c>
      <c r="M453" s="16"/>
      <c r="N453" s="16"/>
      <c r="O453" s="15">
        <f t="shared" ref="O453:O473" si="43">250*D453</f>
        <v>0</v>
      </c>
      <c r="P453" s="15">
        <f t="shared" ref="P453:P473" si="44">SUM(J453:O453)</f>
        <v>0</v>
      </c>
      <c r="Q453" s="15">
        <f t="shared" ref="Q453:Q473" si="45">I453-P453</f>
        <v>0</v>
      </c>
      <c r="R453" s="17">
        <v>1622</v>
      </c>
    </row>
    <row r="454" spans="1:18" ht="16.5" x14ac:dyDescent="0.25">
      <c r="A454" s="12">
        <v>1623</v>
      </c>
      <c r="B454" s="13" t="s">
        <v>414</v>
      </c>
      <c r="C454" s="13" t="s">
        <v>82</v>
      </c>
      <c r="D454" s="20">
        <v>72</v>
      </c>
      <c r="E454" s="15">
        <v>6400</v>
      </c>
      <c r="F454" s="15">
        <v>400</v>
      </c>
      <c r="G454" s="15">
        <v>400</v>
      </c>
      <c r="H454" s="15">
        <f t="shared" ref="H454:H473" si="46">SUM(E454:G454)</f>
        <v>7200</v>
      </c>
      <c r="I454" s="15">
        <f t="shared" ref="I454:I475" si="47">H454*D454</f>
        <v>518400</v>
      </c>
      <c r="J454" s="16"/>
      <c r="K454" s="15"/>
      <c r="L454" s="15">
        <f t="shared" si="42"/>
        <v>1440</v>
      </c>
      <c r="M454" s="16"/>
      <c r="N454" s="16"/>
      <c r="O454" s="15">
        <f t="shared" si="43"/>
        <v>18000</v>
      </c>
      <c r="P454" s="15">
        <f t="shared" si="44"/>
        <v>19440</v>
      </c>
      <c r="Q454" s="15">
        <f t="shared" si="45"/>
        <v>498960</v>
      </c>
      <c r="R454" s="17">
        <v>1623</v>
      </c>
    </row>
    <row r="455" spans="1:18" ht="16.5" x14ac:dyDescent="0.25">
      <c r="A455" s="12">
        <v>1625</v>
      </c>
      <c r="B455" s="13" t="s">
        <v>415</v>
      </c>
      <c r="C455" s="13" t="s">
        <v>54</v>
      </c>
      <c r="D455" s="20"/>
      <c r="E455" s="15">
        <v>6400</v>
      </c>
      <c r="F455" s="15">
        <v>400</v>
      </c>
      <c r="G455" s="15">
        <v>400</v>
      </c>
      <c r="H455" s="15">
        <f t="shared" si="46"/>
        <v>7200</v>
      </c>
      <c r="I455" s="15">
        <f t="shared" si="47"/>
        <v>0</v>
      </c>
      <c r="J455" s="16"/>
      <c r="K455" s="15"/>
      <c r="L455" s="15">
        <f t="shared" si="42"/>
        <v>0</v>
      </c>
      <c r="M455" s="16"/>
      <c r="N455" s="16"/>
      <c r="O455" s="15">
        <f t="shared" si="43"/>
        <v>0</v>
      </c>
      <c r="P455" s="15">
        <f t="shared" si="44"/>
        <v>0</v>
      </c>
      <c r="Q455" s="15">
        <f t="shared" si="45"/>
        <v>0</v>
      </c>
      <c r="R455" s="17">
        <v>1625</v>
      </c>
    </row>
    <row r="456" spans="1:18" ht="16.5" x14ac:dyDescent="0.25">
      <c r="A456" s="12">
        <v>1626</v>
      </c>
      <c r="B456" s="13" t="s">
        <v>222</v>
      </c>
      <c r="C456" s="13" t="s">
        <v>188</v>
      </c>
      <c r="D456" s="20"/>
      <c r="E456" s="15">
        <v>6400</v>
      </c>
      <c r="F456" s="15">
        <v>300</v>
      </c>
      <c r="G456" s="15">
        <v>400</v>
      </c>
      <c r="H456" s="15">
        <f t="shared" si="46"/>
        <v>7100</v>
      </c>
      <c r="I456" s="15">
        <f t="shared" si="47"/>
        <v>0</v>
      </c>
      <c r="J456" s="16"/>
      <c r="K456" s="15"/>
      <c r="L456" s="15">
        <f t="shared" si="42"/>
        <v>0</v>
      </c>
      <c r="M456" s="16"/>
      <c r="N456" s="16"/>
      <c r="O456" s="15">
        <f t="shared" si="43"/>
        <v>0</v>
      </c>
      <c r="P456" s="15">
        <f t="shared" si="44"/>
        <v>0</v>
      </c>
      <c r="Q456" s="15">
        <f t="shared" si="45"/>
        <v>0</v>
      </c>
      <c r="R456" s="17">
        <v>1626</v>
      </c>
    </row>
    <row r="457" spans="1:18" ht="16.5" x14ac:dyDescent="0.25">
      <c r="A457" s="12">
        <v>1627</v>
      </c>
      <c r="B457" s="13" t="s">
        <v>264</v>
      </c>
      <c r="C457" s="13" t="s">
        <v>30</v>
      </c>
      <c r="D457" s="20">
        <v>69</v>
      </c>
      <c r="E457" s="15">
        <v>6400</v>
      </c>
      <c r="F457" s="15">
        <v>500</v>
      </c>
      <c r="G457" s="15">
        <v>400</v>
      </c>
      <c r="H457" s="15">
        <f t="shared" si="46"/>
        <v>7300</v>
      </c>
      <c r="I457" s="15">
        <f t="shared" si="47"/>
        <v>503700</v>
      </c>
      <c r="J457" s="16"/>
      <c r="K457" s="15">
        <v>205000</v>
      </c>
      <c r="L457" s="15">
        <f t="shared" si="42"/>
        <v>1380</v>
      </c>
      <c r="M457" s="16"/>
      <c r="N457" s="16"/>
      <c r="O457" s="15">
        <f t="shared" si="43"/>
        <v>17250</v>
      </c>
      <c r="P457" s="15">
        <f t="shared" si="44"/>
        <v>223630</v>
      </c>
      <c r="Q457" s="15">
        <f t="shared" si="45"/>
        <v>280070</v>
      </c>
      <c r="R457" s="17">
        <v>1627</v>
      </c>
    </row>
    <row r="458" spans="1:18" ht="16.5" x14ac:dyDescent="0.25">
      <c r="A458" s="12">
        <v>1628</v>
      </c>
      <c r="B458" s="13" t="s">
        <v>417</v>
      </c>
      <c r="C458" s="13" t="s">
        <v>19</v>
      </c>
      <c r="D458" s="20"/>
      <c r="E458" s="15">
        <v>6400</v>
      </c>
      <c r="F458" s="15">
        <v>300</v>
      </c>
      <c r="G458" s="15">
        <v>400</v>
      </c>
      <c r="H458" s="15">
        <f t="shared" si="46"/>
        <v>7100</v>
      </c>
      <c r="I458" s="15">
        <f t="shared" si="47"/>
        <v>0</v>
      </c>
      <c r="J458" s="16"/>
      <c r="K458" s="15"/>
      <c r="L458" s="15">
        <f t="shared" si="42"/>
        <v>0</v>
      </c>
      <c r="M458" s="16"/>
      <c r="N458" s="16"/>
      <c r="O458" s="15">
        <f t="shared" si="43"/>
        <v>0</v>
      </c>
      <c r="P458" s="15">
        <f t="shared" si="44"/>
        <v>0</v>
      </c>
      <c r="Q458" s="15">
        <f t="shared" si="45"/>
        <v>0</v>
      </c>
      <c r="R458" s="17">
        <v>1628</v>
      </c>
    </row>
    <row r="459" spans="1:18" ht="16.5" x14ac:dyDescent="0.25">
      <c r="A459" s="12">
        <v>1629</v>
      </c>
      <c r="B459" s="13" t="s">
        <v>458</v>
      </c>
      <c r="C459" s="13" t="s">
        <v>30</v>
      </c>
      <c r="D459" s="20">
        <v>142</v>
      </c>
      <c r="E459" s="15">
        <v>6400</v>
      </c>
      <c r="F459" s="15">
        <v>600</v>
      </c>
      <c r="G459" s="15">
        <v>400</v>
      </c>
      <c r="H459" s="15">
        <f t="shared" si="46"/>
        <v>7400</v>
      </c>
      <c r="I459" s="15">
        <f t="shared" si="47"/>
        <v>1050800</v>
      </c>
      <c r="J459" s="16"/>
      <c r="K459" s="15">
        <v>410000</v>
      </c>
      <c r="L459" s="15">
        <f t="shared" si="42"/>
        <v>2840</v>
      </c>
      <c r="M459" s="16"/>
      <c r="N459" s="16"/>
      <c r="O459" s="15">
        <f t="shared" si="43"/>
        <v>35500</v>
      </c>
      <c r="P459" s="15">
        <f t="shared" si="44"/>
        <v>448340</v>
      </c>
      <c r="Q459" s="15">
        <f t="shared" si="45"/>
        <v>602460</v>
      </c>
      <c r="R459" s="17"/>
    </row>
    <row r="460" spans="1:18" ht="16.5" x14ac:dyDescent="0.25">
      <c r="A460" s="12">
        <v>1635</v>
      </c>
      <c r="B460" s="13" t="s">
        <v>446</v>
      </c>
      <c r="C460" s="13" t="s">
        <v>43</v>
      </c>
      <c r="D460" s="20">
        <v>269</v>
      </c>
      <c r="E460" s="15">
        <v>6400</v>
      </c>
      <c r="F460" s="15">
        <v>600</v>
      </c>
      <c r="G460" s="15">
        <v>400</v>
      </c>
      <c r="H460" s="15">
        <f t="shared" si="46"/>
        <v>7400</v>
      </c>
      <c r="I460" s="15">
        <f t="shared" si="47"/>
        <v>1990600</v>
      </c>
      <c r="J460" s="16"/>
      <c r="K460" s="15"/>
      <c r="L460" s="15">
        <f t="shared" si="42"/>
        <v>5380</v>
      </c>
      <c r="M460" s="16"/>
      <c r="N460" s="16"/>
      <c r="O460" s="15">
        <f t="shared" si="43"/>
        <v>67250</v>
      </c>
      <c r="P460" s="15">
        <f t="shared" si="44"/>
        <v>72630</v>
      </c>
      <c r="Q460" s="15">
        <f t="shared" si="45"/>
        <v>1917970</v>
      </c>
      <c r="R460" s="17">
        <v>1629</v>
      </c>
    </row>
    <row r="461" spans="1:18" ht="16.5" x14ac:dyDescent="0.25">
      <c r="A461" s="12">
        <v>1652</v>
      </c>
      <c r="B461" s="13" t="s">
        <v>435</v>
      </c>
      <c r="C461" s="13" t="s">
        <v>25</v>
      </c>
      <c r="D461" s="20"/>
      <c r="E461" s="15">
        <v>6400</v>
      </c>
      <c r="F461" s="15">
        <v>400</v>
      </c>
      <c r="G461" s="15">
        <v>400</v>
      </c>
      <c r="H461" s="15">
        <f t="shared" si="46"/>
        <v>7200</v>
      </c>
      <c r="I461" s="15">
        <f t="shared" si="47"/>
        <v>0</v>
      </c>
      <c r="J461" s="16"/>
      <c r="K461" s="15"/>
      <c r="L461" s="15">
        <f t="shared" si="42"/>
        <v>0</v>
      </c>
      <c r="M461" s="16"/>
      <c r="N461" s="16"/>
      <c r="O461" s="15">
        <f t="shared" si="43"/>
        <v>0</v>
      </c>
      <c r="P461" s="15">
        <f t="shared" si="44"/>
        <v>0</v>
      </c>
      <c r="Q461" s="15">
        <f t="shared" si="45"/>
        <v>0</v>
      </c>
      <c r="R461" s="17"/>
    </row>
    <row r="462" spans="1:18" ht="16.5" x14ac:dyDescent="0.25">
      <c r="A462" s="12">
        <v>1653</v>
      </c>
      <c r="B462" s="13" t="s">
        <v>436</v>
      </c>
      <c r="C462" s="13" t="s">
        <v>25</v>
      </c>
      <c r="D462" s="20">
        <v>232</v>
      </c>
      <c r="E462" s="15">
        <v>6400</v>
      </c>
      <c r="F462" s="15">
        <v>400</v>
      </c>
      <c r="G462" s="15">
        <v>400</v>
      </c>
      <c r="H462" s="15">
        <f t="shared" si="46"/>
        <v>7200</v>
      </c>
      <c r="I462" s="15">
        <f t="shared" si="47"/>
        <v>1670400</v>
      </c>
      <c r="J462" s="16"/>
      <c r="K462" s="15">
        <v>615000</v>
      </c>
      <c r="L462" s="15">
        <f t="shared" si="42"/>
        <v>4640</v>
      </c>
      <c r="M462" s="16"/>
      <c r="N462" s="16"/>
      <c r="O462" s="15">
        <f t="shared" si="43"/>
        <v>58000</v>
      </c>
      <c r="P462" s="15">
        <f t="shared" si="44"/>
        <v>677640</v>
      </c>
      <c r="Q462" s="15">
        <f t="shared" si="45"/>
        <v>992760</v>
      </c>
      <c r="R462" s="17"/>
    </row>
    <row r="463" spans="1:18" ht="16.5" x14ac:dyDescent="0.25">
      <c r="A463" s="12">
        <v>1654</v>
      </c>
      <c r="B463" s="13" t="s">
        <v>437</v>
      </c>
      <c r="C463" s="13" t="s">
        <v>43</v>
      </c>
      <c r="D463" s="20"/>
      <c r="E463" s="15">
        <v>6400</v>
      </c>
      <c r="F463" s="15">
        <v>400</v>
      </c>
      <c r="G463" s="15">
        <v>400</v>
      </c>
      <c r="H463" s="15">
        <f t="shared" si="46"/>
        <v>7200</v>
      </c>
      <c r="I463" s="15">
        <f t="shared" si="47"/>
        <v>0</v>
      </c>
      <c r="J463" s="16"/>
      <c r="K463" s="15"/>
      <c r="L463" s="15">
        <f t="shared" si="42"/>
        <v>0</v>
      </c>
      <c r="M463" s="16"/>
      <c r="N463" s="16"/>
      <c r="O463" s="15">
        <f t="shared" si="43"/>
        <v>0</v>
      </c>
      <c r="P463" s="15">
        <f t="shared" si="44"/>
        <v>0</v>
      </c>
      <c r="Q463" s="15">
        <f t="shared" si="45"/>
        <v>0</v>
      </c>
      <c r="R463" s="17"/>
    </row>
    <row r="464" spans="1:18" ht="16.5" x14ac:dyDescent="0.25">
      <c r="A464" s="12">
        <v>1655</v>
      </c>
      <c r="B464" s="67" t="s">
        <v>195</v>
      </c>
      <c r="C464" s="13" t="s">
        <v>30</v>
      </c>
      <c r="D464" s="20">
        <v>105</v>
      </c>
      <c r="E464" s="15">
        <v>6400</v>
      </c>
      <c r="F464" s="15">
        <v>400</v>
      </c>
      <c r="G464" s="15">
        <v>400</v>
      </c>
      <c r="H464" s="15">
        <f t="shared" si="46"/>
        <v>7200</v>
      </c>
      <c r="I464" s="15">
        <f t="shared" si="47"/>
        <v>756000</v>
      </c>
      <c r="J464" s="16"/>
      <c r="K464" s="15">
        <v>205000</v>
      </c>
      <c r="L464" s="15">
        <f t="shared" si="42"/>
        <v>2100</v>
      </c>
      <c r="M464" s="16"/>
      <c r="N464" s="16"/>
      <c r="O464" s="15">
        <f t="shared" si="43"/>
        <v>26250</v>
      </c>
      <c r="P464" s="15">
        <f t="shared" si="44"/>
        <v>233350</v>
      </c>
      <c r="Q464" s="15">
        <f t="shared" si="45"/>
        <v>522650</v>
      </c>
      <c r="R464" s="17"/>
    </row>
    <row r="465" spans="1:18" ht="16.5" x14ac:dyDescent="0.25">
      <c r="A465" s="12">
        <v>1656</v>
      </c>
      <c r="B465" s="13" t="s">
        <v>438</v>
      </c>
      <c r="C465" s="13" t="s">
        <v>82</v>
      </c>
      <c r="D465" s="20">
        <v>116</v>
      </c>
      <c r="E465" s="15">
        <v>6400</v>
      </c>
      <c r="F465" s="15">
        <v>500</v>
      </c>
      <c r="G465" s="15">
        <v>400</v>
      </c>
      <c r="H465" s="15">
        <f t="shared" si="46"/>
        <v>7300</v>
      </c>
      <c r="I465" s="15">
        <f t="shared" si="47"/>
        <v>846800</v>
      </c>
      <c r="J465" s="16"/>
      <c r="K465" s="15">
        <v>205000</v>
      </c>
      <c r="L465" s="15">
        <f t="shared" si="42"/>
        <v>2320</v>
      </c>
      <c r="M465" s="16"/>
      <c r="N465" s="16"/>
      <c r="O465" s="15">
        <f t="shared" si="43"/>
        <v>29000</v>
      </c>
      <c r="P465" s="15">
        <f t="shared" si="44"/>
        <v>236320</v>
      </c>
      <c r="Q465" s="15">
        <f t="shared" si="45"/>
        <v>610480</v>
      </c>
      <c r="R465" s="17"/>
    </row>
    <row r="466" spans="1:18" ht="16.5" x14ac:dyDescent="0.25">
      <c r="A466" s="12">
        <v>1657</v>
      </c>
      <c r="B466" s="13" t="s">
        <v>439</v>
      </c>
      <c r="C466" s="13" t="s">
        <v>82</v>
      </c>
      <c r="D466" s="20">
        <v>93</v>
      </c>
      <c r="E466" s="15">
        <v>6400</v>
      </c>
      <c r="F466" s="15">
        <v>500</v>
      </c>
      <c r="G466" s="15">
        <v>400</v>
      </c>
      <c r="H466" s="15">
        <f t="shared" si="46"/>
        <v>7300</v>
      </c>
      <c r="I466" s="15">
        <f t="shared" si="47"/>
        <v>678900</v>
      </c>
      <c r="J466" s="16"/>
      <c r="K466" s="15"/>
      <c r="L466" s="15">
        <f t="shared" si="42"/>
        <v>1860</v>
      </c>
      <c r="M466" s="16"/>
      <c r="N466" s="16"/>
      <c r="O466" s="15">
        <f t="shared" si="43"/>
        <v>23250</v>
      </c>
      <c r="P466" s="15">
        <f t="shared" si="44"/>
        <v>25110</v>
      </c>
      <c r="Q466" s="15">
        <f t="shared" si="45"/>
        <v>653790</v>
      </c>
      <c r="R466" s="17"/>
    </row>
    <row r="467" spans="1:18" ht="16.5" x14ac:dyDescent="0.25">
      <c r="A467" s="12">
        <v>1658</v>
      </c>
      <c r="B467" s="13" t="s">
        <v>440</v>
      </c>
      <c r="C467" s="13" t="s">
        <v>30</v>
      </c>
      <c r="D467" s="20"/>
      <c r="E467" s="15">
        <v>6400</v>
      </c>
      <c r="F467" s="15">
        <v>400</v>
      </c>
      <c r="G467" s="15">
        <v>400</v>
      </c>
      <c r="H467" s="15">
        <f t="shared" si="46"/>
        <v>7200</v>
      </c>
      <c r="I467" s="15">
        <f t="shared" si="47"/>
        <v>0</v>
      </c>
      <c r="J467" s="16"/>
      <c r="K467" s="15"/>
      <c r="L467" s="15">
        <f t="shared" si="42"/>
        <v>0</v>
      </c>
      <c r="M467" s="16"/>
      <c r="N467" s="16"/>
      <c r="O467" s="15">
        <f t="shared" si="43"/>
        <v>0</v>
      </c>
      <c r="P467" s="15">
        <f t="shared" si="44"/>
        <v>0</v>
      </c>
      <c r="Q467" s="15">
        <f t="shared" si="45"/>
        <v>0</v>
      </c>
      <c r="R467" s="17"/>
    </row>
    <row r="468" spans="1:18" ht="16.5" x14ac:dyDescent="0.25">
      <c r="A468" s="12">
        <v>1660</v>
      </c>
      <c r="B468" s="13" t="s">
        <v>455</v>
      </c>
      <c r="C468" s="13" t="s">
        <v>30</v>
      </c>
      <c r="D468" s="20"/>
      <c r="E468" s="15">
        <v>6400</v>
      </c>
      <c r="F468" s="15">
        <v>400</v>
      </c>
      <c r="G468" s="15">
        <v>400</v>
      </c>
      <c r="H468" s="15">
        <f t="shared" si="46"/>
        <v>7200</v>
      </c>
      <c r="I468" s="15">
        <f t="shared" si="47"/>
        <v>0</v>
      </c>
      <c r="J468" s="16"/>
      <c r="K468" s="15"/>
      <c r="L468" s="15">
        <f t="shared" si="42"/>
        <v>0</v>
      </c>
      <c r="M468" s="16"/>
      <c r="N468" s="16"/>
      <c r="O468" s="15">
        <f t="shared" si="43"/>
        <v>0</v>
      </c>
      <c r="P468" s="15">
        <f t="shared" si="44"/>
        <v>0</v>
      </c>
      <c r="Q468" s="15">
        <f t="shared" si="45"/>
        <v>0</v>
      </c>
      <c r="R468" s="17"/>
    </row>
    <row r="469" spans="1:18" ht="16.5" x14ac:dyDescent="0.25">
      <c r="A469" s="12">
        <v>1661</v>
      </c>
      <c r="B469" s="13" t="s">
        <v>442</v>
      </c>
      <c r="C469" s="13" t="s">
        <v>36</v>
      </c>
      <c r="D469" s="20"/>
      <c r="E469" s="15">
        <v>6400</v>
      </c>
      <c r="F469" s="15">
        <v>400</v>
      </c>
      <c r="G469" s="15">
        <v>400</v>
      </c>
      <c r="H469" s="15">
        <f t="shared" si="46"/>
        <v>7200</v>
      </c>
      <c r="I469" s="15">
        <f t="shared" si="47"/>
        <v>0</v>
      </c>
      <c r="J469" s="16"/>
      <c r="K469" s="15"/>
      <c r="L469" s="15">
        <f t="shared" si="42"/>
        <v>0</v>
      </c>
      <c r="M469" s="16"/>
      <c r="N469" s="16"/>
      <c r="O469" s="15">
        <f t="shared" si="43"/>
        <v>0</v>
      </c>
      <c r="P469" s="15">
        <f t="shared" si="44"/>
        <v>0</v>
      </c>
      <c r="Q469" s="15">
        <f t="shared" si="45"/>
        <v>0</v>
      </c>
      <c r="R469" s="17"/>
    </row>
    <row r="470" spans="1:18" ht="16.5" x14ac:dyDescent="0.25">
      <c r="A470" s="12">
        <v>1662</v>
      </c>
      <c r="B470" s="13" t="s">
        <v>350</v>
      </c>
      <c r="C470" s="13" t="s">
        <v>36</v>
      </c>
      <c r="D470" s="20"/>
      <c r="E470" s="15">
        <v>6400</v>
      </c>
      <c r="F470" s="15">
        <v>500</v>
      </c>
      <c r="G470" s="15">
        <v>400</v>
      </c>
      <c r="H470" s="15">
        <f t="shared" si="46"/>
        <v>7300</v>
      </c>
      <c r="I470" s="15">
        <f t="shared" si="47"/>
        <v>0</v>
      </c>
      <c r="J470" s="16"/>
      <c r="K470" s="15"/>
      <c r="L470" s="15">
        <f t="shared" si="42"/>
        <v>0</v>
      </c>
      <c r="M470" s="16"/>
      <c r="N470" s="16"/>
      <c r="O470" s="15">
        <f t="shared" si="43"/>
        <v>0</v>
      </c>
      <c r="P470" s="15">
        <f t="shared" si="44"/>
        <v>0</v>
      </c>
      <c r="Q470" s="15">
        <f t="shared" si="45"/>
        <v>0</v>
      </c>
      <c r="R470" s="17"/>
    </row>
    <row r="471" spans="1:18" ht="16.5" x14ac:dyDescent="0.25">
      <c r="A471" s="12">
        <v>1663</v>
      </c>
      <c r="B471" s="13" t="s">
        <v>447</v>
      </c>
      <c r="C471" s="13" t="s">
        <v>82</v>
      </c>
      <c r="D471" s="20">
        <v>96</v>
      </c>
      <c r="E471" s="15">
        <v>6400</v>
      </c>
      <c r="F471" s="15">
        <v>400</v>
      </c>
      <c r="G471" s="15">
        <v>400</v>
      </c>
      <c r="H471" s="15">
        <f t="shared" si="46"/>
        <v>7200</v>
      </c>
      <c r="I471" s="15">
        <f t="shared" si="47"/>
        <v>691200</v>
      </c>
      <c r="J471" s="16"/>
      <c r="K471" s="15"/>
      <c r="L471" s="15">
        <f t="shared" si="42"/>
        <v>1920</v>
      </c>
      <c r="M471" s="16"/>
      <c r="N471" s="16"/>
      <c r="O471" s="15">
        <f t="shared" si="43"/>
        <v>24000</v>
      </c>
      <c r="P471" s="15">
        <f t="shared" si="44"/>
        <v>25920</v>
      </c>
      <c r="Q471" s="15">
        <f t="shared" si="45"/>
        <v>665280</v>
      </c>
      <c r="R471" s="17"/>
    </row>
    <row r="472" spans="1:18" ht="16.5" x14ac:dyDescent="0.25">
      <c r="A472" s="12">
        <v>1664</v>
      </c>
      <c r="B472" s="13" t="s">
        <v>448</v>
      </c>
      <c r="C472" s="13" t="s">
        <v>36</v>
      </c>
      <c r="D472" s="20"/>
      <c r="E472" s="15">
        <v>6400</v>
      </c>
      <c r="F472" s="15">
        <v>400</v>
      </c>
      <c r="G472" s="15">
        <v>400</v>
      </c>
      <c r="H472" s="15">
        <f t="shared" si="46"/>
        <v>7200</v>
      </c>
      <c r="I472" s="15">
        <f t="shared" si="47"/>
        <v>0</v>
      </c>
      <c r="J472" s="16"/>
      <c r="K472" s="15"/>
      <c r="L472" s="15">
        <f t="shared" si="42"/>
        <v>0</v>
      </c>
      <c r="M472" s="16"/>
      <c r="N472" s="16"/>
      <c r="O472" s="15">
        <f t="shared" si="43"/>
        <v>0</v>
      </c>
      <c r="P472" s="15">
        <f t="shared" si="44"/>
        <v>0</v>
      </c>
      <c r="Q472" s="15">
        <f t="shared" si="45"/>
        <v>0</v>
      </c>
      <c r="R472" s="17"/>
    </row>
    <row r="473" spans="1:18" ht="16.5" x14ac:dyDescent="0.25">
      <c r="A473" s="12">
        <v>1666</v>
      </c>
      <c r="B473" s="13" t="s">
        <v>449</v>
      </c>
      <c r="C473" s="13" t="s">
        <v>82</v>
      </c>
      <c r="D473" s="20"/>
      <c r="E473" s="15">
        <v>6400</v>
      </c>
      <c r="F473" s="15">
        <v>400</v>
      </c>
      <c r="G473" s="15">
        <v>400</v>
      </c>
      <c r="H473" s="15">
        <f t="shared" si="46"/>
        <v>7200</v>
      </c>
      <c r="I473" s="15">
        <f t="shared" si="47"/>
        <v>0</v>
      </c>
      <c r="J473" s="16"/>
      <c r="K473" s="15"/>
      <c r="L473" s="15">
        <f t="shared" si="42"/>
        <v>0</v>
      </c>
      <c r="M473" s="16"/>
      <c r="N473" s="16"/>
      <c r="O473" s="15">
        <f t="shared" si="43"/>
        <v>0</v>
      </c>
      <c r="P473" s="15">
        <f t="shared" si="44"/>
        <v>0</v>
      </c>
      <c r="Q473" s="15">
        <f t="shared" si="45"/>
        <v>0</v>
      </c>
      <c r="R473" s="17"/>
    </row>
    <row r="474" spans="1:18" ht="16.5" x14ac:dyDescent="0.25">
      <c r="A474" s="12">
        <v>1667</v>
      </c>
      <c r="B474" s="13" t="s">
        <v>272</v>
      </c>
      <c r="C474" s="13" t="s">
        <v>30</v>
      </c>
      <c r="D474" s="20"/>
      <c r="E474" s="15">
        <v>6400</v>
      </c>
      <c r="F474" s="15">
        <v>400</v>
      </c>
      <c r="G474" s="15">
        <v>400</v>
      </c>
      <c r="H474" s="15">
        <f t="shared" ref="H474" si="48">SUM(E474:G474)</f>
        <v>7200</v>
      </c>
      <c r="I474" s="15">
        <f t="shared" si="47"/>
        <v>0</v>
      </c>
      <c r="J474" s="16"/>
      <c r="K474" s="15"/>
      <c r="L474" s="15">
        <f t="shared" si="42"/>
        <v>0</v>
      </c>
      <c r="M474" s="16"/>
      <c r="N474" s="16"/>
      <c r="O474" s="15">
        <f>250*D474</f>
        <v>0</v>
      </c>
      <c r="P474" s="15"/>
      <c r="Q474" s="15"/>
      <c r="R474" s="17"/>
    </row>
    <row r="475" spans="1:18" ht="16.5" x14ac:dyDescent="0.25">
      <c r="A475" s="12">
        <v>1668</v>
      </c>
      <c r="B475" s="13" t="s">
        <v>154</v>
      </c>
      <c r="C475" s="13" t="s">
        <v>82</v>
      </c>
      <c r="D475" s="20">
        <v>652</v>
      </c>
      <c r="E475" s="15">
        <v>6400</v>
      </c>
      <c r="F475" s="15">
        <v>600</v>
      </c>
      <c r="G475" s="15">
        <v>400</v>
      </c>
      <c r="H475" s="15">
        <f t="shared" ref="H475" si="49">SUM(E475:G475)</f>
        <v>7400</v>
      </c>
      <c r="I475" s="15">
        <f t="shared" si="47"/>
        <v>4824800</v>
      </c>
      <c r="J475" s="16"/>
      <c r="K475" s="15"/>
      <c r="L475" s="15">
        <f t="shared" ref="L475" si="50">D475*20</f>
        <v>13040</v>
      </c>
      <c r="M475" s="16"/>
      <c r="N475" s="16"/>
      <c r="O475" s="15">
        <f t="shared" ref="O475" si="51">250*D475</f>
        <v>163000</v>
      </c>
      <c r="P475" s="15"/>
      <c r="Q475" s="15"/>
      <c r="R475" s="17"/>
    </row>
    <row r="476" spans="1:18" ht="16.5" x14ac:dyDescent="0.25">
      <c r="A476" s="12">
        <v>1669</v>
      </c>
      <c r="B476" s="13" t="s">
        <v>456</v>
      </c>
      <c r="C476" s="13" t="s">
        <v>36</v>
      </c>
      <c r="D476" s="20">
        <v>57</v>
      </c>
      <c r="E476" s="15">
        <v>6400</v>
      </c>
      <c r="F476" s="15">
        <v>400</v>
      </c>
      <c r="G476" s="15">
        <v>400</v>
      </c>
      <c r="H476" s="15">
        <f t="shared" ref="H476:H478" si="52">SUM(E476:G476)</f>
        <v>7200</v>
      </c>
      <c r="I476" s="15">
        <f t="shared" ref="I476:I478" si="53">H476*D476</f>
        <v>410400</v>
      </c>
      <c r="J476" s="16"/>
      <c r="K476" s="15"/>
      <c r="L476" s="15">
        <f t="shared" ref="L476:L478" si="54">D476*20</f>
        <v>1140</v>
      </c>
      <c r="M476" s="16"/>
      <c r="N476" s="16"/>
      <c r="O476" s="15">
        <f t="shared" ref="O476:O478" si="55">250*D476</f>
        <v>14250</v>
      </c>
      <c r="P476" s="15"/>
      <c r="Q476" s="15"/>
      <c r="R476" s="17"/>
    </row>
    <row r="477" spans="1:18" ht="16.5" x14ac:dyDescent="0.25">
      <c r="A477" s="12">
        <v>1670</v>
      </c>
      <c r="B477" s="13" t="s">
        <v>461</v>
      </c>
      <c r="C477" s="13" t="s">
        <v>36</v>
      </c>
      <c r="D477" s="20">
        <v>243</v>
      </c>
      <c r="E477" s="15">
        <v>6400</v>
      </c>
      <c r="F477" s="15">
        <v>500</v>
      </c>
      <c r="G477" s="15">
        <v>400</v>
      </c>
      <c r="H477" s="15">
        <f t="shared" si="52"/>
        <v>7300</v>
      </c>
      <c r="I477" s="15">
        <f t="shared" si="53"/>
        <v>1773900</v>
      </c>
      <c r="J477" s="16"/>
      <c r="K477" s="15"/>
      <c r="L477" s="15">
        <f t="shared" si="54"/>
        <v>4860</v>
      </c>
      <c r="M477" s="16"/>
      <c r="N477" s="16"/>
      <c r="O477" s="15">
        <f t="shared" si="55"/>
        <v>60750</v>
      </c>
      <c r="P477" s="15"/>
      <c r="Q477" s="15"/>
      <c r="R477" s="17"/>
    </row>
    <row r="478" spans="1:18" ht="16.5" x14ac:dyDescent="0.25">
      <c r="A478" s="12">
        <v>1671</v>
      </c>
      <c r="B478" s="13" t="s">
        <v>460</v>
      </c>
      <c r="C478" s="13" t="s">
        <v>30</v>
      </c>
      <c r="D478" s="20">
        <v>174</v>
      </c>
      <c r="E478" s="15">
        <v>6400</v>
      </c>
      <c r="F478" s="15">
        <v>600</v>
      </c>
      <c r="G478" s="15">
        <v>400</v>
      </c>
      <c r="H478" s="15">
        <f t="shared" si="52"/>
        <v>7400</v>
      </c>
      <c r="I478" s="15">
        <f t="shared" si="53"/>
        <v>1287600</v>
      </c>
      <c r="J478" s="16"/>
      <c r="K478" s="15">
        <v>615000</v>
      </c>
      <c r="L478" s="15">
        <f t="shared" si="54"/>
        <v>3480</v>
      </c>
      <c r="M478" s="16"/>
      <c r="N478" s="16"/>
      <c r="O478" s="15">
        <f t="shared" si="55"/>
        <v>43500</v>
      </c>
      <c r="P478" s="15"/>
      <c r="Q478" s="15"/>
      <c r="R478" s="17"/>
    </row>
    <row r="479" spans="1:18" ht="16.5" x14ac:dyDescent="0.25">
      <c r="A479" s="12"/>
      <c r="B479" s="35" t="s">
        <v>390</v>
      </c>
      <c r="C479" s="35"/>
      <c r="D479" s="20">
        <f t="shared" ref="D479:Q479" si="56">SUM(D4:D478)</f>
        <v>21607</v>
      </c>
      <c r="E479" s="20">
        <f>SUM(E4:E478)</f>
        <v>3040000</v>
      </c>
      <c r="F479" s="20">
        <f t="shared" ref="F479:G479" si="57">SUM(F4:F478)</f>
        <v>179900</v>
      </c>
      <c r="G479" s="20">
        <f t="shared" si="57"/>
        <v>190000</v>
      </c>
      <c r="H479" s="20">
        <f t="shared" si="56"/>
        <v>3409900</v>
      </c>
      <c r="I479" s="20">
        <f>SUM(I4:I478)</f>
        <v>158047000</v>
      </c>
      <c r="J479" s="20">
        <f t="shared" si="56"/>
        <v>0</v>
      </c>
      <c r="K479" s="20">
        <f t="shared" si="56"/>
        <v>42325000</v>
      </c>
      <c r="L479" s="20">
        <f t="shared" si="56"/>
        <v>432140</v>
      </c>
      <c r="M479" s="20">
        <f t="shared" si="56"/>
        <v>0</v>
      </c>
      <c r="N479" s="20">
        <f t="shared" si="56"/>
        <v>0</v>
      </c>
      <c r="O479" s="20">
        <f t="shared" si="56"/>
        <v>5401750</v>
      </c>
      <c r="P479" s="20">
        <f t="shared" si="56"/>
        <v>47239870</v>
      </c>
      <c r="Q479" s="20">
        <f t="shared" si="56"/>
        <v>102510430</v>
      </c>
      <c r="R479" s="36"/>
    </row>
    <row r="480" spans="1:18" ht="16.5" x14ac:dyDescent="0.25">
      <c r="A480" s="37"/>
      <c r="B480" s="38"/>
      <c r="C480" s="38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39"/>
    </row>
    <row r="481" spans="1:18" ht="16.5" x14ac:dyDescent="0.25">
      <c r="A481" s="37"/>
      <c r="B481" s="38"/>
      <c r="C481" s="38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39"/>
    </row>
    <row r="482" spans="1:18" ht="16.5" x14ac:dyDescent="0.25">
      <c r="A482" s="37"/>
      <c r="B482" s="38"/>
      <c r="C482" s="38"/>
      <c r="D482" s="23" t="s">
        <v>391</v>
      </c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39"/>
    </row>
    <row r="483" spans="1:18" ht="16.5" x14ac:dyDescent="0.25">
      <c r="A483" s="37"/>
      <c r="B483" s="38"/>
      <c r="C483" s="38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39"/>
    </row>
    <row r="484" spans="1:18" ht="16.5" x14ac:dyDescent="0.25">
      <c r="A484" s="37"/>
      <c r="B484" s="38"/>
      <c r="C484" s="38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39"/>
    </row>
    <row r="485" spans="1:18" ht="16.5" x14ac:dyDescent="0.25">
      <c r="A485" s="37"/>
      <c r="B485" s="38"/>
      <c r="C485" s="38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39"/>
    </row>
    <row r="486" spans="1:18" ht="16.5" x14ac:dyDescent="0.25">
      <c r="A486" s="37"/>
      <c r="B486" s="38"/>
      <c r="C486" s="38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39"/>
    </row>
    <row r="487" spans="1:18" ht="16.5" x14ac:dyDescent="0.25">
      <c r="A487" s="37"/>
      <c r="B487" s="38"/>
      <c r="C487" s="38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39"/>
    </row>
    <row r="488" spans="1:18" ht="16.5" x14ac:dyDescent="0.25">
      <c r="A488" s="37"/>
      <c r="B488" s="38"/>
      <c r="C488" s="38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39"/>
    </row>
    <row r="489" spans="1:18" ht="16.5" x14ac:dyDescent="0.25">
      <c r="A489" s="37"/>
      <c r="B489" s="38"/>
      <c r="C489" s="38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39"/>
    </row>
    <row r="490" spans="1:18" ht="16.5" x14ac:dyDescent="0.25">
      <c r="A490" s="37"/>
      <c r="B490" s="38"/>
      <c r="C490" s="38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39"/>
    </row>
    <row r="491" spans="1:18" ht="16.5" x14ac:dyDescent="0.25">
      <c r="A491" s="37"/>
      <c r="B491" s="38"/>
      <c r="C491" s="38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39"/>
    </row>
    <row r="492" spans="1:18" ht="18" x14ac:dyDescent="0.25">
      <c r="A492" s="77" t="str">
        <f>A1</f>
        <v>PEMBAYARAN SETORAN SUSU  PADA PETERNAK BAGIAN TANGGAL :  21 S / D 31 FEBRUARI 2026</v>
      </c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</row>
    <row r="493" spans="1:18" ht="16.5" x14ac:dyDescent="0.25">
      <c r="A493" s="5" t="s">
        <v>2</v>
      </c>
      <c r="B493" s="6" t="s">
        <v>3</v>
      </c>
      <c r="C493" s="6" t="s">
        <v>4</v>
      </c>
      <c r="D493" s="7" t="s">
        <v>5</v>
      </c>
      <c r="E493" s="8" t="s">
        <v>428</v>
      </c>
      <c r="F493" s="8" t="s">
        <v>429</v>
      </c>
      <c r="G493" s="8" t="s">
        <v>430</v>
      </c>
      <c r="H493" s="8" t="s">
        <v>431</v>
      </c>
      <c r="I493" s="8" t="s">
        <v>432</v>
      </c>
      <c r="J493" s="9" t="s">
        <v>7</v>
      </c>
      <c r="K493" s="9" t="s">
        <v>8</v>
      </c>
      <c r="L493" s="10" t="s">
        <v>9</v>
      </c>
      <c r="M493" s="10" t="s">
        <v>10</v>
      </c>
      <c r="N493" s="10" t="s">
        <v>427</v>
      </c>
      <c r="O493" s="10" t="s">
        <v>11</v>
      </c>
      <c r="P493" s="10" t="s">
        <v>12</v>
      </c>
      <c r="Q493" s="10" t="s">
        <v>13</v>
      </c>
      <c r="R493" s="11" t="s">
        <v>14</v>
      </c>
    </row>
    <row r="494" spans="1:18" ht="16.5" x14ac:dyDescent="0.25">
      <c r="A494" s="12">
        <v>0</v>
      </c>
      <c r="B494" s="13" t="s">
        <v>36</v>
      </c>
      <c r="C494" s="13">
        <v>0</v>
      </c>
      <c r="D494" s="40">
        <v>60</v>
      </c>
      <c r="E494" s="16">
        <v>7300</v>
      </c>
      <c r="F494" s="16"/>
      <c r="G494" s="16"/>
      <c r="H494" s="15">
        <f>SUM(E494:G494)</f>
        <v>7300</v>
      </c>
      <c r="I494" s="15">
        <f>D494*H494</f>
        <v>438000</v>
      </c>
      <c r="J494" s="20"/>
      <c r="K494" s="15"/>
      <c r="L494" s="15"/>
      <c r="M494" s="20"/>
      <c r="N494" s="20"/>
      <c r="O494" s="22"/>
      <c r="P494" s="15">
        <f>SUM(J494:O494)</f>
        <v>0</v>
      </c>
      <c r="Q494" s="15">
        <f>I494-P494</f>
        <v>438000</v>
      </c>
      <c r="R494" s="36"/>
    </row>
    <row r="495" spans="1:18" ht="16.5" x14ac:dyDescent="0.25">
      <c r="A495" s="12">
        <v>0</v>
      </c>
      <c r="B495" s="13" t="s">
        <v>25</v>
      </c>
      <c r="C495" s="13">
        <v>0</v>
      </c>
      <c r="D495" s="20">
        <v>96</v>
      </c>
      <c r="E495" s="16">
        <v>7300</v>
      </c>
      <c r="F495" s="16"/>
      <c r="G495" s="16"/>
      <c r="H495" s="15">
        <f t="shared" ref="H495:H502" si="58">SUM(E495:G495)</f>
        <v>7300</v>
      </c>
      <c r="I495" s="15">
        <f t="shared" ref="I495:I502" si="59">D495*H495</f>
        <v>700800</v>
      </c>
      <c r="J495" s="20"/>
      <c r="K495" s="15"/>
      <c r="L495" s="15"/>
      <c r="M495" s="20"/>
      <c r="N495" s="20"/>
      <c r="O495" s="22"/>
      <c r="P495" s="15">
        <f t="shared" ref="P495:P502" si="60">SUM(J495:O495)</f>
        <v>0</v>
      </c>
      <c r="Q495" s="15">
        <f t="shared" ref="Q495:Q502" si="61">I495-P495</f>
        <v>700800</v>
      </c>
      <c r="R495" s="36"/>
    </row>
    <row r="496" spans="1:18" ht="16.5" x14ac:dyDescent="0.25">
      <c r="A496" s="12">
        <v>0</v>
      </c>
      <c r="B496" s="13" t="s">
        <v>21</v>
      </c>
      <c r="C496" s="13">
        <v>0</v>
      </c>
      <c r="D496" s="20">
        <v>9</v>
      </c>
      <c r="E496" s="16">
        <v>7300</v>
      </c>
      <c r="F496" s="16"/>
      <c r="G496" s="16"/>
      <c r="H496" s="15">
        <f t="shared" si="58"/>
        <v>7300</v>
      </c>
      <c r="I496" s="15">
        <f t="shared" si="59"/>
        <v>65700</v>
      </c>
      <c r="J496" s="20"/>
      <c r="K496" s="15"/>
      <c r="L496" s="15"/>
      <c r="M496" s="20"/>
      <c r="N496" s="20"/>
      <c r="O496" s="22"/>
      <c r="P496" s="15">
        <f t="shared" si="60"/>
        <v>0</v>
      </c>
      <c r="Q496" s="15">
        <f t="shared" si="61"/>
        <v>65700</v>
      </c>
      <c r="R496" s="36"/>
    </row>
    <row r="497" spans="1:18" ht="16.5" x14ac:dyDescent="0.25">
      <c r="A497" s="12">
        <v>0</v>
      </c>
      <c r="B497" s="13" t="s">
        <v>47</v>
      </c>
      <c r="C497" s="13">
        <v>0</v>
      </c>
      <c r="D497" s="20">
        <v>50</v>
      </c>
      <c r="E497" s="16">
        <v>7300</v>
      </c>
      <c r="F497" s="16"/>
      <c r="G497" s="16"/>
      <c r="H497" s="15">
        <f t="shared" si="58"/>
        <v>7300</v>
      </c>
      <c r="I497" s="15">
        <f t="shared" si="59"/>
        <v>365000</v>
      </c>
      <c r="J497" s="20"/>
      <c r="K497" s="15"/>
      <c r="L497" s="15"/>
      <c r="M497" s="20"/>
      <c r="N497" s="20"/>
      <c r="O497" s="22"/>
      <c r="P497" s="15">
        <f t="shared" si="60"/>
        <v>0</v>
      </c>
      <c r="Q497" s="15">
        <f t="shared" si="61"/>
        <v>365000</v>
      </c>
      <c r="R497" s="36"/>
    </row>
    <row r="498" spans="1:18" ht="16.5" x14ac:dyDescent="0.25">
      <c r="A498" s="12">
        <v>0</v>
      </c>
      <c r="B498" s="13" t="s">
        <v>43</v>
      </c>
      <c r="C498" s="13">
        <v>0</v>
      </c>
      <c r="D498" s="20">
        <v>220</v>
      </c>
      <c r="E498" s="16">
        <v>7300</v>
      </c>
      <c r="F498" s="16"/>
      <c r="G498" s="16"/>
      <c r="H498" s="15">
        <f t="shared" si="58"/>
        <v>7300</v>
      </c>
      <c r="I498" s="15">
        <f t="shared" si="59"/>
        <v>1606000</v>
      </c>
      <c r="J498" s="20"/>
      <c r="K498" s="15"/>
      <c r="L498" s="15"/>
      <c r="M498" s="20"/>
      <c r="N498" s="20"/>
      <c r="O498" s="22"/>
      <c r="P498" s="15">
        <f t="shared" si="60"/>
        <v>0</v>
      </c>
      <c r="Q498" s="15">
        <f t="shared" si="61"/>
        <v>1606000</v>
      </c>
      <c r="R498" s="36"/>
    </row>
    <row r="499" spans="1:18" ht="16.5" x14ac:dyDescent="0.25">
      <c r="A499" s="12">
        <v>0</v>
      </c>
      <c r="B499" s="13" t="s">
        <v>30</v>
      </c>
      <c r="C499" s="13">
        <v>0</v>
      </c>
      <c r="D499" s="20">
        <v>190</v>
      </c>
      <c r="E499" s="16">
        <v>7300</v>
      </c>
      <c r="F499" s="16"/>
      <c r="G499" s="16"/>
      <c r="H499" s="15">
        <f t="shared" si="58"/>
        <v>7300</v>
      </c>
      <c r="I499" s="15">
        <f t="shared" si="59"/>
        <v>1387000</v>
      </c>
      <c r="J499" s="20"/>
      <c r="K499" s="15"/>
      <c r="L499" s="15"/>
      <c r="M499" s="20"/>
      <c r="N499" s="20"/>
      <c r="O499" s="22"/>
      <c r="P499" s="15">
        <f t="shared" si="60"/>
        <v>0</v>
      </c>
      <c r="Q499" s="15">
        <f t="shared" si="61"/>
        <v>1387000</v>
      </c>
      <c r="R499" s="36"/>
    </row>
    <row r="500" spans="1:18" ht="16.5" x14ac:dyDescent="0.25">
      <c r="A500" s="12">
        <v>0</v>
      </c>
      <c r="B500" s="13" t="s">
        <v>54</v>
      </c>
      <c r="C500" s="13">
        <v>0</v>
      </c>
      <c r="D500" s="20">
        <v>80</v>
      </c>
      <c r="E500" s="16">
        <v>7300</v>
      </c>
      <c r="F500" s="16"/>
      <c r="G500" s="16"/>
      <c r="H500" s="15">
        <f t="shared" si="58"/>
        <v>7300</v>
      </c>
      <c r="I500" s="15">
        <f t="shared" si="59"/>
        <v>584000</v>
      </c>
      <c r="J500" s="20"/>
      <c r="K500" s="15"/>
      <c r="L500" s="15"/>
      <c r="M500" s="20"/>
      <c r="N500" s="20"/>
      <c r="O500" s="22"/>
      <c r="P500" s="15">
        <f t="shared" si="60"/>
        <v>0</v>
      </c>
      <c r="Q500" s="15">
        <f t="shared" si="61"/>
        <v>584000</v>
      </c>
      <c r="R500" s="36"/>
    </row>
    <row r="501" spans="1:18" ht="16.5" x14ac:dyDescent="0.25">
      <c r="A501" s="12">
        <v>0</v>
      </c>
      <c r="B501" s="13" t="s">
        <v>392</v>
      </c>
      <c r="C501" s="13">
        <v>0</v>
      </c>
      <c r="D501" s="20">
        <v>20</v>
      </c>
      <c r="E501" s="16">
        <v>7300</v>
      </c>
      <c r="F501" s="16"/>
      <c r="G501" s="16"/>
      <c r="H501" s="15">
        <f t="shared" si="58"/>
        <v>7300</v>
      </c>
      <c r="I501" s="15">
        <f t="shared" si="59"/>
        <v>146000</v>
      </c>
      <c r="J501" s="20"/>
      <c r="K501" s="15"/>
      <c r="L501" s="15"/>
      <c r="M501" s="20"/>
      <c r="N501" s="20"/>
      <c r="O501" s="22"/>
      <c r="P501" s="15">
        <f t="shared" si="60"/>
        <v>0</v>
      </c>
      <c r="Q501" s="15">
        <f t="shared" si="61"/>
        <v>146000</v>
      </c>
      <c r="R501" s="36"/>
    </row>
    <row r="502" spans="1:18" ht="16.5" x14ac:dyDescent="0.25">
      <c r="A502" s="12">
        <v>0</v>
      </c>
      <c r="B502" s="41" t="s">
        <v>19</v>
      </c>
      <c r="C502" s="13">
        <v>0</v>
      </c>
      <c r="D502" s="20"/>
      <c r="E502" s="16">
        <v>7300</v>
      </c>
      <c r="F502" s="16"/>
      <c r="G502" s="16"/>
      <c r="H502" s="15">
        <f t="shared" si="58"/>
        <v>7300</v>
      </c>
      <c r="I502" s="15">
        <f t="shared" si="59"/>
        <v>0</v>
      </c>
      <c r="J502" s="20"/>
      <c r="K502" s="15"/>
      <c r="L502" s="15"/>
      <c r="M502" s="20"/>
      <c r="N502" s="20"/>
      <c r="O502" s="22"/>
      <c r="P502" s="15">
        <f t="shared" si="60"/>
        <v>0</v>
      </c>
      <c r="Q502" s="15">
        <f t="shared" si="61"/>
        <v>0</v>
      </c>
      <c r="R502" s="36"/>
    </row>
    <row r="503" spans="1:18" ht="16.5" x14ac:dyDescent="0.25">
      <c r="A503" s="12"/>
      <c r="B503" s="42"/>
      <c r="C503" s="43"/>
      <c r="D503" s="20"/>
      <c r="E503" s="15"/>
      <c r="F503" s="15"/>
      <c r="G503" s="15"/>
      <c r="H503" s="15"/>
      <c r="I503" s="15"/>
      <c r="J503" s="20"/>
      <c r="K503" s="15"/>
      <c r="L503" s="15"/>
      <c r="M503" s="20"/>
      <c r="N503" s="20"/>
      <c r="O503" s="22"/>
      <c r="P503" s="15"/>
      <c r="Q503" s="15">
        <f t="shared" ref="Q503" si="62">H503-P503</f>
        <v>0</v>
      </c>
      <c r="R503" s="36"/>
    </row>
    <row r="504" spans="1:18" ht="16.5" x14ac:dyDescent="0.25">
      <c r="A504" s="44"/>
      <c r="B504" s="68" t="s">
        <v>393</v>
      </c>
      <c r="C504" s="69"/>
      <c r="D504" s="22">
        <f>SUM(D494:D503)</f>
        <v>725</v>
      </c>
      <c r="E504" s="22">
        <f t="shared" ref="E504:Q504" si="63">SUM(E494:E503)</f>
        <v>65700</v>
      </c>
      <c r="F504" s="22">
        <f t="shared" ref="F504:G504" si="64">SUM(F494:F503)</f>
        <v>0</v>
      </c>
      <c r="G504" s="22">
        <f t="shared" si="64"/>
        <v>0</v>
      </c>
      <c r="H504" s="22">
        <f t="shared" si="63"/>
        <v>65700</v>
      </c>
      <c r="I504" s="22">
        <f t="shared" si="63"/>
        <v>5292500</v>
      </c>
      <c r="J504" s="22">
        <f t="shared" si="63"/>
        <v>0</v>
      </c>
      <c r="K504" s="22">
        <f t="shared" si="63"/>
        <v>0</v>
      </c>
      <c r="L504" s="22">
        <f t="shared" si="63"/>
        <v>0</v>
      </c>
      <c r="M504" s="22">
        <f t="shared" si="63"/>
        <v>0</v>
      </c>
      <c r="N504" s="22">
        <f t="shared" si="63"/>
        <v>0</v>
      </c>
      <c r="O504" s="22">
        <f t="shared" si="63"/>
        <v>0</v>
      </c>
      <c r="P504" s="22">
        <f t="shared" si="63"/>
        <v>0</v>
      </c>
      <c r="Q504" s="22">
        <f t="shared" si="63"/>
        <v>5292500</v>
      </c>
      <c r="R504" s="47"/>
    </row>
    <row r="505" spans="1:18" ht="16.5" x14ac:dyDescent="0.25">
      <c r="A505" s="48"/>
      <c r="B505" s="49"/>
      <c r="C505" s="49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1"/>
    </row>
    <row r="506" spans="1:18" ht="16.5" x14ac:dyDescent="0.25">
      <c r="A506" s="48"/>
      <c r="B506" s="49"/>
      <c r="C506" s="49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1"/>
    </row>
    <row r="507" spans="1:18" ht="16.5" x14ac:dyDescent="0.25">
      <c r="A507" s="48"/>
      <c r="B507" s="49"/>
      <c r="C507" s="49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1"/>
    </row>
    <row r="508" spans="1:18" ht="16.5" x14ac:dyDescent="0.25">
      <c r="A508" s="48"/>
      <c r="B508" s="49"/>
      <c r="C508" s="49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1"/>
    </row>
    <row r="509" spans="1:18" ht="16.5" x14ac:dyDescent="0.25">
      <c r="A509" s="48"/>
      <c r="B509" s="49"/>
      <c r="C509" s="49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1"/>
    </row>
    <row r="510" spans="1:18" ht="16.5" x14ac:dyDescent="0.25">
      <c r="A510" s="48"/>
      <c r="B510" s="49"/>
      <c r="C510" s="4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1"/>
    </row>
    <row r="511" spans="1:18" ht="16.5" x14ac:dyDescent="0.25">
      <c r="A511" s="48"/>
      <c r="B511" s="49"/>
      <c r="C511" s="49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1"/>
    </row>
    <row r="512" spans="1:18" ht="16.5" x14ac:dyDescent="0.25">
      <c r="A512" s="48"/>
      <c r="B512" s="49"/>
      <c r="C512" s="4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1"/>
    </row>
    <row r="513" spans="1:18" x14ac:dyDescent="0.2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3"/>
    </row>
    <row r="514" spans="1:18" ht="18" x14ac:dyDescent="0.25">
      <c r="A514" s="73" t="str">
        <f>A492</f>
        <v>PEMBAYARAN SETORAN SUSU  PADA PETERNAK BAGIAN TANGGAL :  21 S / D 31 FEBRUARI 2026</v>
      </c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1:18" ht="16.5" x14ac:dyDescent="0.25">
      <c r="A515" s="5" t="s">
        <v>2</v>
      </c>
      <c r="B515" s="6" t="s">
        <v>3</v>
      </c>
      <c r="C515" s="6" t="s">
        <v>4</v>
      </c>
      <c r="D515" s="54" t="s">
        <v>5</v>
      </c>
      <c r="E515" s="55" t="s">
        <v>6</v>
      </c>
      <c r="F515" s="55" t="s">
        <v>429</v>
      </c>
      <c r="G515" s="55" t="s">
        <v>430</v>
      </c>
      <c r="H515" s="55" t="s">
        <v>431</v>
      </c>
      <c r="I515" s="55" t="s">
        <v>434</v>
      </c>
      <c r="J515" s="9" t="s">
        <v>7</v>
      </c>
      <c r="K515" s="9" t="s">
        <v>8</v>
      </c>
      <c r="L515" s="10" t="s">
        <v>9</v>
      </c>
      <c r="M515" s="10" t="s">
        <v>10</v>
      </c>
      <c r="N515" s="10"/>
      <c r="O515" s="10" t="s">
        <v>11</v>
      </c>
      <c r="P515" s="10" t="s">
        <v>12</v>
      </c>
      <c r="Q515" s="10" t="s">
        <v>13</v>
      </c>
      <c r="R515" s="11" t="s">
        <v>14</v>
      </c>
    </row>
    <row r="516" spans="1:18" ht="16.5" x14ac:dyDescent="0.3">
      <c r="A516" s="56"/>
      <c r="B516" s="57" t="s">
        <v>394</v>
      </c>
      <c r="C516" s="58" t="s">
        <v>464</v>
      </c>
      <c r="E516" s="16">
        <v>7200</v>
      </c>
      <c r="F516" s="16"/>
      <c r="G516" s="16"/>
      <c r="H516" s="15">
        <v>7000</v>
      </c>
      <c r="I516" s="15">
        <f>D516*H516</f>
        <v>0</v>
      </c>
      <c r="J516" s="15"/>
      <c r="K516" s="15"/>
      <c r="L516" s="15"/>
      <c r="M516" s="15"/>
      <c r="N516" s="15"/>
      <c r="O516" s="15"/>
      <c r="P516" s="15">
        <f>SUM(J516:O516)</f>
        <v>0</v>
      </c>
      <c r="Q516" s="15">
        <f>I516-P516</f>
        <v>0</v>
      </c>
      <c r="R516" s="59"/>
    </row>
    <row r="517" spans="1:18" ht="16.5" x14ac:dyDescent="0.3">
      <c r="A517" s="56"/>
      <c r="B517" s="57" t="s">
        <v>444</v>
      </c>
      <c r="C517" s="60" t="s">
        <v>445</v>
      </c>
      <c r="D517" s="61"/>
      <c r="E517" s="16">
        <v>8000</v>
      </c>
      <c r="F517" s="16"/>
      <c r="G517" s="16"/>
      <c r="H517" s="15">
        <f t="shared" ref="H517:H524" si="65">SUM(E517:G517)</f>
        <v>8000</v>
      </c>
      <c r="I517" s="15">
        <f>D517*H517</f>
        <v>0</v>
      </c>
      <c r="J517" s="15"/>
      <c r="K517" s="15"/>
      <c r="L517" s="15"/>
      <c r="M517" s="15"/>
      <c r="N517" s="15"/>
      <c r="O517" s="15"/>
      <c r="P517" s="15">
        <f t="shared" ref="P517:P524" si="66">SUM(J517:O517)</f>
        <v>0</v>
      </c>
      <c r="Q517" s="15">
        <f t="shared" ref="Q517:Q524" si="67">I517-P517</f>
        <v>0</v>
      </c>
      <c r="R517" s="59"/>
    </row>
    <row r="518" spans="1:18" ht="16.5" x14ac:dyDescent="0.3">
      <c r="A518" s="56"/>
      <c r="B518" s="57" t="s">
        <v>395</v>
      </c>
      <c r="C518" s="58"/>
      <c r="D518" s="62"/>
      <c r="E518" s="16">
        <v>7000</v>
      </c>
      <c r="F518" s="16"/>
      <c r="G518" s="16"/>
      <c r="H518" s="15">
        <f t="shared" si="65"/>
        <v>7000</v>
      </c>
      <c r="I518" s="15">
        <f t="shared" ref="I518:I524" si="68">D518*H518</f>
        <v>0</v>
      </c>
      <c r="J518" s="15"/>
      <c r="K518" s="15"/>
      <c r="L518" s="15"/>
      <c r="M518" s="15"/>
      <c r="N518" s="15"/>
      <c r="O518" s="15"/>
      <c r="P518" s="15">
        <f t="shared" si="66"/>
        <v>0</v>
      </c>
      <c r="Q518" s="15">
        <f t="shared" si="67"/>
        <v>0</v>
      </c>
      <c r="R518" s="59"/>
    </row>
    <row r="519" spans="1:18" ht="16.5" x14ac:dyDescent="0.3">
      <c r="A519" s="56"/>
      <c r="B519" s="57" t="s">
        <v>396</v>
      </c>
      <c r="C519" s="58"/>
      <c r="D519" s="61"/>
      <c r="E519" s="16"/>
      <c r="F519" s="16"/>
      <c r="G519" s="16"/>
      <c r="H519" s="15">
        <f t="shared" si="65"/>
        <v>0</v>
      </c>
      <c r="I519" s="15">
        <f t="shared" si="68"/>
        <v>0</v>
      </c>
      <c r="J519" s="15"/>
      <c r="K519" s="15"/>
      <c r="L519" s="15"/>
      <c r="M519" s="15"/>
      <c r="N519" s="15"/>
      <c r="O519" s="15"/>
      <c r="P519" s="15">
        <f t="shared" si="66"/>
        <v>0</v>
      </c>
      <c r="Q519" s="15">
        <f t="shared" si="67"/>
        <v>0</v>
      </c>
      <c r="R519" s="59"/>
    </row>
    <row r="520" spans="1:18" ht="16.5" x14ac:dyDescent="0.3">
      <c r="A520" s="56"/>
      <c r="B520" s="57" t="s">
        <v>466</v>
      </c>
      <c r="C520" s="58" t="s">
        <v>416</v>
      </c>
      <c r="D520" s="61">
        <v>729</v>
      </c>
      <c r="E520" s="16">
        <v>7200</v>
      </c>
      <c r="F520" s="16"/>
      <c r="G520" s="16"/>
      <c r="H520" s="15">
        <f t="shared" si="65"/>
        <v>7200</v>
      </c>
      <c r="I520" s="15">
        <f t="shared" si="68"/>
        <v>5248800</v>
      </c>
      <c r="J520" s="15"/>
      <c r="K520" s="15"/>
      <c r="L520" s="15"/>
      <c r="M520" s="15"/>
      <c r="N520" s="15"/>
      <c r="O520" s="15"/>
      <c r="P520" s="15">
        <f t="shared" si="66"/>
        <v>0</v>
      </c>
      <c r="Q520" s="15">
        <f t="shared" si="67"/>
        <v>5248800</v>
      </c>
      <c r="R520" s="59"/>
    </row>
    <row r="521" spans="1:18" ht="16.5" x14ac:dyDescent="0.3">
      <c r="A521" s="56"/>
      <c r="B521" s="60" t="s">
        <v>397</v>
      </c>
      <c r="C521" s="58"/>
      <c r="D521" s="61"/>
      <c r="E521" s="16"/>
      <c r="F521" s="16"/>
      <c r="G521" s="16"/>
      <c r="H521" s="15">
        <f t="shared" si="65"/>
        <v>0</v>
      </c>
      <c r="I521" s="15">
        <f t="shared" si="68"/>
        <v>0</v>
      </c>
      <c r="J521" s="15"/>
      <c r="K521" s="15"/>
      <c r="L521" s="15"/>
      <c r="M521" s="15"/>
      <c r="N521" s="15"/>
      <c r="O521" s="15"/>
      <c r="P521" s="15">
        <f t="shared" si="66"/>
        <v>0</v>
      </c>
      <c r="Q521" s="15">
        <f t="shared" si="67"/>
        <v>0</v>
      </c>
      <c r="R521" s="59"/>
    </row>
    <row r="522" spans="1:18" ht="16.5" x14ac:dyDescent="0.3">
      <c r="A522" s="56"/>
      <c r="B522" s="58" t="s">
        <v>398</v>
      </c>
      <c r="C522" s="58" t="s">
        <v>465</v>
      </c>
      <c r="D522" s="61">
        <v>1115</v>
      </c>
      <c r="E522" s="61">
        <v>7500</v>
      </c>
      <c r="F522" s="61"/>
      <c r="G522" s="61"/>
      <c r="H522" s="15">
        <f t="shared" si="65"/>
        <v>7500</v>
      </c>
      <c r="I522" s="15">
        <f t="shared" si="68"/>
        <v>8362500</v>
      </c>
      <c r="J522" s="15"/>
      <c r="K522" s="15"/>
      <c r="L522" s="15"/>
      <c r="M522" s="15"/>
      <c r="N522" s="15"/>
      <c r="O522" s="15"/>
      <c r="P522" s="15">
        <f t="shared" si="66"/>
        <v>0</v>
      </c>
      <c r="Q522" s="15">
        <f t="shared" si="67"/>
        <v>8362500</v>
      </c>
      <c r="R522" s="59"/>
    </row>
    <row r="523" spans="1:18" ht="16.5" x14ac:dyDescent="0.3">
      <c r="A523" s="56"/>
      <c r="B523" s="58" t="s">
        <v>467</v>
      </c>
      <c r="C523" s="58" t="s">
        <v>463</v>
      </c>
      <c r="D523" s="61">
        <v>1204</v>
      </c>
      <c r="E523" s="61">
        <v>7500</v>
      </c>
      <c r="F523" s="61"/>
      <c r="G523" s="61"/>
      <c r="H523" s="15">
        <f t="shared" si="65"/>
        <v>7500</v>
      </c>
      <c r="I523" s="15">
        <f t="shared" si="68"/>
        <v>9030000</v>
      </c>
      <c r="J523" s="15">
        <v>0</v>
      </c>
      <c r="K523" s="15">
        <v>0</v>
      </c>
      <c r="L523" s="15">
        <v>0</v>
      </c>
      <c r="M523" s="15">
        <v>0</v>
      </c>
      <c r="N523" s="15"/>
      <c r="O523" s="15">
        <v>0</v>
      </c>
      <c r="P523" s="15">
        <f t="shared" si="66"/>
        <v>0</v>
      </c>
      <c r="Q523" s="15">
        <f t="shared" si="67"/>
        <v>9030000</v>
      </c>
      <c r="R523" s="59"/>
    </row>
    <row r="524" spans="1:18" ht="16.5" x14ac:dyDescent="0.3">
      <c r="A524" s="56"/>
      <c r="B524" s="58" t="s">
        <v>413</v>
      </c>
      <c r="C524" s="58"/>
      <c r="D524" s="61"/>
      <c r="E524" s="61"/>
      <c r="F524" s="61"/>
      <c r="G524" s="61"/>
      <c r="H524" s="15">
        <f t="shared" si="65"/>
        <v>0</v>
      </c>
      <c r="I524" s="15">
        <f t="shared" si="68"/>
        <v>0</v>
      </c>
      <c r="J524" s="15"/>
      <c r="K524" s="15"/>
      <c r="L524" s="15"/>
      <c r="M524" s="15"/>
      <c r="N524" s="15"/>
      <c r="O524" s="15"/>
      <c r="P524" s="15">
        <f t="shared" si="66"/>
        <v>0</v>
      </c>
      <c r="Q524" s="15">
        <f t="shared" si="67"/>
        <v>0</v>
      </c>
      <c r="R524" s="59"/>
    </row>
    <row r="525" spans="1:18" ht="16.5" x14ac:dyDescent="0.25">
      <c r="A525" s="74" t="s">
        <v>399</v>
      </c>
      <c r="B525" s="75"/>
      <c r="C525" s="76"/>
      <c r="D525" s="22">
        <f>SUM(D516:D524)</f>
        <v>3048</v>
      </c>
      <c r="E525" s="22">
        <f>SUM(E516:E524)</f>
        <v>44400</v>
      </c>
      <c r="F525" s="22">
        <f t="shared" ref="F525:G525" si="69">SUM(F516:F524)</f>
        <v>0</v>
      </c>
      <c r="G525" s="22">
        <f t="shared" si="69"/>
        <v>0</v>
      </c>
      <c r="H525" s="22">
        <f t="shared" ref="H525:Q525" si="70">SUM(H516:H524)</f>
        <v>44200</v>
      </c>
      <c r="I525" s="22">
        <f t="shared" si="70"/>
        <v>22641300</v>
      </c>
      <c r="J525" s="22">
        <f t="shared" si="70"/>
        <v>0</v>
      </c>
      <c r="K525" s="22">
        <f t="shared" si="70"/>
        <v>0</v>
      </c>
      <c r="L525" s="22">
        <f t="shared" si="70"/>
        <v>0</v>
      </c>
      <c r="M525" s="22">
        <f t="shared" si="70"/>
        <v>0</v>
      </c>
      <c r="N525" s="22">
        <f t="shared" si="70"/>
        <v>0</v>
      </c>
      <c r="O525" s="22">
        <f t="shared" si="70"/>
        <v>0</v>
      </c>
      <c r="P525" s="22">
        <f t="shared" si="70"/>
        <v>0</v>
      </c>
      <c r="Q525" s="22">
        <f t="shared" si="70"/>
        <v>22641300</v>
      </c>
      <c r="R525" s="47"/>
    </row>
    <row r="526" spans="1:18" ht="16.5" x14ac:dyDescent="0.25">
      <c r="A526" s="74" t="s">
        <v>400</v>
      </c>
      <c r="B526" s="75"/>
      <c r="C526" s="76"/>
      <c r="D526" s="22">
        <f>SUM(D504,D479,D525)</f>
        <v>25380</v>
      </c>
      <c r="E526" s="22">
        <f t="shared" ref="E526:Q526" si="71">SUM(E504,E479,E525)</f>
        <v>3150100</v>
      </c>
      <c r="F526" s="22">
        <f t="shared" si="71"/>
        <v>179900</v>
      </c>
      <c r="G526" s="22">
        <f t="shared" si="71"/>
        <v>190000</v>
      </c>
      <c r="H526" s="22">
        <f t="shared" si="71"/>
        <v>3519800</v>
      </c>
      <c r="I526" s="22">
        <f t="shared" si="71"/>
        <v>185980800</v>
      </c>
      <c r="J526" s="22">
        <f t="shared" si="71"/>
        <v>0</v>
      </c>
      <c r="K526" s="22">
        <f t="shared" si="71"/>
        <v>42325000</v>
      </c>
      <c r="L526" s="22">
        <f t="shared" si="71"/>
        <v>432140</v>
      </c>
      <c r="M526" s="22">
        <f t="shared" si="71"/>
        <v>0</v>
      </c>
      <c r="N526" s="22">
        <f t="shared" si="71"/>
        <v>0</v>
      </c>
      <c r="O526" s="22">
        <f t="shared" si="71"/>
        <v>5401750</v>
      </c>
      <c r="P526" s="22">
        <f t="shared" si="71"/>
        <v>47239870</v>
      </c>
      <c r="Q526" s="22">
        <f t="shared" si="71"/>
        <v>130444230</v>
      </c>
      <c r="R526" s="47"/>
    </row>
    <row r="527" spans="1:18" x14ac:dyDescent="0.25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</row>
    <row r="528" spans="1:18" x14ac:dyDescent="0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63"/>
    </row>
    <row r="529" spans="1:18" x14ac:dyDescent="0.2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63"/>
    </row>
    <row r="530" spans="1:18" ht="16.5" x14ac:dyDescent="0.3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64" t="s">
        <v>470</v>
      </c>
      <c r="N530" s="64"/>
      <c r="O530" s="64"/>
      <c r="P530" s="64"/>
      <c r="Q530" s="52"/>
      <c r="R530" s="53"/>
    </row>
    <row r="531" spans="1:18" ht="16.5" x14ac:dyDescent="0.3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65" t="s">
        <v>401</v>
      </c>
      <c r="N531" s="65"/>
      <c r="O531" s="65"/>
      <c r="P531" s="65"/>
      <c r="Q531" s="52"/>
      <c r="R531" s="53"/>
    </row>
    <row r="532" spans="1:18" ht="16.5" x14ac:dyDescent="0.3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64" t="s">
        <v>402</v>
      </c>
      <c r="N532" s="64"/>
      <c r="O532" s="64"/>
      <c r="P532" s="64"/>
      <c r="Q532" s="52"/>
      <c r="R532" s="53"/>
    </row>
    <row r="533" spans="1:18" ht="16.5" x14ac:dyDescent="0.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66"/>
      <c r="N533" s="66"/>
      <c r="O533" s="66"/>
      <c r="P533" s="66"/>
      <c r="Q533" s="52"/>
      <c r="R533" s="53"/>
    </row>
    <row r="534" spans="1:18" ht="16.5" x14ac:dyDescent="0.3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66"/>
      <c r="N534" s="66"/>
      <c r="O534" s="66"/>
      <c r="P534" s="66"/>
      <c r="Q534" s="52"/>
      <c r="R534" s="53"/>
    </row>
    <row r="535" spans="1:18" ht="16.5" x14ac:dyDescent="0.3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66"/>
      <c r="N535" s="66"/>
      <c r="O535" s="66"/>
      <c r="P535" s="66"/>
      <c r="Q535" s="52"/>
      <c r="R535" s="53"/>
    </row>
    <row r="536" spans="1:18" ht="16.5" x14ac:dyDescent="0.3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64" t="s">
        <v>403</v>
      </c>
      <c r="N536" s="64"/>
      <c r="O536" s="64"/>
      <c r="P536" s="64"/>
      <c r="Q536" s="52"/>
      <c r="R536" s="53"/>
    </row>
    <row r="537" spans="1:18" ht="16.5" x14ac:dyDescent="0.3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64" t="s">
        <v>404</v>
      </c>
      <c r="N537" s="64"/>
      <c r="O537" s="64"/>
      <c r="P537" s="64"/>
      <c r="Q537" s="52"/>
      <c r="R537" s="53"/>
    </row>
    <row r="538" spans="1:18" x14ac:dyDescent="0.2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63"/>
    </row>
    <row r="539" spans="1:18" x14ac:dyDescent="0.2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63"/>
    </row>
    <row r="540" spans="1:18" x14ac:dyDescent="0.2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63"/>
    </row>
    <row r="541" spans="1:18" x14ac:dyDescent="0.2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63"/>
    </row>
    <row r="542" spans="1:18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63"/>
    </row>
  </sheetData>
  <mergeCells count="9">
    <mergeCell ref="A526:C526"/>
    <mergeCell ref="A525:C525"/>
    <mergeCell ref="A492:R492"/>
    <mergeCell ref="A514:R514"/>
    <mergeCell ref="A1:R1"/>
    <mergeCell ref="B2:C2"/>
    <mergeCell ref="D2:H2"/>
    <mergeCell ref="J2:K2"/>
    <mergeCell ref="L2:Q2"/>
  </mergeCells>
  <pageMargins left="7.874015748031496E-2" right="7.874015748031496E-2" top="0.11811023622047245" bottom="0.11811023622047245" header="0.31496062992125984" footer="0.31496062992125984"/>
  <pageSetup paperSize="5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</dc:creator>
  <cp:lastModifiedBy>ismail - [2010]</cp:lastModifiedBy>
  <dcterms:created xsi:type="dcterms:W3CDTF">2016-09-20T21:29:33Z</dcterms:created>
  <dcterms:modified xsi:type="dcterms:W3CDTF">2026-03-10T02:52:39Z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14bcafdb7ff94d3fbe54faab1c8a4077</vt:lpwstr>
  </property>
</Properties>
</file>