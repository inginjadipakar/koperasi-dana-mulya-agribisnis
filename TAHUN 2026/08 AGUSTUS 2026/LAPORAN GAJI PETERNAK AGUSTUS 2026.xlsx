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1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L480" i="3" l="1"/>
  <c r="O480" i="3"/>
  <c r="L480" i="2"/>
  <c r="O480" i="2"/>
  <c r="L480" i="1"/>
  <c r="O480" i="1"/>
  <c r="I480" i="1"/>
  <c r="L479" i="3" l="1"/>
  <c r="O479" i="3"/>
  <c r="H480" i="1" l="1"/>
  <c r="H480" i="2"/>
  <c r="I480" i="2" s="1"/>
  <c r="H480" i="3"/>
  <c r="I480" i="3" s="1"/>
  <c r="H479" i="3"/>
  <c r="I479" i="3" s="1"/>
  <c r="H479" i="2" l="1"/>
  <c r="I479" i="2" s="1"/>
  <c r="L479" i="2"/>
  <c r="O479" i="2"/>
  <c r="H479" i="1" l="1"/>
  <c r="I479" i="1" s="1"/>
  <c r="F483" i="1"/>
  <c r="E483" i="1"/>
  <c r="L479" i="1"/>
  <c r="O479" i="1"/>
  <c r="D483" i="1"/>
  <c r="N483" i="3" l="1"/>
  <c r="R483" i="3"/>
  <c r="M483" i="3"/>
  <c r="K483" i="3"/>
  <c r="J483" i="3"/>
  <c r="G483" i="3"/>
  <c r="F483" i="3"/>
  <c r="E483" i="3"/>
  <c r="D483" i="3"/>
  <c r="N483" i="2"/>
  <c r="M483" i="2"/>
  <c r="K483" i="2"/>
  <c r="J483" i="2"/>
  <c r="G483" i="2"/>
  <c r="F483" i="2"/>
  <c r="E483" i="2"/>
  <c r="D483" i="2"/>
  <c r="N483" i="1"/>
  <c r="M483" i="1"/>
  <c r="K483" i="1"/>
  <c r="J483" i="1"/>
  <c r="G483" i="1"/>
  <c r="G529" i="3" l="1"/>
  <c r="G508" i="3"/>
  <c r="G530" i="3" s="1"/>
  <c r="G529" i="2"/>
  <c r="G508" i="2"/>
  <c r="G530" i="2" s="1"/>
  <c r="F529" i="3"/>
  <c r="F508" i="3"/>
  <c r="F529" i="2"/>
  <c r="F508" i="2"/>
  <c r="F530" i="2"/>
  <c r="F530" i="3" l="1"/>
  <c r="L456" i="2" l="1"/>
  <c r="O529" i="1" l="1"/>
  <c r="N529" i="1"/>
  <c r="M529" i="1"/>
  <c r="L529" i="1"/>
  <c r="K529" i="1"/>
  <c r="J529" i="1"/>
  <c r="G529" i="1"/>
  <c r="F529" i="1"/>
  <c r="E529" i="1"/>
  <c r="D529" i="1"/>
  <c r="P528" i="1"/>
  <c r="H528" i="1"/>
  <c r="I528" i="1" s="1"/>
  <c r="P527" i="1"/>
  <c r="H527" i="1"/>
  <c r="I527" i="1" s="1"/>
  <c r="Q527" i="1" s="1"/>
  <c r="P526" i="1"/>
  <c r="I526" i="1"/>
  <c r="Q526" i="1" s="1"/>
  <c r="H526" i="1"/>
  <c r="P525" i="1"/>
  <c r="H525" i="1"/>
  <c r="I525" i="1" s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P529" i="1" s="1"/>
  <c r="I520" i="1"/>
  <c r="O508" i="1"/>
  <c r="N508" i="1"/>
  <c r="M508" i="1"/>
  <c r="L508" i="1"/>
  <c r="K508" i="1"/>
  <c r="J508" i="1"/>
  <c r="G508" i="1"/>
  <c r="F508" i="1"/>
  <c r="E508" i="1"/>
  <c r="D508" i="1"/>
  <c r="Q507" i="1"/>
  <c r="P506" i="1"/>
  <c r="H506" i="1"/>
  <c r="I506" i="1" s="1"/>
  <c r="Q506" i="1" s="1"/>
  <c r="P505" i="1"/>
  <c r="H505" i="1"/>
  <c r="I505" i="1" s="1"/>
  <c r="Q505" i="1" s="1"/>
  <c r="P504" i="1"/>
  <c r="H504" i="1"/>
  <c r="I504" i="1" s="1"/>
  <c r="Q504" i="1" s="1"/>
  <c r="P503" i="1"/>
  <c r="H503" i="1"/>
  <c r="I503" i="1" s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P508" i="1" s="1"/>
  <c r="H498" i="1"/>
  <c r="A496" i="1"/>
  <c r="A518" i="1" s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H390" i="1"/>
  <c r="I390" i="1" s="1"/>
  <c r="O389" i="1"/>
  <c r="L389" i="1"/>
  <c r="H389" i="1"/>
  <c r="I389" i="1" s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O483" i="1" s="1"/>
  <c r="L5" i="1"/>
  <c r="H5" i="1"/>
  <c r="I5" i="1" s="1"/>
  <c r="O4" i="1"/>
  <c r="L4" i="1"/>
  <c r="H4" i="1"/>
  <c r="H483" i="1" l="1"/>
  <c r="L483" i="1"/>
  <c r="L530" i="1" s="1"/>
  <c r="Q503" i="1"/>
  <c r="P77" i="1"/>
  <c r="Q77" i="1" s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Q366" i="1" s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30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9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30" i="1"/>
  <c r="Q524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30" i="1"/>
  <c r="F530" i="1"/>
  <c r="Q520" i="1"/>
  <c r="Q525" i="1"/>
  <c r="Q528" i="1"/>
  <c r="I4" i="1"/>
  <c r="I483" i="1" s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K530" i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530" i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21" i="1"/>
  <c r="I529" i="1"/>
  <c r="H529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30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8" i="1"/>
  <c r="I498" i="1"/>
  <c r="D530" i="1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Q5" i="1" l="1"/>
  <c r="P483" i="1"/>
  <c r="P530" i="1" s="1"/>
  <c r="Q529" i="1"/>
  <c r="H530" i="1"/>
  <c r="Q4" i="1"/>
  <c r="I508" i="1"/>
  <c r="Q498" i="1"/>
  <c r="Q508" i="1" s="1"/>
  <c r="O474" i="3"/>
  <c r="O475" i="3"/>
  <c r="L475" i="3"/>
  <c r="H475" i="3"/>
  <c r="I475" i="3" s="1"/>
  <c r="Q483" i="1" l="1"/>
  <c r="Q530" i="1" s="1"/>
  <c r="I530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9" i="3"/>
  <c r="N529" i="3"/>
  <c r="M529" i="3"/>
  <c r="L529" i="3"/>
  <c r="K529" i="3"/>
  <c r="J529" i="3"/>
  <c r="E529" i="3"/>
  <c r="D529" i="3"/>
  <c r="P528" i="3"/>
  <c r="H528" i="3"/>
  <c r="I528" i="3" s="1"/>
  <c r="P527" i="3"/>
  <c r="H527" i="3"/>
  <c r="I527" i="3" s="1"/>
  <c r="Q527" i="3" s="1"/>
  <c r="P526" i="3"/>
  <c r="H526" i="3"/>
  <c r="I526" i="3" s="1"/>
  <c r="P525" i="3"/>
  <c r="H525" i="3"/>
  <c r="I525" i="3" s="1"/>
  <c r="P524" i="3"/>
  <c r="H524" i="3"/>
  <c r="I524" i="3" s="1"/>
  <c r="P523" i="3"/>
  <c r="H523" i="3"/>
  <c r="I523" i="3" s="1"/>
  <c r="P522" i="3"/>
  <c r="H522" i="3"/>
  <c r="I522" i="3" s="1"/>
  <c r="P521" i="3"/>
  <c r="H521" i="3"/>
  <c r="I521" i="3" s="1"/>
  <c r="P520" i="3"/>
  <c r="I520" i="3"/>
  <c r="O508" i="3"/>
  <c r="N508" i="3"/>
  <c r="M508" i="3"/>
  <c r="L508" i="3"/>
  <c r="K508" i="3"/>
  <c r="J508" i="3"/>
  <c r="E508" i="3"/>
  <c r="D508" i="3"/>
  <c r="Q507" i="3"/>
  <c r="P506" i="3"/>
  <c r="H506" i="3"/>
  <c r="I506" i="3" s="1"/>
  <c r="Q506" i="3" s="1"/>
  <c r="P505" i="3"/>
  <c r="H505" i="3"/>
  <c r="I505" i="3" s="1"/>
  <c r="P504" i="3"/>
  <c r="H504" i="3"/>
  <c r="I504" i="3" s="1"/>
  <c r="Q504" i="3" s="1"/>
  <c r="P503" i="3"/>
  <c r="H503" i="3"/>
  <c r="I503" i="3" s="1"/>
  <c r="Q503" i="3" s="1"/>
  <c r="P502" i="3"/>
  <c r="H502" i="3"/>
  <c r="I502" i="3" s="1"/>
  <c r="P501" i="3"/>
  <c r="H501" i="3"/>
  <c r="I501" i="3" s="1"/>
  <c r="P500" i="3"/>
  <c r="H500" i="3"/>
  <c r="I500" i="3" s="1"/>
  <c r="P499" i="3"/>
  <c r="H499" i="3"/>
  <c r="I499" i="3" s="1"/>
  <c r="P498" i="3"/>
  <c r="H498" i="3"/>
  <c r="I498" i="3" s="1"/>
  <c r="Q498" i="3" s="1"/>
  <c r="A496" i="3"/>
  <c r="A518" i="3" s="1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O529" i="2"/>
  <c r="N529" i="2"/>
  <c r="M529" i="2"/>
  <c r="L529" i="2"/>
  <c r="K529" i="2"/>
  <c r="J529" i="2"/>
  <c r="E529" i="2"/>
  <c r="D529" i="2"/>
  <c r="P528" i="2"/>
  <c r="H528" i="2"/>
  <c r="I528" i="2" s="1"/>
  <c r="P527" i="2"/>
  <c r="H527" i="2"/>
  <c r="I527" i="2" s="1"/>
  <c r="P526" i="2"/>
  <c r="H526" i="2"/>
  <c r="I526" i="2" s="1"/>
  <c r="P525" i="2"/>
  <c r="H525" i="2"/>
  <c r="I525" i="2" s="1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O508" i="2"/>
  <c r="N508" i="2"/>
  <c r="M508" i="2"/>
  <c r="L508" i="2"/>
  <c r="K508" i="2"/>
  <c r="J508" i="2"/>
  <c r="E508" i="2"/>
  <c r="D508" i="2"/>
  <c r="Q507" i="2"/>
  <c r="P506" i="2"/>
  <c r="H506" i="2"/>
  <c r="I506" i="2" s="1"/>
  <c r="P505" i="2"/>
  <c r="H505" i="2"/>
  <c r="I505" i="2" s="1"/>
  <c r="P504" i="2"/>
  <c r="H504" i="2"/>
  <c r="I504" i="2" s="1"/>
  <c r="P503" i="2"/>
  <c r="H503" i="2"/>
  <c r="I503" i="2" s="1"/>
  <c r="P502" i="2"/>
  <c r="H502" i="2"/>
  <c r="I502" i="2" s="1"/>
  <c r="Q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A518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L483" i="3" l="1"/>
  <c r="L530" i="3" s="1"/>
  <c r="I4" i="3"/>
  <c r="I483" i="3" s="1"/>
  <c r="H483" i="3"/>
  <c r="O483" i="3"/>
  <c r="O530" i="3" s="1"/>
  <c r="L483" i="2"/>
  <c r="O483" i="2"/>
  <c r="E530" i="2"/>
  <c r="Q526" i="3"/>
  <c r="P508" i="2"/>
  <c r="Q506" i="2"/>
  <c r="P529" i="2"/>
  <c r="Q505" i="3"/>
  <c r="P338" i="2"/>
  <c r="Q338" i="2" s="1"/>
  <c r="P58" i="2"/>
  <c r="Q58" i="2" s="1"/>
  <c r="P468" i="3"/>
  <c r="Q468" i="3" s="1"/>
  <c r="P472" i="3"/>
  <c r="Q472" i="3" s="1"/>
  <c r="Q523" i="2"/>
  <c r="P372" i="2"/>
  <c r="Q372" i="2" s="1"/>
  <c r="K530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500" i="2"/>
  <c r="Q505" i="2"/>
  <c r="Q522" i="2"/>
  <c r="Q526" i="2"/>
  <c r="Q528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30" i="2"/>
  <c r="Q501" i="2"/>
  <c r="Q504" i="2"/>
  <c r="Q521" i="2"/>
  <c r="Q525" i="2"/>
  <c r="Q527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9" i="3"/>
  <c r="Q500" i="3"/>
  <c r="Q521" i="3"/>
  <c r="Q523" i="3"/>
  <c r="Q525" i="3"/>
  <c r="K530" i="2"/>
  <c r="J530" i="2"/>
  <c r="P295" i="2"/>
  <c r="Q295" i="2" s="1"/>
  <c r="P5" i="2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9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9" i="2"/>
  <c r="Q524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8" i="2"/>
  <c r="I498" i="2"/>
  <c r="Q498" i="2" s="1"/>
  <c r="Q503" i="2"/>
  <c r="Q520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30" i="3"/>
  <c r="N530" i="3"/>
  <c r="P383" i="2"/>
  <c r="Q383" i="2" s="1"/>
  <c r="M530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502" i="3"/>
  <c r="Q522" i="3"/>
  <c r="Q524" i="3"/>
  <c r="Q528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9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30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P5" i="3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9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8" i="3"/>
  <c r="H508" i="3"/>
  <c r="M530" i="3"/>
  <c r="P451" i="3"/>
  <c r="Q451" i="3" s="1"/>
  <c r="P454" i="3"/>
  <c r="Q454" i="3" s="1"/>
  <c r="P457" i="3"/>
  <c r="Q457" i="3" s="1"/>
  <c r="P473" i="3"/>
  <c r="Q473" i="3" s="1"/>
  <c r="Q501" i="3"/>
  <c r="H529" i="3"/>
  <c r="P423" i="3"/>
  <c r="Q423" i="3" s="1"/>
  <c r="P424" i="3"/>
  <c r="Q424" i="3" s="1"/>
  <c r="P425" i="3"/>
  <c r="Q425" i="3" s="1"/>
  <c r="P460" i="3"/>
  <c r="Q460" i="3" s="1"/>
  <c r="P461" i="3"/>
  <c r="Q461" i="3" s="1"/>
  <c r="I508" i="3"/>
  <c r="I529" i="3"/>
  <c r="D530" i="3"/>
  <c r="Q520" i="3"/>
  <c r="P6" i="3"/>
  <c r="Q4" i="3" l="1"/>
  <c r="Q5" i="3"/>
  <c r="P483" i="3"/>
  <c r="P530" i="3" s="1"/>
  <c r="Q5" i="2"/>
  <c r="Q529" i="2"/>
  <c r="Q508" i="2"/>
  <c r="Q508" i="3"/>
  <c r="Q529" i="3"/>
  <c r="I508" i="2"/>
  <c r="H530" i="3"/>
  <c r="I530" i="3"/>
  <c r="Q6" i="3"/>
  <c r="Q483" i="3" l="1"/>
  <c r="Q530" i="3" s="1"/>
  <c r="O4" i="2"/>
  <c r="O530" i="2" s="1"/>
  <c r="L4" i="2"/>
  <c r="L530" i="2" s="1"/>
  <c r="D530" i="2"/>
  <c r="P4" i="2" l="1"/>
  <c r="H4" i="2"/>
  <c r="P483" i="2" l="1"/>
  <c r="P530" i="2" s="1"/>
  <c r="I4" i="2"/>
  <c r="I483" i="2" s="1"/>
  <c r="I530" i="2" s="1"/>
  <c r="H483" i="2"/>
  <c r="H530" i="2" s="1"/>
  <c r="G530" i="1"/>
  <c r="Q4" i="2" l="1"/>
  <c r="Q483" i="2" s="1"/>
  <c r="Q530" i="2" s="1"/>
</calcChain>
</file>

<file path=xl/sharedStrings.xml><?xml version="1.0" encoding="utf-8"?>
<sst xmlns="http://schemas.openxmlformats.org/spreadsheetml/2006/main" count="3104" uniqueCount="480">
  <si>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</si>
  <si>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</si>
  <si>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</si>
  <si>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</si>
  <si>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</si>
  <si>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</si>
  <si>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</si>
  <si>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</si>
  <si>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</si>
  <si>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</si>
  <si>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</si>
  <si>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</si>
  <si>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</si>
  <si>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</si>
  <si>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</si>
  <si>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</si>
  <si>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</si>
  <si>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</si>
  <si>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</si>
  <si>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</si>
  <si>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</si>
  <si>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</si>
  <si>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</si>
  <si>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</si>
  <si>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</si>
  <si>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</si>
  <si>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</si>
  <si>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</si>
  <si>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</si>
  <si>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</si>
  <si>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</si>
  <si>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</si>
  <si>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</si>
  <si>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</si>
  <si>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</si>
  <si>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</si>
  <si>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</si>
  <si>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</si>
  <si>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</si>
  <si>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</si>
  <si>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</si>
  <si>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</si>
  <si>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</si>
  <si>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</si>
  <si>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</si>
  <si>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</si>
  <si>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</si>
  <si>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</si>
  <si>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</si>
  <si>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</si>
  <si>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</si>
  <si>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</si>
  <si>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</si>
  <si>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</si>
  <si>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</si>
  <si>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</si>
  <si>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</si>
  <si>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</si>
  <si>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</si>
  <si>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</si>
  <si>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</si>
  <si>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</si>
  <si>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</si>
  <si>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</si>
  <si>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</si>
  <si>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</si>
  <si>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</si>
  <si>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</si>
  <si>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</si>
  <si>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</si>
  <si>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</si>
  <si>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</si>
  <si>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</si>
  <si>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</si>
  <si>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</si>
  <si>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</si>
  <si>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</si>
  <si>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</si>
  <si>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</si>
  <si>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</si>
  <si>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</si>
  <si>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</si>
  <si>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</si>
  <si>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</si>
  <si>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</si>
  <si>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</si>
  <si>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</si>
  <si>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</si>
  <si>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</si>
  <si>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</si>
  <si>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</si>
  <si>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</si>
  <si>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</si>
  <si>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</si>
  <si>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</si>
  <si>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</si>
  <si>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</si>
  <si>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</si>
  <si>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</si>
  <si>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</si>
  <si>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</si>
  <si>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</si>
  <si>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</si>
  <si>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</si>
  <si>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</si>
  <si>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</si>
  <si>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</si>
  <si>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</si>
  <si>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</si>
  <si>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</si>
  <si>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</si>
  <si>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</si>
  <si>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</si>
  <si>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</si>
  <si>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</si>
  <si>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</si>
  <si>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</si>
  <si>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</si>
  <si>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</si>
  <si>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</si>
  <si>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</si>
  <si>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</si>
  <si>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</si>
  <si>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</si>
  <si>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</si>
  <si>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</si>
  <si>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</si>
  <si>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</si>
  <si>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</si>
  <si>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</si>
  <si>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</si>
  <si>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</si>
  <si>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</si>
  <si>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</si>
  <si>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</si>
  <si>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</si>
  <si>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</si>
  <si>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</si>
  <si>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</si>
  <si>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</si>
  <si>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</si>
  <si>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</si>
  <si>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</si>
  <si>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</si>
  <si>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</si>
  <si>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</si>
  <si>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</si>
  <si>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</si>
  <si>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</si>
  <si>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</si>
  <si>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</si>
  <si>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</si>
  <si>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</si>
  <si>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</si>
  <si>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</si>
  <si>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</si>
  <si>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</si>
  <si>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</si>
  <si>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</si>
  <si>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</si>
  <si>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</si>
  <si>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</si>
  <si>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</si>
  <si>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</si>
  <si>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</si>
  <si>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</si>
  <si>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</si>
  <si>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</si>
  <si>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</si>
  <si>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</si>
  <si>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</si>
  <si>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</si>
  <si>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</si>
  <si>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</si>
  <si>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</si>
  <si>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</si>
  <si>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</si>
  <si>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</si>
  <si>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</si>
  <si>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</si>
  <si>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</si>
  <si>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</si>
  <si>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</si>
  <si>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</si>
  <si>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</si>
  <si>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</si>
  <si>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</si>
  <si>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</si>
  <si>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</si>
  <si>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</si>
  <si>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</si>
  <si>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</si>
  <si>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</si>
  <si>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</si>
  <si>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</si>
  <si>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</si>
  <si>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</si>
  <si>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</si>
  <si>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</si>
  <si>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</si>
  <si>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</si>
  <si>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</si>
  <si>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</si>
  <si>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</si>
  <si>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</si>
  <si>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</si>
  <si>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</si>
  <si>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</si>
  <si>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</si>
  <si>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</si>
  <si>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</si>
  <si>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</si>
  <si>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</si>
  <si>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</si>
  <si>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</si>
  <si>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</si>
  <si>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</si>
  <si>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</si>
  <si>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</si>
  <si>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</si>
  <si>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</si>
  <si>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</si>
  <si>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</si>
  <si>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</si>
  <si>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</si>
  <si>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</si>
  <si>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</si>
  <si>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</si>
  <si>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</si>
  <si>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</si>
  <si>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</si>
  <si>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</si>
  <si>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</si>
  <si>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</si>
  <si>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</si>
  <si>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</si>
  <si>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</si>
  <si>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</si>
  <si>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</si>
  <si>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</si>
  <si>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</si>
  <si>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</si>
  <si>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</si>
  <si>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</si>
  <si>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</si>
  <si>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</si>
  <si>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</si>
  <si>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</si>
  <si>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</si>
  <si>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</si>
  <si>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</si>
  <si>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</si>
  <si>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</si>
  <si>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</si>
  <si>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</si>
  <si>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</si>
  <si>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</si>
  <si>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</si>
  <si>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</si>
  <si>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</si>
  <si>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</si>
  <si>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</si>
  <si>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</si>
  <si>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</si>
  <si>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</si>
  <si>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</si>
  <si>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</si>
  <si>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</si>
  <si>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</si>
  <si>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</si>
  <si>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</si>
  <si>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</si>
  <si>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</si>
  <si>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</si>
  <si>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</si>
  <si>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</si>
  <si>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</si>
  <si>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</si>
  <si>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</si>
  <si>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</si>
  <si>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</si>
  <si>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</si>
  <si>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</si>
  <si>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</si>
  <si>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</si>
  <si>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</si>
  <si>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</si>
  <si>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</si>
  <si>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</si>
  <si>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</si>
  <si>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</si>
  <si>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</si>
  <si>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</si>
  <si>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</si>
  <si>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</si>
  <si>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</si>
  <si>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</si>
  <si>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</si>
  <si>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</si>
  <si>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</si>
  <si>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</si>
  <si>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</si>
  <si>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</si>
  <si>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</si>
  <si>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</si>
  <si>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</si>
  <si>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</si>
  <si>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</si>
  <si>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</si>
  <si>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</si>
  <si>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</si>
  <si>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</si>
  <si>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</si>
  <si>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</si>
  <si>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</si>
  <si>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</si>
  <si>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</si>
  <si>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</si>
  <si>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</si>
  <si>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</si>
  <si>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</si>
  <si>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</si>
  <si>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</si>
  <si>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</si>
  <si>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</si>
  <si>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</si>
  <si>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</si>
  <si>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</si>
  <si>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</si>
  <si>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</si>
  <si>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</si>
  <si>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</si>
  <si>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</si>
  <si>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</si>
  <si>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</si>
  <si>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</si>
  <si>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</si>
  <si>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</si>
  <si>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</si>
  <si>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</si>
  <si>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</si>
  <si>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</si>
  <si>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</si>
  <si>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</si>
  <si>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</si>
  <si>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</si>
  <si>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</si>
  <si>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</si>
  <si>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</si>
  <si>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</si>
  <si>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</si>
  <si>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</si>
  <si>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</si>
  <si>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</si>
  <si>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</si>
  <si>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</si>
  <si>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</si>
  <si>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</si>
  <si>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</si>
  <si>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</si>
  <si>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</si>
  <si>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</si>
  <si>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</si>
  <si>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</si>
  <si>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</si>
  <si>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</si>
  <si>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</si>
  <si>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</si>
  <si>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</si>
  <si>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</si>
  <si>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</si>
  <si>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</si>
  <si>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</si>
  <si>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</si>
  <si>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</si>
  <si>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</si>
  <si>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</si>
  <si>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</si>
  <si>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</si>
  <si>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</si>
  <si>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</si>
  <si>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</si>
  <si>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</si>
  <si>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</si>
  <si>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</si>
  <si>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</si>
  <si>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</si>
  <si>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</si>
  <si>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</si>
  <si>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</si>
  <si>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</si>
  <si>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</si>
  <si>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</si>
  <si>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</si>
  <si>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</si>
  <si>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</si>
  <si>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</si>
  <si>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</si>
  <si>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</si>
  <si>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</si>
  <si>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</si>
  <si>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</si>
  <si>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</si>
  <si>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</si>
  <si>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</si>
  <si>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</si>
  <si>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</si>
  <si>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</si>
  <si>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</si>
  <si>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</si>
  <si>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</si>
  <si>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</si>
  <si>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</si>
  <si>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</si>
  <si>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</si>
  <si>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</si>
  <si>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</si>
  <si>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</si>
  <si>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</si>
  <si>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</si>
  <si>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</si>
  <si>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</si>
  <si>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</si>
  <si>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</si>
  <si>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</si>
  <si>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</si>
  <si>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</si>
  <si>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</si>
  <si>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</si>
  <si>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</si>
  <si>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</si>
  <si>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</si>
  <si>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</si>
  <si>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</si>
  <si>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</si>
  <si>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</si>
  <si>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</si>
  <si>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</si>
  <si>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</si>
  <si>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</si>
  <si>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</si>
  <si>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</si>
  <si>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</si>
  <si>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</si>
  <si>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</si>
  <si>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</si>
  <si>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</si>
  <si>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</si>
  <si>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</si>
  <si>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</si>
  <si>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</si>
  <si>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</si>
  <si>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</si>
  <si>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</si>
  <si>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</si>
  <si>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</si>
  <si>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</si>
  <si>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</si>
  <si>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</si>
  <si>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</si>
  <si>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</si>
  <si>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</si>
  <si>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</si>
  <si>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</si>
  <si>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</si>
  <si>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</si>
  <si>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</si>
  <si>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</si>
  <si>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ANIP</t>
  </si>
  <si>
    <t>MOJOSARI</t>
  </si>
  <si>
    <t>TANEN</t>
  </si>
  <si>
    <t>POHJEJER</t>
  </si>
  <si>
    <t>BAMBANG</t>
  </si>
  <si>
    <t>BRANGAL</t>
  </si>
  <si>
    <t>ALVI</t>
  </si>
  <si>
    <t>TARIYANTO</t>
  </si>
  <si>
    <t>s</t>
  </si>
  <si>
    <t>PEMBAYARAN SETORAN SUSU  PADA PETERNAK BAGIAN TANGGAL :  01 S / D 10 AGUSTUS 2026</t>
  </si>
  <si>
    <t>PEMBAYARAN SETORAN SUSU  PADA PETERNAK BAGIAN TANGGAL :  11 S / D 20 AGUSTUS 2026</t>
  </si>
  <si>
    <t>PEMBAYARAN SETORAN SUSU  PADA PETERNAK BAGIAN TANGGAL :  21 S / D 31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</si>
</sst>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41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41" fontId="6" fillId="0" borderId="6" xfId="3" applyFont="1" applyFill="1" applyBorder="1" applyAlignment="1">
      <alignment vertical="center"/>
      <protection locked="0"/>
    </xf>
    <xf numFmtId="41" fontId="7" fillId="0" borderId="6" xfId="3" applyFont="1" applyFill="1" applyBorder="1" applyAlignment="1" applyProtection="1">
      <alignment vertical="center"/>
    </xf>
    <xf numFmtId="41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41" fontId="6" fillId="9" borderId="6" xfId="3" applyFont="1" applyFill="1" applyBorder="1" applyAlignment="1">
      <alignment vertical="center"/>
      <protection locked="0"/>
    </xf>
    <xf numFmtId="41" fontId="6" fillId="0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>
      <alignment horizontal="center" vertical="center"/>
      <protection locked="0"/>
    </xf>
    <xf numFmtId="41" fontId="6" fillId="9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>
      <alignment horizontal="center" vertical="center"/>
      <protection locked="0"/>
    </xf>
    <xf numFmtId="41" fontId="9" fillId="0" borderId="6" xfId="3" applyFont="1" applyFill="1" applyBorder="1" applyAlignment="1" applyProtection="1">
      <alignment vertical="center"/>
    </xf>
    <xf numFmtId="41" fontId="7" fillId="0" borderId="6" xfId="3" quotePrefix="1" applyFont="1" applyFill="1" applyBorder="1" applyAlignment="1">
      <alignment horizontal="center" vertical="center"/>
      <protection locked="0"/>
    </xf>
    <xf numFmtId="41" fontId="6" fillId="0" borderId="6" xfId="3" quotePrefix="1" applyFont="1" applyFill="1" applyBorder="1" applyAlignment="1">
      <alignment horizontal="center" vertical="center"/>
      <protection locked="0"/>
    </xf>
    <xf numFmtId="41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41" fontId="7" fillId="0" borderId="6" xfId="3" quotePrefix="1" applyFont="1" applyFill="1" applyBorder="1" applyAlignment="1">
      <alignment vertical="center"/>
      <protection locked="0"/>
    </xf>
    <xf numFmtId="41" fontId="12" fillId="0" borderId="6" xfId="3" applyFont="1" applyFill="1" applyBorder="1" applyAlignment="1">
      <alignment horizontal="center" vertical="center"/>
      <protection locked="0"/>
    </xf>
    <xf numFmtId="41" fontId="7" fillId="0" borderId="0" xfId="3" applyFont="1" applyFill="1" applyBorder="1" applyAlignment="1" applyProtection="1">
      <alignment vertical="center"/>
    </xf>
    <xf numFmtId="41" fontId="7" fillId="2" borderId="6" xfId="3" applyFont="1" applyFill="1" applyBorder="1" applyAlignment="1">
      <alignment vertical="center"/>
      <protection locked="0"/>
    </xf>
    <xf numFmtId="41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41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41" fontId="7" fillId="0" borderId="6" xfId="3" applyFont="1" applyFill="1" applyBorder="1" applyAlignment="1">
      <protection locked="0"/>
    </xf>
    <xf numFmtId="41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536</xdr:row>
      <xdr:rowOff>57150</xdr:rowOff>
    </xdr:from>
    <xdr:to>
      <xdr:col>12</xdr:col>
      <xdr:colOff>546100</xdr:colOff>
      <xdr:row>539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536</xdr:row>
      <xdr:rowOff>19050</xdr:rowOff>
    </xdr:from>
    <xdr:to>
      <xdr:col>12</xdr:col>
      <xdr:colOff>660400</xdr:colOff>
      <xdr:row>538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view="pageBreakPreview" zoomScaleNormal="100" zoomScaleSheetLayoutView="100" workbookViewId="0">
      <pane xSplit="2" ySplit="3" topLeftCell="C513" activePane="bottomRight" state="frozen"/>
      <selection pane="topRight"/>
      <selection pane="bottomLeft"/>
      <selection pane="bottomRight" activeCell="G482" sqref="G482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382</v>
      </c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2941400</v>
      </c>
      <c r="J5" s="16"/>
      <c r="K5" s="15">
        <v>800000</v>
      </c>
      <c r="L5" s="15">
        <f t="shared" si="0"/>
        <v>7640</v>
      </c>
      <c r="M5" s="16"/>
      <c r="N5" s="16"/>
      <c r="O5" s="15">
        <f t="shared" si="1"/>
        <v>95500</v>
      </c>
      <c r="P5" s="15">
        <f t="shared" si="2"/>
        <v>903140</v>
      </c>
      <c r="Q5" s="15">
        <f t="shared" ref="Q5:Q68" si="5">I5-P5</f>
        <v>2038260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361</v>
      </c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2833850</v>
      </c>
      <c r="J6" s="16"/>
      <c r="K6" s="15">
        <v>600000</v>
      </c>
      <c r="L6" s="15">
        <f t="shared" si="0"/>
        <v>7220</v>
      </c>
      <c r="M6" s="16"/>
      <c r="N6" s="16"/>
      <c r="O6" s="15">
        <f t="shared" si="1"/>
        <v>90250</v>
      </c>
      <c r="P6" s="15">
        <f t="shared" si="2"/>
        <v>697470</v>
      </c>
      <c r="Q6" s="15">
        <f t="shared" si="5"/>
        <v>2136380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350</v>
      </c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2800000</v>
      </c>
      <c r="J9" s="16"/>
      <c r="K9" s="15">
        <v>300000</v>
      </c>
      <c r="L9" s="15">
        <f t="shared" si="0"/>
        <v>7000</v>
      </c>
      <c r="M9" s="16"/>
      <c r="N9" s="16"/>
      <c r="O9" s="15">
        <f t="shared" si="1"/>
        <v>87500</v>
      </c>
      <c r="P9" s="15">
        <f t="shared" si="2"/>
        <v>394500</v>
      </c>
      <c r="Q9" s="15">
        <f t="shared" si="5"/>
        <v>2405500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>
        <v>126</v>
      </c>
      <c r="E11" s="15">
        <v>7100</v>
      </c>
      <c r="F11" s="15">
        <v>350</v>
      </c>
      <c r="G11" s="15">
        <v>400</v>
      </c>
      <c r="H11" s="15">
        <f t="shared" si="3"/>
        <v>7850</v>
      </c>
      <c r="I11" s="15">
        <f t="shared" si="4"/>
        <v>989100</v>
      </c>
      <c r="J11" s="20"/>
      <c r="K11" s="15"/>
      <c r="L11" s="15">
        <f t="shared" si="0"/>
        <v>2520</v>
      </c>
      <c r="M11" s="20"/>
      <c r="N11" s="20"/>
      <c r="O11" s="15">
        <f t="shared" si="1"/>
        <v>31500</v>
      </c>
      <c r="P11" s="15">
        <f t="shared" si="2"/>
        <v>34020</v>
      </c>
      <c r="Q11" s="15">
        <f t="shared" si="5"/>
        <v>955080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216</v>
      </c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1695600</v>
      </c>
      <c r="J18" s="16"/>
      <c r="K18" s="15">
        <v>200000</v>
      </c>
      <c r="L18" s="15">
        <f t="shared" si="0"/>
        <v>4320</v>
      </c>
      <c r="M18" s="16"/>
      <c r="N18" s="16"/>
      <c r="O18" s="15">
        <f t="shared" si="1"/>
        <v>54000</v>
      </c>
      <c r="P18" s="15">
        <f t="shared" si="2"/>
        <v>258320</v>
      </c>
      <c r="Q18" s="15">
        <f t="shared" si="5"/>
        <v>1437280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255</v>
      </c>
      <c r="E27" s="15">
        <v>7100</v>
      </c>
      <c r="F27" s="15">
        <v>350</v>
      </c>
      <c r="G27" s="15">
        <v>200</v>
      </c>
      <c r="H27" s="15">
        <f t="shared" si="3"/>
        <v>7650</v>
      </c>
      <c r="I27" s="15">
        <f t="shared" si="4"/>
        <v>1950750</v>
      </c>
      <c r="J27" s="16"/>
      <c r="K27" s="15">
        <v>400000</v>
      </c>
      <c r="L27" s="15">
        <f t="shared" si="0"/>
        <v>5100</v>
      </c>
      <c r="M27" s="16"/>
      <c r="N27" s="16"/>
      <c r="O27" s="15">
        <f t="shared" si="1"/>
        <v>63750</v>
      </c>
      <c r="P27" s="15">
        <f t="shared" si="2"/>
        <v>468850</v>
      </c>
      <c r="Q27" s="15">
        <f t="shared" si="5"/>
        <v>1481900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85</v>
      </c>
      <c r="E29" s="15">
        <v>7100</v>
      </c>
      <c r="F29" s="15">
        <v>350</v>
      </c>
      <c r="G29" s="15">
        <v>400</v>
      </c>
      <c r="H29" s="15">
        <f t="shared" si="3"/>
        <v>7850</v>
      </c>
      <c r="I29" s="15">
        <f t="shared" si="4"/>
        <v>667250</v>
      </c>
      <c r="J29" s="16"/>
      <c r="K29" s="15">
        <v>200000</v>
      </c>
      <c r="L29" s="15">
        <f t="shared" si="0"/>
        <v>1700</v>
      </c>
      <c r="M29" s="16"/>
      <c r="N29" s="16"/>
      <c r="O29" s="15">
        <f t="shared" si="1"/>
        <v>21250</v>
      </c>
      <c r="P29" s="15">
        <f t="shared" si="2"/>
        <v>222950</v>
      </c>
      <c r="Q29" s="15">
        <f t="shared" si="5"/>
        <v>444300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56</v>
      </c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434000</v>
      </c>
      <c r="J30" s="16"/>
      <c r="K30" s="15">
        <v>200000</v>
      </c>
      <c r="L30" s="15">
        <f t="shared" si="0"/>
        <v>1120</v>
      </c>
      <c r="M30" s="16"/>
      <c r="N30" s="16"/>
      <c r="O30" s="15">
        <f t="shared" si="1"/>
        <v>14000</v>
      </c>
      <c r="P30" s="15">
        <f t="shared" si="2"/>
        <v>215120</v>
      </c>
      <c r="Q30" s="15">
        <f t="shared" si="5"/>
        <v>218880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276</v>
      </c>
      <c r="E35" s="15">
        <v>7100</v>
      </c>
      <c r="F35" s="15">
        <v>200</v>
      </c>
      <c r="G35" s="15">
        <v>200</v>
      </c>
      <c r="H35" s="15">
        <f t="shared" si="3"/>
        <v>7500</v>
      </c>
      <c r="I35" s="15">
        <f t="shared" si="4"/>
        <v>2070000</v>
      </c>
      <c r="J35" s="16"/>
      <c r="K35" s="15"/>
      <c r="L35" s="15">
        <f t="shared" si="0"/>
        <v>5520</v>
      </c>
      <c r="M35" s="16"/>
      <c r="N35" s="16"/>
      <c r="O35" s="15">
        <f t="shared" si="1"/>
        <v>69000</v>
      </c>
      <c r="P35" s="15">
        <f t="shared" si="2"/>
        <v>74520</v>
      </c>
      <c r="Q35" s="15">
        <f t="shared" si="5"/>
        <v>1995480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656</v>
      </c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5084000</v>
      </c>
      <c r="J37" s="16"/>
      <c r="K37" s="15">
        <v>1400000</v>
      </c>
      <c r="L37" s="15">
        <f t="shared" si="0"/>
        <v>13120</v>
      </c>
      <c r="M37" s="20"/>
      <c r="N37" s="20"/>
      <c r="O37" s="15">
        <f t="shared" si="1"/>
        <v>164000</v>
      </c>
      <c r="P37" s="15">
        <f t="shared" si="2"/>
        <v>1577120</v>
      </c>
      <c r="Q37" s="15">
        <f t="shared" si="5"/>
        <v>3506880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226</v>
      </c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1774100</v>
      </c>
      <c r="J40" s="16"/>
      <c r="K40" s="15"/>
      <c r="L40" s="15">
        <f t="shared" si="0"/>
        <v>4520</v>
      </c>
      <c r="M40" s="20"/>
      <c r="N40" s="20"/>
      <c r="O40" s="15">
        <f t="shared" si="1"/>
        <v>56500</v>
      </c>
      <c r="P40" s="15">
        <f t="shared" si="2"/>
        <v>61020</v>
      </c>
      <c r="Q40" s="15">
        <f t="shared" si="5"/>
        <v>1713080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198</v>
      </c>
      <c r="E41" s="15">
        <v>7100</v>
      </c>
      <c r="F41" s="15">
        <v>250</v>
      </c>
      <c r="G41" s="15">
        <v>400</v>
      </c>
      <c r="H41" s="15">
        <f t="shared" si="3"/>
        <v>7750</v>
      </c>
      <c r="I41" s="15">
        <f t="shared" si="4"/>
        <v>1534500</v>
      </c>
      <c r="J41" s="20"/>
      <c r="K41" s="15"/>
      <c r="L41" s="15">
        <f t="shared" si="0"/>
        <v>3960</v>
      </c>
      <c r="M41" s="20"/>
      <c r="N41" s="20"/>
      <c r="O41" s="15">
        <f t="shared" si="1"/>
        <v>49500</v>
      </c>
      <c r="P41" s="15">
        <f t="shared" si="2"/>
        <v>53460</v>
      </c>
      <c r="Q41" s="15">
        <f t="shared" si="5"/>
        <v>1481040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217</v>
      </c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1681750</v>
      </c>
      <c r="J43" s="16"/>
      <c r="K43" s="15"/>
      <c r="L43" s="15">
        <f t="shared" si="0"/>
        <v>4340</v>
      </c>
      <c r="M43" s="16"/>
      <c r="N43" s="16"/>
      <c r="O43" s="15">
        <f t="shared" si="1"/>
        <v>54250</v>
      </c>
      <c r="P43" s="15">
        <f t="shared" si="2"/>
        <v>58590</v>
      </c>
      <c r="Q43" s="15">
        <f t="shared" si="5"/>
        <v>1623160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369</v>
      </c>
      <c r="E50" s="15">
        <v>7100</v>
      </c>
      <c r="F50" s="15">
        <v>350</v>
      </c>
      <c r="G50" s="15">
        <v>400</v>
      </c>
      <c r="H50" s="15">
        <f t="shared" si="3"/>
        <v>7850</v>
      </c>
      <c r="I50" s="15">
        <f t="shared" si="4"/>
        <v>2896650</v>
      </c>
      <c r="J50" s="16"/>
      <c r="K50" s="15">
        <v>1200000</v>
      </c>
      <c r="L50" s="15">
        <f t="shared" si="0"/>
        <v>7380</v>
      </c>
      <c r="M50" s="16"/>
      <c r="N50" s="16"/>
      <c r="O50" s="15">
        <f t="shared" si="1"/>
        <v>92250</v>
      </c>
      <c r="P50" s="15">
        <f t="shared" si="2"/>
        <v>1299630</v>
      </c>
      <c r="Q50" s="15">
        <f t="shared" si="5"/>
        <v>1597020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482</v>
      </c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3687300</v>
      </c>
      <c r="J51" s="16"/>
      <c r="K51" s="15">
        <v>600000</v>
      </c>
      <c r="L51" s="15">
        <f t="shared" si="0"/>
        <v>9640</v>
      </c>
      <c r="M51" s="16"/>
      <c r="N51" s="16"/>
      <c r="O51" s="15">
        <f t="shared" si="1"/>
        <v>120500</v>
      </c>
      <c r="P51" s="15">
        <f t="shared" si="2"/>
        <v>730140</v>
      </c>
      <c r="Q51" s="15">
        <f t="shared" si="5"/>
        <v>2957160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63</v>
      </c>
      <c r="E52" s="15">
        <v>7100</v>
      </c>
      <c r="F52" s="15">
        <v>300</v>
      </c>
      <c r="G52" s="15">
        <v>300</v>
      </c>
      <c r="H52" s="15">
        <f t="shared" si="3"/>
        <v>7700</v>
      </c>
      <c r="I52" s="15">
        <f t="shared" si="4"/>
        <v>485100</v>
      </c>
      <c r="J52" s="16"/>
      <c r="K52" s="15"/>
      <c r="L52" s="15">
        <f t="shared" si="0"/>
        <v>1260</v>
      </c>
      <c r="M52" s="16"/>
      <c r="N52" s="16"/>
      <c r="O52" s="15">
        <f t="shared" si="1"/>
        <v>15750</v>
      </c>
      <c r="P52" s="15">
        <f t="shared" si="2"/>
        <v>17010</v>
      </c>
      <c r="Q52" s="15">
        <f t="shared" si="5"/>
        <v>468090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98</v>
      </c>
      <c r="E53" s="15">
        <v>7100</v>
      </c>
      <c r="F53" s="15">
        <v>250</v>
      </c>
      <c r="G53" s="15">
        <v>400</v>
      </c>
      <c r="H53" s="15">
        <f t="shared" si="3"/>
        <v>7750</v>
      </c>
      <c r="I53" s="15">
        <f t="shared" si="4"/>
        <v>759500</v>
      </c>
      <c r="J53" s="16"/>
      <c r="K53" s="15">
        <v>200000</v>
      </c>
      <c r="L53" s="15">
        <f t="shared" si="0"/>
        <v>1960</v>
      </c>
      <c r="M53" s="16"/>
      <c r="N53" s="16"/>
      <c r="O53" s="15">
        <f t="shared" si="1"/>
        <v>24500</v>
      </c>
      <c r="P53" s="15">
        <f t="shared" si="2"/>
        <v>226460</v>
      </c>
      <c r="Q53" s="15">
        <f t="shared" si="5"/>
        <v>533040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272</v>
      </c>
      <c r="E56" s="15">
        <v>7100</v>
      </c>
      <c r="F56" s="15">
        <v>500</v>
      </c>
      <c r="G56" s="15">
        <v>400</v>
      </c>
      <c r="H56" s="15">
        <f t="shared" si="3"/>
        <v>8000</v>
      </c>
      <c r="I56" s="15">
        <f t="shared" si="4"/>
        <v>2176000</v>
      </c>
      <c r="J56" s="16"/>
      <c r="K56" s="15">
        <v>400000</v>
      </c>
      <c r="L56" s="15">
        <f t="shared" si="0"/>
        <v>5440</v>
      </c>
      <c r="M56" s="20"/>
      <c r="N56" s="20"/>
      <c r="O56" s="15">
        <f t="shared" si="1"/>
        <v>68000</v>
      </c>
      <c r="P56" s="15">
        <f t="shared" si="2"/>
        <v>473440</v>
      </c>
      <c r="Q56" s="15">
        <f t="shared" si="5"/>
        <v>1702560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117</v>
      </c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906750</v>
      </c>
      <c r="J59" s="16"/>
      <c r="K59" s="15">
        <v>200000</v>
      </c>
      <c r="L59" s="15">
        <f t="shared" si="0"/>
        <v>2340</v>
      </c>
      <c r="M59" s="16"/>
      <c r="N59" s="16"/>
      <c r="O59" s="15">
        <f t="shared" si="1"/>
        <v>29250</v>
      </c>
      <c r="P59" s="15">
        <f t="shared" si="2"/>
        <v>231590</v>
      </c>
      <c r="Q59" s="15">
        <f t="shared" si="5"/>
        <v>675160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1217</v>
      </c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9553450</v>
      </c>
      <c r="J62" s="16"/>
      <c r="K62" s="15"/>
      <c r="L62" s="15">
        <f t="shared" si="0"/>
        <v>24340</v>
      </c>
      <c r="M62" s="20"/>
      <c r="N62" s="20"/>
      <c r="O62" s="15">
        <f t="shared" si="1"/>
        <v>304250</v>
      </c>
      <c r="P62" s="15">
        <f t="shared" si="2"/>
        <v>328590</v>
      </c>
      <c r="Q62" s="15">
        <f t="shared" si="5"/>
        <v>9224860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157</v>
      </c>
      <c r="E66" s="15">
        <v>7100</v>
      </c>
      <c r="F66" s="15">
        <v>350</v>
      </c>
      <c r="G66" s="15">
        <v>200</v>
      </c>
      <c r="H66" s="15">
        <f t="shared" si="3"/>
        <v>7650</v>
      </c>
      <c r="I66" s="15">
        <f t="shared" si="4"/>
        <v>1201050</v>
      </c>
      <c r="J66" s="20"/>
      <c r="K66" s="15">
        <v>600000</v>
      </c>
      <c r="L66" s="15">
        <f t="shared" si="0"/>
        <v>3140</v>
      </c>
      <c r="M66" s="20"/>
      <c r="N66" s="20"/>
      <c r="O66" s="15">
        <f t="shared" si="1"/>
        <v>39250</v>
      </c>
      <c r="P66" s="15">
        <f t="shared" si="2"/>
        <v>642390</v>
      </c>
      <c r="Q66" s="15">
        <f t="shared" si="5"/>
        <v>558660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476</v>
      </c>
      <c r="E69" s="15">
        <v>7100</v>
      </c>
      <c r="F69" s="15">
        <v>350</v>
      </c>
      <c r="G69" s="15">
        <v>400</v>
      </c>
      <c r="H69" s="15">
        <f t="shared" si="3"/>
        <v>7850</v>
      </c>
      <c r="I69" s="15">
        <f t="shared" si="4"/>
        <v>3736600</v>
      </c>
      <c r="J69" s="16"/>
      <c r="K69" s="15">
        <v>800000</v>
      </c>
      <c r="L69" s="15">
        <f t="shared" ref="L69:L132" si="6">D69*20</f>
        <v>9520</v>
      </c>
      <c r="M69" s="20"/>
      <c r="N69" s="20"/>
      <c r="O69" s="15">
        <f t="shared" ref="O69:O132" si="7">250*D69</f>
        <v>119000</v>
      </c>
      <c r="P69" s="15">
        <f t="shared" ref="P69:P132" si="8">SUM(J69:O69)</f>
        <v>928520</v>
      </c>
      <c r="Q69" s="15">
        <f t="shared" ref="Q69:Q132" si="9">I69-P69</f>
        <v>2808080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125</v>
      </c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968750</v>
      </c>
      <c r="J72" s="16"/>
      <c r="K72" s="15">
        <v>200000</v>
      </c>
      <c r="L72" s="15">
        <f t="shared" si="6"/>
        <v>2500</v>
      </c>
      <c r="M72" s="20"/>
      <c r="N72" s="20"/>
      <c r="O72" s="15">
        <f t="shared" si="7"/>
        <v>31250</v>
      </c>
      <c r="P72" s="15">
        <f t="shared" si="8"/>
        <v>233750</v>
      </c>
      <c r="Q72" s="15">
        <f t="shared" si="9"/>
        <v>735000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219</v>
      </c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1719150</v>
      </c>
      <c r="J76" s="20"/>
      <c r="K76" s="15"/>
      <c r="L76" s="15">
        <f t="shared" si="6"/>
        <v>4380</v>
      </c>
      <c r="M76" s="20"/>
      <c r="N76" s="20"/>
      <c r="O76" s="15">
        <f t="shared" si="7"/>
        <v>54750</v>
      </c>
      <c r="P76" s="15">
        <f t="shared" si="8"/>
        <v>59130</v>
      </c>
      <c r="Q76" s="15">
        <f t="shared" si="9"/>
        <v>1660020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672</v>
      </c>
      <c r="E78" s="15">
        <v>7100</v>
      </c>
      <c r="F78" s="15">
        <v>500</v>
      </c>
      <c r="G78" s="15">
        <v>400</v>
      </c>
      <c r="H78" s="15">
        <f t="shared" si="10"/>
        <v>8000</v>
      </c>
      <c r="I78" s="15">
        <f t="shared" si="11"/>
        <v>5376000</v>
      </c>
      <c r="J78" s="16"/>
      <c r="K78" s="15">
        <v>1600000</v>
      </c>
      <c r="L78" s="15">
        <f t="shared" si="6"/>
        <v>13440</v>
      </c>
      <c r="M78" s="20"/>
      <c r="N78" s="20"/>
      <c r="O78" s="15">
        <f t="shared" si="7"/>
        <v>168000</v>
      </c>
      <c r="P78" s="15">
        <f t="shared" si="8"/>
        <v>1781440</v>
      </c>
      <c r="Q78" s="15">
        <f t="shared" si="9"/>
        <v>3594560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139</v>
      </c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1091150</v>
      </c>
      <c r="J83" s="16"/>
      <c r="K83" s="15">
        <v>400000</v>
      </c>
      <c r="L83" s="15">
        <f t="shared" si="6"/>
        <v>2780</v>
      </c>
      <c r="M83" s="20"/>
      <c r="N83" s="20"/>
      <c r="O83" s="15">
        <f t="shared" si="7"/>
        <v>34750</v>
      </c>
      <c r="P83" s="15">
        <f t="shared" si="8"/>
        <v>437530</v>
      </c>
      <c r="Q83" s="15">
        <f t="shared" si="9"/>
        <v>653620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175</v>
      </c>
      <c r="E85" s="15">
        <v>7100</v>
      </c>
      <c r="F85" s="15">
        <v>350</v>
      </c>
      <c r="G85" s="15">
        <v>400</v>
      </c>
      <c r="H85" s="15">
        <f t="shared" si="10"/>
        <v>7850</v>
      </c>
      <c r="I85" s="15">
        <f t="shared" si="11"/>
        <v>1373750</v>
      </c>
      <c r="J85" s="16"/>
      <c r="K85" s="15">
        <v>800000</v>
      </c>
      <c r="L85" s="15">
        <f t="shared" si="6"/>
        <v>3500</v>
      </c>
      <c r="M85" s="20"/>
      <c r="N85" s="20"/>
      <c r="O85" s="15">
        <f t="shared" si="7"/>
        <v>43750</v>
      </c>
      <c r="P85" s="15">
        <f t="shared" si="8"/>
        <v>847250</v>
      </c>
      <c r="Q85" s="15">
        <f t="shared" si="9"/>
        <v>526500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116</v>
      </c>
      <c r="E92" s="15">
        <v>7100</v>
      </c>
      <c r="F92" s="15">
        <v>350</v>
      </c>
      <c r="G92" s="15">
        <v>400</v>
      </c>
      <c r="H92" s="15">
        <f t="shared" si="10"/>
        <v>7850</v>
      </c>
      <c r="I92" s="15">
        <f t="shared" si="11"/>
        <v>910600</v>
      </c>
      <c r="J92" s="16"/>
      <c r="K92" s="15"/>
      <c r="L92" s="15">
        <f t="shared" si="6"/>
        <v>2320</v>
      </c>
      <c r="M92" s="16"/>
      <c r="N92" s="16"/>
      <c r="O92" s="15">
        <f t="shared" si="7"/>
        <v>29000</v>
      </c>
      <c r="P92" s="15">
        <f t="shared" si="8"/>
        <v>31320</v>
      </c>
      <c r="Q92" s="15">
        <f t="shared" si="9"/>
        <v>879280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194</v>
      </c>
      <c r="E95" s="15">
        <v>7100</v>
      </c>
      <c r="F95" s="15">
        <v>350</v>
      </c>
      <c r="G95" s="15">
        <v>200</v>
      </c>
      <c r="H95" s="15">
        <f t="shared" si="10"/>
        <v>7650</v>
      </c>
      <c r="I95" s="15">
        <f t="shared" si="11"/>
        <v>1484100</v>
      </c>
      <c r="J95" s="16"/>
      <c r="K95" s="15"/>
      <c r="L95" s="15">
        <f t="shared" si="6"/>
        <v>3880</v>
      </c>
      <c r="M95" s="20"/>
      <c r="N95" s="20"/>
      <c r="O95" s="15">
        <f t="shared" si="7"/>
        <v>48500</v>
      </c>
      <c r="P95" s="15">
        <f t="shared" si="8"/>
        <v>52380</v>
      </c>
      <c r="Q95" s="15">
        <f t="shared" si="9"/>
        <v>1431720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162</v>
      </c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1215000</v>
      </c>
      <c r="J102" s="16"/>
      <c r="K102" s="15"/>
      <c r="L102" s="15">
        <f t="shared" si="6"/>
        <v>3240</v>
      </c>
      <c r="M102" s="20"/>
      <c r="N102" s="20"/>
      <c r="O102" s="15">
        <f t="shared" si="7"/>
        <v>40500</v>
      </c>
      <c r="P102" s="15">
        <f t="shared" si="8"/>
        <v>43740</v>
      </c>
      <c r="Q102" s="15">
        <f t="shared" si="9"/>
        <v>1171260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997</v>
      </c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7976000</v>
      </c>
      <c r="J114" s="16"/>
      <c r="K114" s="15"/>
      <c r="L114" s="15">
        <f t="shared" si="6"/>
        <v>19940</v>
      </c>
      <c r="M114" s="16"/>
      <c r="N114" s="16"/>
      <c r="O114" s="15">
        <f t="shared" si="7"/>
        <v>249250</v>
      </c>
      <c r="P114" s="15">
        <f t="shared" si="8"/>
        <v>269190</v>
      </c>
      <c r="Q114" s="15">
        <f t="shared" si="9"/>
        <v>7706810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39</v>
      </c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312000</v>
      </c>
      <c r="J118" s="20"/>
      <c r="K118" s="15">
        <v>420000</v>
      </c>
      <c r="L118" s="15">
        <f t="shared" si="6"/>
        <v>780</v>
      </c>
      <c r="M118" s="16"/>
      <c r="N118" s="16"/>
      <c r="O118" s="15">
        <f t="shared" si="7"/>
        <v>9750</v>
      </c>
      <c r="P118" s="15">
        <f t="shared" si="8"/>
        <v>430530</v>
      </c>
      <c r="Q118" s="15">
        <f t="shared" si="9"/>
        <v>-118530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241</v>
      </c>
      <c r="E119" s="15">
        <v>7100</v>
      </c>
      <c r="F119" s="15">
        <v>350</v>
      </c>
      <c r="G119" s="15">
        <v>400</v>
      </c>
      <c r="H119" s="15">
        <f t="shared" si="10"/>
        <v>7850</v>
      </c>
      <c r="I119" s="15">
        <f t="shared" si="11"/>
        <v>1891850</v>
      </c>
      <c r="J119" s="16"/>
      <c r="K119" s="15"/>
      <c r="L119" s="15">
        <f t="shared" si="6"/>
        <v>4820</v>
      </c>
      <c r="M119" s="16"/>
      <c r="N119" s="16"/>
      <c r="O119" s="15">
        <f t="shared" si="7"/>
        <v>60250</v>
      </c>
      <c r="P119" s="15">
        <f t="shared" si="8"/>
        <v>65070</v>
      </c>
      <c r="Q119" s="15">
        <f t="shared" si="9"/>
        <v>1826780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/>
      <c r="E120" s="15">
        <v>7100</v>
      </c>
      <c r="F120" s="15">
        <v>350</v>
      </c>
      <c r="G120" s="15">
        <v>400</v>
      </c>
      <c r="H120" s="15">
        <f t="shared" si="10"/>
        <v>7850</v>
      </c>
      <c r="I120" s="15">
        <f t="shared" si="11"/>
        <v>0</v>
      </c>
      <c r="J120" s="16"/>
      <c r="K120" s="15">
        <v>200000</v>
      </c>
      <c r="L120" s="15">
        <f t="shared" si="6"/>
        <v>0</v>
      </c>
      <c r="M120" s="16"/>
      <c r="N120" s="16"/>
      <c r="O120" s="15">
        <f t="shared" si="7"/>
        <v>0</v>
      </c>
      <c r="P120" s="15">
        <f t="shared" si="8"/>
        <v>200000</v>
      </c>
      <c r="Q120" s="15">
        <f t="shared" si="9"/>
        <v>-200000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154</v>
      </c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1185800</v>
      </c>
      <c r="J121" s="16"/>
      <c r="K121" s="15">
        <v>600000</v>
      </c>
      <c r="L121" s="15">
        <f t="shared" si="6"/>
        <v>3080</v>
      </c>
      <c r="M121" s="16"/>
      <c r="N121" s="16"/>
      <c r="O121" s="15">
        <f t="shared" si="7"/>
        <v>38500</v>
      </c>
      <c r="P121" s="15">
        <f t="shared" si="8"/>
        <v>641580</v>
      </c>
      <c r="Q121" s="15">
        <f t="shared" si="9"/>
        <v>544220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64</v>
      </c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505600</v>
      </c>
      <c r="J123" s="20"/>
      <c r="K123" s="15">
        <v>200000</v>
      </c>
      <c r="L123" s="15">
        <f t="shared" si="6"/>
        <v>1280</v>
      </c>
      <c r="M123" s="20"/>
      <c r="N123" s="20"/>
      <c r="O123" s="15">
        <f t="shared" si="7"/>
        <v>16000</v>
      </c>
      <c r="P123" s="15">
        <f t="shared" si="8"/>
        <v>217280</v>
      </c>
      <c r="Q123" s="15">
        <f t="shared" si="9"/>
        <v>288320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221</v>
      </c>
      <c r="E126" s="15">
        <v>7100</v>
      </c>
      <c r="F126" s="15">
        <v>350</v>
      </c>
      <c r="G126" s="15">
        <v>400</v>
      </c>
      <c r="H126" s="15">
        <f t="shared" si="10"/>
        <v>7850</v>
      </c>
      <c r="I126" s="15">
        <f t="shared" si="11"/>
        <v>1734850</v>
      </c>
      <c r="J126" s="16"/>
      <c r="K126" s="15">
        <v>100000</v>
      </c>
      <c r="L126" s="15">
        <f t="shared" si="6"/>
        <v>4420</v>
      </c>
      <c r="M126" s="20"/>
      <c r="N126" s="20"/>
      <c r="O126" s="15">
        <f t="shared" si="7"/>
        <v>55250</v>
      </c>
      <c r="P126" s="15">
        <f t="shared" si="8"/>
        <v>159670</v>
      </c>
      <c r="Q126" s="15">
        <f t="shared" si="9"/>
        <v>1575180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172</v>
      </c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1324400</v>
      </c>
      <c r="J127" s="20"/>
      <c r="K127" s="15"/>
      <c r="L127" s="15">
        <f t="shared" si="6"/>
        <v>3440</v>
      </c>
      <c r="M127" s="16"/>
      <c r="N127" s="16"/>
      <c r="O127" s="15">
        <f t="shared" si="7"/>
        <v>43000</v>
      </c>
      <c r="P127" s="15">
        <f t="shared" si="8"/>
        <v>46440</v>
      </c>
      <c r="Q127" s="15">
        <f t="shared" si="9"/>
        <v>1277960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133</v>
      </c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1064000</v>
      </c>
      <c r="J128" s="16"/>
      <c r="K128" s="15"/>
      <c r="L128" s="15">
        <f t="shared" si="6"/>
        <v>2660</v>
      </c>
      <c r="M128" s="16"/>
      <c r="N128" s="16"/>
      <c r="O128" s="15">
        <f t="shared" si="7"/>
        <v>33250</v>
      </c>
      <c r="P128" s="15">
        <f t="shared" si="8"/>
        <v>35910</v>
      </c>
      <c r="Q128" s="15">
        <f t="shared" si="9"/>
        <v>1028090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306</v>
      </c>
      <c r="E129" s="15">
        <v>7100</v>
      </c>
      <c r="F129" s="15">
        <v>250</v>
      </c>
      <c r="G129" s="15">
        <v>300</v>
      </c>
      <c r="H129" s="15">
        <f t="shared" si="10"/>
        <v>7650</v>
      </c>
      <c r="I129" s="15">
        <f t="shared" si="11"/>
        <v>2340900</v>
      </c>
      <c r="J129" s="16"/>
      <c r="K129" s="23">
        <v>600000</v>
      </c>
      <c r="L129" s="15">
        <f t="shared" si="6"/>
        <v>6120</v>
      </c>
      <c r="M129" s="16"/>
      <c r="N129" s="16"/>
      <c r="O129" s="15">
        <f t="shared" si="7"/>
        <v>76500</v>
      </c>
      <c r="P129" s="15">
        <f t="shared" si="8"/>
        <v>682620</v>
      </c>
      <c r="Q129" s="15">
        <f t="shared" si="9"/>
        <v>1658280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715</v>
      </c>
      <c r="E130" s="15">
        <v>7100</v>
      </c>
      <c r="F130" s="15">
        <v>250</v>
      </c>
      <c r="G130" s="15">
        <v>300</v>
      </c>
      <c r="H130" s="15">
        <f t="shared" si="10"/>
        <v>7650</v>
      </c>
      <c r="I130" s="15">
        <f t="shared" si="11"/>
        <v>5469750</v>
      </c>
      <c r="J130" s="16"/>
      <c r="K130" s="15">
        <v>400000</v>
      </c>
      <c r="L130" s="15">
        <f t="shared" si="6"/>
        <v>14300</v>
      </c>
      <c r="M130" s="20"/>
      <c r="N130" s="20"/>
      <c r="O130" s="15">
        <f t="shared" si="7"/>
        <v>178750</v>
      </c>
      <c r="P130" s="15">
        <f t="shared" si="8"/>
        <v>593050</v>
      </c>
      <c r="Q130" s="15">
        <f t="shared" si="9"/>
        <v>4876700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202</v>
      </c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1515000</v>
      </c>
      <c r="J133" s="16"/>
      <c r="K133" s="15"/>
      <c r="L133" s="15">
        <f t="shared" ref="L133:L196" si="12">D133*20</f>
        <v>4040</v>
      </c>
      <c r="M133" s="20"/>
      <c r="N133" s="20"/>
      <c r="O133" s="15">
        <f t="shared" ref="O133:O196" si="13">250*D133</f>
        <v>50500</v>
      </c>
      <c r="P133" s="15">
        <f t="shared" ref="P133:P196" si="14">SUM(J133:O133)</f>
        <v>54540</v>
      </c>
      <c r="Q133" s="15">
        <f t="shared" ref="Q133:Q196" si="15">I133-P133</f>
        <v>1460460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134</v>
      </c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1051900</v>
      </c>
      <c r="J134" s="20"/>
      <c r="K134" s="15"/>
      <c r="L134" s="15">
        <f t="shared" si="12"/>
        <v>2680</v>
      </c>
      <c r="M134" s="20"/>
      <c r="N134" s="20"/>
      <c r="O134" s="15">
        <f t="shared" si="13"/>
        <v>33500</v>
      </c>
      <c r="P134" s="15">
        <f t="shared" si="14"/>
        <v>36180</v>
      </c>
      <c r="Q134" s="15">
        <f t="shared" si="15"/>
        <v>1015720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350</v>
      </c>
      <c r="G135" s="15">
        <v>400</v>
      </c>
      <c r="H135" s="15">
        <f t="shared" si="16"/>
        <v>7850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228</v>
      </c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1789800</v>
      </c>
      <c r="J139" s="16"/>
      <c r="K139" s="15">
        <v>600000</v>
      </c>
      <c r="L139" s="15">
        <f t="shared" si="12"/>
        <v>4560</v>
      </c>
      <c r="M139" s="16"/>
      <c r="N139" s="16"/>
      <c r="O139" s="15">
        <f t="shared" si="13"/>
        <v>57000</v>
      </c>
      <c r="P139" s="15">
        <f t="shared" si="14"/>
        <v>661560</v>
      </c>
      <c r="Q139" s="15">
        <f t="shared" si="15"/>
        <v>1128240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126</v>
      </c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989100</v>
      </c>
      <c r="J145" s="16"/>
      <c r="K145" s="15"/>
      <c r="L145" s="15">
        <f t="shared" si="12"/>
        <v>2520</v>
      </c>
      <c r="M145" s="16"/>
      <c r="N145" s="16"/>
      <c r="O145" s="15">
        <f t="shared" si="13"/>
        <v>31500</v>
      </c>
      <c r="P145" s="15">
        <f t="shared" si="14"/>
        <v>34020</v>
      </c>
      <c r="Q145" s="15">
        <f t="shared" si="15"/>
        <v>955080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81</v>
      </c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627750</v>
      </c>
      <c r="J146" s="16"/>
      <c r="K146" s="15"/>
      <c r="L146" s="15">
        <f t="shared" si="12"/>
        <v>1620</v>
      </c>
      <c r="M146" s="16"/>
      <c r="N146" s="16"/>
      <c r="O146" s="15">
        <f t="shared" si="13"/>
        <v>20250</v>
      </c>
      <c r="P146" s="15">
        <f t="shared" si="14"/>
        <v>21870</v>
      </c>
      <c r="Q146" s="15">
        <f t="shared" si="15"/>
        <v>605880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261</v>
      </c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2048850</v>
      </c>
      <c r="J149" s="16"/>
      <c r="K149" s="15"/>
      <c r="L149" s="15">
        <f t="shared" si="12"/>
        <v>5220</v>
      </c>
      <c r="M149" s="16"/>
      <c r="N149" s="16"/>
      <c r="O149" s="15">
        <f t="shared" si="13"/>
        <v>65250</v>
      </c>
      <c r="P149" s="15">
        <f t="shared" si="14"/>
        <v>70470</v>
      </c>
      <c r="Q149" s="15">
        <f t="shared" si="15"/>
        <v>1978380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23</v>
      </c>
      <c r="E156" s="15">
        <v>7100</v>
      </c>
      <c r="F156" s="15">
        <v>250</v>
      </c>
      <c r="G156" s="15">
        <v>400</v>
      </c>
      <c r="H156" s="15">
        <f t="shared" si="16"/>
        <v>7750</v>
      </c>
      <c r="I156" s="15">
        <f t="shared" si="17"/>
        <v>178250</v>
      </c>
      <c r="J156" s="16"/>
      <c r="K156" s="15">
        <v>400000</v>
      </c>
      <c r="L156" s="15">
        <f t="shared" si="12"/>
        <v>460</v>
      </c>
      <c r="M156" s="20"/>
      <c r="N156" s="20"/>
      <c r="O156" s="15">
        <f t="shared" si="13"/>
        <v>5750</v>
      </c>
      <c r="P156" s="15">
        <f t="shared" si="14"/>
        <v>406210</v>
      </c>
      <c r="Q156" s="15">
        <f t="shared" si="15"/>
        <v>-227960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182</v>
      </c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1428700</v>
      </c>
      <c r="J157" s="20"/>
      <c r="K157" s="15"/>
      <c r="L157" s="15">
        <f t="shared" si="12"/>
        <v>3640</v>
      </c>
      <c r="M157" s="16"/>
      <c r="N157" s="16"/>
      <c r="O157" s="15">
        <f t="shared" si="13"/>
        <v>45500</v>
      </c>
      <c r="P157" s="15">
        <f t="shared" si="14"/>
        <v>49140</v>
      </c>
      <c r="Q157" s="15">
        <f t="shared" si="15"/>
        <v>1379560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227</v>
      </c>
      <c r="E165" s="15">
        <v>7100</v>
      </c>
      <c r="F165" s="15">
        <v>350</v>
      </c>
      <c r="G165" s="15">
        <v>400</v>
      </c>
      <c r="H165" s="15">
        <f t="shared" si="16"/>
        <v>7850</v>
      </c>
      <c r="I165" s="15">
        <f t="shared" si="17"/>
        <v>1781950</v>
      </c>
      <c r="J165" s="16"/>
      <c r="K165" s="15">
        <v>400000</v>
      </c>
      <c r="L165" s="15">
        <f t="shared" si="12"/>
        <v>4540</v>
      </c>
      <c r="M165" s="20"/>
      <c r="N165" s="20"/>
      <c r="O165" s="15">
        <f t="shared" si="13"/>
        <v>56750</v>
      </c>
      <c r="P165" s="15">
        <f t="shared" si="14"/>
        <v>461290</v>
      </c>
      <c r="Q165" s="15">
        <f t="shared" si="15"/>
        <v>1320660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286</v>
      </c>
      <c r="E169" s="15">
        <v>7100</v>
      </c>
      <c r="F169" s="15">
        <v>250</v>
      </c>
      <c r="G169" s="15">
        <v>300</v>
      </c>
      <c r="H169" s="15">
        <f t="shared" si="16"/>
        <v>7650</v>
      </c>
      <c r="I169" s="15">
        <f t="shared" si="17"/>
        <v>2187900</v>
      </c>
      <c r="J169" s="16"/>
      <c r="K169" s="15">
        <v>800000</v>
      </c>
      <c r="L169" s="15">
        <f t="shared" si="12"/>
        <v>5720</v>
      </c>
      <c r="M169" s="16"/>
      <c r="N169" s="16"/>
      <c r="O169" s="15">
        <f t="shared" si="13"/>
        <v>71500</v>
      </c>
      <c r="P169" s="15">
        <f t="shared" si="14"/>
        <v>877220</v>
      </c>
      <c r="Q169" s="15">
        <f t="shared" si="15"/>
        <v>1310680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295</v>
      </c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2286250</v>
      </c>
      <c r="J175" s="16"/>
      <c r="K175" s="15">
        <v>200000</v>
      </c>
      <c r="L175" s="15">
        <f t="shared" si="12"/>
        <v>5900</v>
      </c>
      <c r="M175" s="16"/>
      <c r="N175" s="16"/>
      <c r="O175" s="15">
        <f t="shared" si="13"/>
        <v>73750</v>
      </c>
      <c r="P175" s="15">
        <f t="shared" si="14"/>
        <v>279650</v>
      </c>
      <c r="Q175" s="15">
        <f t="shared" si="15"/>
        <v>2006600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>
        <v>400000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400000</v>
      </c>
      <c r="Q180" s="15">
        <f t="shared" si="15"/>
        <v>-400000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46</v>
      </c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361100</v>
      </c>
      <c r="J182" s="16"/>
      <c r="K182" s="15"/>
      <c r="L182" s="15">
        <f t="shared" si="12"/>
        <v>920</v>
      </c>
      <c r="M182" s="20"/>
      <c r="N182" s="20"/>
      <c r="O182" s="15">
        <f t="shared" si="13"/>
        <v>11500</v>
      </c>
      <c r="P182" s="15">
        <f t="shared" si="14"/>
        <v>12420</v>
      </c>
      <c r="Q182" s="15">
        <f t="shared" si="15"/>
        <v>348680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/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0</v>
      </c>
      <c r="J185" s="16"/>
      <c r="K185" s="15">
        <v>400000</v>
      </c>
      <c r="L185" s="15">
        <f t="shared" si="12"/>
        <v>0</v>
      </c>
      <c r="M185" s="20"/>
      <c r="N185" s="20"/>
      <c r="O185" s="15">
        <f t="shared" si="13"/>
        <v>0</v>
      </c>
      <c r="P185" s="15">
        <f t="shared" si="14"/>
        <v>400000</v>
      </c>
      <c r="Q185" s="15">
        <f t="shared" si="15"/>
        <v>-400000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115</v>
      </c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902750</v>
      </c>
      <c r="J187" s="16"/>
      <c r="K187" s="15">
        <v>400000</v>
      </c>
      <c r="L187" s="15">
        <f t="shared" si="12"/>
        <v>2300</v>
      </c>
      <c r="M187" s="20"/>
      <c r="N187" s="20"/>
      <c r="O187" s="15">
        <f t="shared" si="13"/>
        <v>28750</v>
      </c>
      <c r="P187" s="15">
        <f t="shared" si="14"/>
        <v>431050</v>
      </c>
      <c r="Q187" s="15">
        <f t="shared" si="15"/>
        <v>471700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702</v>
      </c>
      <c r="E189" s="15">
        <v>7100</v>
      </c>
      <c r="F189" s="15">
        <v>250</v>
      </c>
      <c r="G189" s="15">
        <v>300</v>
      </c>
      <c r="H189" s="15">
        <f t="shared" si="16"/>
        <v>7650</v>
      </c>
      <c r="I189" s="15">
        <f t="shared" si="17"/>
        <v>5370300</v>
      </c>
      <c r="J189" s="20"/>
      <c r="K189" s="15"/>
      <c r="L189" s="15">
        <f t="shared" si="12"/>
        <v>14040</v>
      </c>
      <c r="M189" s="20"/>
      <c r="N189" s="20"/>
      <c r="O189" s="15">
        <f t="shared" si="13"/>
        <v>175500</v>
      </c>
      <c r="P189" s="15">
        <f t="shared" si="14"/>
        <v>189540</v>
      </c>
      <c r="Q189" s="15">
        <f t="shared" si="15"/>
        <v>5180760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272</v>
      </c>
      <c r="E193" s="15">
        <v>7100</v>
      </c>
      <c r="F193" s="15">
        <v>350</v>
      </c>
      <c r="G193" s="15">
        <v>300</v>
      </c>
      <c r="H193" s="15">
        <f t="shared" si="16"/>
        <v>7750</v>
      </c>
      <c r="I193" s="15">
        <f t="shared" si="17"/>
        <v>2108000</v>
      </c>
      <c r="J193" s="16"/>
      <c r="K193" s="15"/>
      <c r="L193" s="15">
        <f t="shared" si="12"/>
        <v>5440</v>
      </c>
      <c r="M193" s="16"/>
      <c r="N193" s="16"/>
      <c r="O193" s="15">
        <f t="shared" si="13"/>
        <v>68000</v>
      </c>
      <c r="P193" s="15">
        <f t="shared" si="14"/>
        <v>73440</v>
      </c>
      <c r="Q193" s="15">
        <f t="shared" si="15"/>
        <v>2034560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8</v>
      </c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64000</v>
      </c>
      <c r="J200" s="16"/>
      <c r="K200" s="15"/>
      <c r="L200" s="15">
        <f t="shared" si="18"/>
        <v>160</v>
      </c>
      <c r="M200" s="16"/>
      <c r="N200" s="16"/>
      <c r="O200" s="15">
        <f t="shared" si="19"/>
        <v>2000</v>
      </c>
      <c r="P200" s="15">
        <f t="shared" si="20"/>
        <v>2160</v>
      </c>
      <c r="Q200" s="15">
        <f t="shared" si="21"/>
        <v>61840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67</v>
      </c>
      <c r="E203" s="15">
        <v>7100</v>
      </c>
      <c r="F203" s="15">
        <v>250</v>
      </c>
      <c r="G203" s="15">
        <v>400</v>
      </c>
      <c r="H203" s="15">
        <f t="shared" si="22"/>
        <v>7750</v>
      </c>
      <c r="I203" s="15">
        <f t="shared" si="23"/>
        <v>519250</v>
      </c>
      <c r="J203" s="16"/>
      <c r="K203" s="15">
        <v>400000</v>
      </c>
      <c r="L203" s="15">
        <f t="shared" si="18"/>
        <v>1340</v>
      </c>
      <c r="M203" s="20"/>
      <c r="N203" s="20"/>
      <c r="O203" s="15">
        <f t="shared" si="19"/>
        <v>16750</v>
      </c>
      <c r="P203" s="15">
        <f t="shared" si="20"/>
        <v>418090</v>
      </c>
      <c r="Q203" s="15">
        <f t="shared" si="21"/>
        <v>101160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131</v>
      </c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1048000</v>
      </c>
      <c r="J211" s="16"/>
      <c r="K211" s="15">
        <v>200000</v>
      </c>
      <c r="L211" s="15">
        <f t="shared" si="18"/>
        <v>2620</v>
      </c>
      <c r="M211" s="16"/>
      <c r="N211" s="16"/>
      <c r="O211" s="15">
        <f t="shared" si="19"/>
        <v>32750</v>
      </c>
      <c r="P211" s="15">
        <f t="shared" si="20"/>
        <v>235370</v>
      </c>
      <c r="Q211" s="15">
        <f t="shared" si="21"/>
        <v>812630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152</v>
      </c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1178000</v>
      </c>
      <c r="J220" s="16"/>
      <c r="K220" s="15">
        <v>200000</v>
      </c>
      <c r="L220" s="15">
        <f t="shared" si="18"/>
        <v>3040</v>
      </c>
      <c r="M220" s="16"/>
      <c r="N220" s="16"/>
      <c r="O220" s="15">
        <f t="shared" si="19"/>
        <v>38000</v>
      </c>
      <c r="P220" s="15">
        <f t="shared" si="20"/>
        <v>241040</v>
      </c>
      <c r="Q220" s="15">
        <f t="shared" si="21"/>
        <v>936960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103</v>
      </c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824000</v>
      </c>
      <c r="J222" s="16"/>
      <c r="K222" s="15">
        <v>200000</v>
      </c>
      <c r="L222" s="15">
        <f t="shared" si="18"/>
        <v>2060</v>
      </c>
      <c r="M222" s="16"/>
      <c r="N222" s="16"/>
      <c r="O222" s="15">
        <f t="shared" si="19"/>
        <v>25750</v>
      </c>
      <c r="P222" s="15">
        <f t="shared" si="20"/>
        <v>227810</v>
      </c>
      <c r="Q222" s="15">
        <f t="shared" si="21"/>
        <v>596190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155</v>
      </c>
      <c r="E225" s="15">
        <v>7100</v>
      </c>
      <c r="F225" s="15">
        <v>350</v>
      </c>
      <c r="G225" s="15">
        <v>400</v>
      </c>
      <c r="H225" s="15">
        <f t="shared" si="22"/>
        <v>7850</v>
      </c>
      <c r="I225" s="15">
        <f t="shared" si="23"/>
        <v>1216750</v>
      </c>
      <c r="J225" s="16"/>
      <c r="K225" s="15">
        <v>400000</v>
      </c>
      <c r="L225" s="15">
        <f t="shared" si="18"/>
        <v>3100</v>
      </c>
      <c r="M225" s="20"/>
      <c r="N225" s="20"/>
      <c r="O225" s="15">
        <f t="shared" si="19"/>
        <v>38750</v>
      </c>
      <c r="P225" s="15">
        <f t="shared" si="20"/>
        <v>441850</v>
      </c>
      <c r="Q225" s="15">
        <f t="shared" si="21"/>
        <v>774900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224</v>
      </c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1758400</v>
      </c>
      <c r="J228" s="16"/>
      <c r="K228" s="15">
        <v>400000</v>
      </c>
      <c r="L228" s="15">
        <f t="shared" si="18"/>
        <v>4480</v>
      </c>
      <c r="M228" s="20"/>
      <c r="N228" s="20"/>
      <c r="O228" s="15">
        <f t="shared" si="19"/>
        <v>56000</v>
      </c>
      <c r="P228" s="15">
        <f t="shared" si="20"/>
        <v>460480</v>
      </c>
      <c r="Q228" s="15">
        <f t="shared" si="21"/>
        <v>1297920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159</v>
      </c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1272000</v>
      </c>
      <c r="J231" s="16"/>
      <c r="K231" s="15">
        <v>600000</v>
      </c>
      <c r="L231" s="15">
        <f t="shared" si="18"/>
        <v>3180</v>
      </c>
      <c r="M231" s="16"/>
      <c r="N231" s="16"/>
      <c r="O231" s="15">
        <f t="shared" si="19"/>
        <v>39750</v>
      </c>
      <c r="P231" s="15">
        <f t="shared" si="20"/>
        <v>642930</v>
      </c>
      <c r="Q231" s="15">
        <f t="shared" si="21"/>
        <v>629070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189</v>
      </c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1464750</v>
      </c>
      <c r="J237" s="16"/>
      <c r="K237" s="15">
        <v>400000</v>
      </c>
      <c r="L237" s="15">
        <f t="shared" si="18"/>
        <v>3780</v>
      </c>
      <c r="M237" s="20"/>
      <c r="N237" s="20"/>
      <c r="O237" s="15">
        <f t="shared" si="19"/>
        <v>47250</v>
      </c>
      <c r="P237" s="15">
        <f t="shared" si="20"/>
        <v>451030</v>
      </c>
      <c r="Q237" s="15">
        <f t="shared" si="21"/>
        <v>1013720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143</v>
      </c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1122550</v>
      </c>
      <c r="J238" s="20"/>
      <c r="K238" s="15">
        <v>400000</v>
      </c>
      <c r="L238" s="15">
        <f t="shared" si="18"/>
        <v>2860</v>
      </c>
      <c r="M238" s="20"/>
      <c r="N238" s="20"/>
      <c r="O238" s="15">
        <f t="shared" si="19"/>
        <v>35750</v>
      </c>
      <c r="P238" s="15">
        <f t="shared" si="20"/>
        <v>438610</v>
      </c>
      <c r="Q238" s="15">
        <f t="shared" si="21"/>
        <v>683940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245</v>
      </c>
      <c r="E246" s="15">
        <v>7100</v>
      </c>
      <c r="F246" s="15">
        <v>500</v>
      </c>
      <c r="G246" s="15">
        <v>400</v>
      </c>
      <c r="H246" s="15">
        <f t="shared" si="22"/>
        <v>8000</v>
      </c>
      <c r="I246" s="15">
        <f t="shared" si="23"/>
        <v>1960000</v>
      </c>
      <c r="J246" s="16"/>
      <c r="K246" s="15">
        <v>600000</v>
      </c>
      <c r="L246" s="15">
        <f t="shared" si="18"/>
        <v>4900</v>
      </c>
      <c r="M246" s="16"/>
      <c r="N246" s="16"/>
      <c r="O246" s="15">
        <f t="shared" si="19"/>
        <v>61250</v>
      </c>
      <c r="P246" s="15">
        <f t="shared" si="20"/>
        <v>666150</v>
      </c>
      <c r="Q246" s="15">
        <f t="shared" si="21"/>
        <v>1293850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123</v>
      </c>
      <c r="E247" s="15">
        <v>7100</v>
      </c>
      <c r="F247" s="15">
        <v>350</v>
      </c>
      <c r="G247" s="15">
        <v>400</v>
      </c>
      <c r="H247" s="15">
        <f t="shared" si="22"/>
        <v>7850</v>
      </c>
      <c r="I247" s="15">
        <f t="shared" si="23"/>
        <v>965550</v>
      </c>
      <c r="J247" s="16"/>
      <c r="K247" s="15">
        <v>400000</v>
      </c>
      <c r="L247" s="15">
        <f t="shared" si="18"/>
        <v>2460</v>
      </c>
      <c r="M247" s="20"/>
      <c r="N247" s="20"/>
      <c r="O247" s="15">
        <f t="shared" si="19"/>
        <v>30750</v>
      </c>
      <c r="P247" s="15">
        <f t="shared" si="20"/>
        <v>433210</v>
      </c>
      <c r="Q247" s="15">
        <f t="shared" si="21"/>
        <v>532340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54</v>
      </c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418500</v>
      </c>
      <c r="J253" s="20"/>
      <c r="K253" s="15">
        <v>400000</v>
      </c>
      <c r="L253" s="15">
        <f t="shared" si="18"/>
        <v>1080</v>
      </c>
      <c r="M253" s="20"/>
      <c r="N253" s="20"/>
      <c r="O253" s="15">
        <f t="shared" si="19"/>
        <v>13500</v>
      </c>
      <c r="P253" s="15">
        <f t="shared" si="20"/>
        <v>414580</v>
      </c>
      <c r="Q253" s="15">
        <f t="shared" si="21"/>
        <v>3920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122</v>
      </c>
      <c r="E261" s="15">
        <v>7100</v>
      </c>
      <c r="F261" s="15">
        <v>350</v>
      </c>
      <c r="G261" s="15">
        <v>300</v>
      </c>
      <c r="H261" s="15">
        <f t="shared" si="22"/>
        <v>7750</v>
      </c>
      <c r="I261" s="15">
        <f t="shared" si="23"/>
        <v>945500</v>
      </c>
      <c r="J261" s="16"/>
      <c r="K261" s="15">
        <v>200000</v>
      </c>
      <c r="L261" s="15">
        <f t="shared" ref="L261:L324" si="24">D261*20</f>
        <v>2440</v>
      </c>
      <c r="M261" s="16"/>
      <c r="N261" s="16"/>
      <c r="O261" s="15">
        <f t="shared" ref="O261:O324" si="25">250*D261</f>
        <v>30500</v>
      </c>
      <c r="P261" s="15">
        <f t="shared" ref="P261:P324" si="26">SUM(J261:O261)</f>
        <v>232940</v>
      </c>
      <c r="Q261" s="15">
        <f t="shared" ref="Q261:Q324" si="27">I261-P261</f>
        <v>712560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199</v>
      </c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1592000</v>
      </c>
      <c r="J267" s="20"/>
      <c r="K267" s="15"/>
      <c r="L267" s="15">
        <f t="shared" si="24"/>
        <v>3980</v>
      </c>
      <c r="M267" s="16"/>
      <c r="N267" s="16"/>
      <c r="O267" s="15">
        <f t="shared" si="25"/>
        <v>49750</v>
      </c>
      <c r="P267" s="15">
        <f t="shared" si="26"/>
        <v>53730</v>
      </c>
      <c r="Q267" s="15">
        <f t="shared" si="27"/>
        <v>1538270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68</v>
      </c>
      <c r="E270" s="15">
        <v>7100</v>
      </c>
      <c r="F270" s="15">
        <v>350</v>
      </c>
      <c r="G270" s="15">
        <v>200</v>
      </c>
      <c r="H270" s="15">
        <f t="shared" si="28"/>
        <v>7650</v>
      </c>
      <c r="I270" s="15">
        <f t="shared" si="29"/>
        <v>520200</v>
      </c>
      <c r="J270" s="20"/>
      <c r="K270" s="15"/>
      <c r="L270" s="15">
        <f t="shared" si="24"/>
        <v>1360</v>
      </c>
      <c r="M270" s="16"/>
      <c r="N270" s="16"/>
      <c r="O270" s="15">
        <f t="shared" si="25"/>
        <v>17000</v>
      </c>
      <c r="P270" s="15">
        <f t="shared" si="26"/>
        <v>18360</v>
      </c>
      <c r="Q270" s="15">
        <f t="shared" si="27"/>
        <v>501840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104</v>
      </c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816400</v>
      </c>
      <c r="J275" s="16"/>
      <c r="K275" s="15"/>
      <c r="L275" s="15">
        <f t="shared" si="24"/>
        <v>2080</v>
      </c>
      <c r="M275" s="16"/>
      <c r="N275" s="16"/>
      <c r="O275" s="15">
        <f t="shared" si="25"/>
        <v>26000</v>
      </c>
      <c r="P275" s="15">
        <f t="shared" si="26"/>
        <v>28080</v>
      </c>
      <c r="Q275" s="15">
        <f t="shared" si="27"/>
        <v>788320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321</v>
      </c>
      <c r="E282" s="15">
        <v>7100</v>
      </c>
      <c r="F282" s="15">
        <v>500</v>
      </c>
      <c r="G282" s="15">
        <v>400</v>
      </c>
      <c r="H282" s="15">
        <f t="shared" si="28"/>
        <v>8000</v>
      </c>
      <c r="I282" s="15">
        <f t="shared" si="29"/>
        <v>2568000</v>
      </c>
      <c r="J282" s="16"/>
      <c r="K282" s="15"/>
      <c r="L282" s="15">
        <f t="shared" si="24"/>
        <v>6420</v>
      </c>
      <c r="M282" s="16"/>
      <c r="N282" s="16"/>
      <c r="O282" s="15">
        <f t="shared" si="25"/>
        <v>80250</v>
      </c>
      <c r="P282" s="15">
        <f t="shared" si="26"/>
        <v>86670</v>
      </c>
      <c r="Q282" s="15">
        <f t="shared" si="27"/>
        <v>2481330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310</v>
      </c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2433500</v>
      </c>
      <c r="J286" s="16"/>
      <c r="K286" s="15">
        <v>200000</v>
      </c>
      <c r="L286" s="15">
        <f t="shared" si="24"/>
        <v>6200</v>
      </c>
      <c r="M286" s="20"/>
      <c r="N286" s="20"/>
      <c r="O286" s="15">
        <f t="shared" si="25"/>
        <v>77500</v>
      </c>
      <c r="P286" s="15">
        <f t="shared" si="26"/>
        <v>283700</v>
      </c>
      <c r="Q286" s="15">
        <f t="shared" si="27"/>
        <v>2149800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517</v>
      </c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4058450</v>
      </c>
      <c r="J287" s="20"/>
      <c r="K287" s="15"/>
      <c r="L287" s="15">
        <f t="shared" si="24"/>
        <v>10340</v>
      </c>
      <c r="M287" s="16"/>
      <c r="N287" s="16"/>
      <c r="O287" s="15">
        <f t="shared" si="25"/>
        <v>129250</v>
      </c>
      <c r="P287" s="15">
        <f t="shared" si="26"/>
        <v>139590</v>
      </c>
      <c r="Q287" s="15">
        <f t="shared" si="27"/>
        <v>3918860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193</v>
      </c>
      <c r="E290" s="15">
        <v>7100</v>
      </c>
      <c r="F290" s="15">
        <v>350</v>
      </c>
      <c r="G290" s="15">
        <v>400</v>
      </c>
      <c r="H290" s="15">
        <f t="shared" si="28"/>
        <v>7850</v>
      </c>
      <c r="I290" s="15">
        <f t="shared" si="29"/>
        <v>1515050</v>
      </c>
      <c r="J290" s="16"/>
      <c r="K290" s="15">
        <v>400000</v>
      </c>
      <c r="L290" s="15">
        <f t="shared" si="24"/>
        <v>3860</v>
      </c>
      <c r="M290" s="16"/>
      <c r="N290" s="16"/>
      <c r="O290" s="15">
        <f t="shared" si="25"/>
        <v>48250</v>
      </c>
      <c r="P290" s="15">
        <f t="shared" si="26"/>
        <v>452110</v>
      </c>
      <c r="Q290" s="15">
        <f t="shared" si="27"/>
        <v>1062940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282</v>
      </c>
      <c r="E291" s="15">
        <v>7100</v>
      </c>
      <c r="F291" s="15">
        <v>250</v>
      </c>
      <c r="G291" s="15">
        <v>400</v>
      </c>
      <c r="H291" s="15">
        <f t="shared" si="28"/>
        <v>7750</v>
      </c>
      <c r="I291" s="15">
        <f t="shared" si="29"/>
        <v>2185500</v>
      </c>
      <c r="J291" s="20"/>
      <c r="K291" s="15">
        <v>600000</v>
      </c>
      <c r="L291" s="15">
        <f t="shared" si="24"/>
        <v>5640</v>
      </c>
      <c r="M291" s="16"/>
      <c r="N291" s="16"/>
      <c r="O291" s="15">
        <f t="shared" si="25"/>
        <v>70500</v>
      </c>
      <c r="P291" s="15">
        <f t="shared" si="26"/>
        <v>676140</v>
      </c>
      <c r="Q291" s="15">
        <f t="shared" si="27"/>
        <v>1509360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166</v>
      </c>
      <c r="E294" s="15">
        <v>7100</v>
      </c>
      <c r="F294" s="15">
        <v>500</v>
      </c>
      <c r="G294" s="15">
        <v>400</v>
      </c>
      <c r="H294" s="15">
        <f t="shared" si="28"/>
        <v>8000</v>
      </c>
      <c r="I294" s="15">
        <f t="shared" si="29"/>
        <v>1328000</v>
      </c>
      <c r="J294" s="16"/>
      <c r="K294" s="15">
        <v>600000</v>
      </c>
      <c r="L294" s="15">
        <f t="shared" si="24"/>
        <v>3320</v>
      </c>
      <c r="M294" s="20"/>
      <c r="N294" s="20"/>
      <c r="O294" s="15">
        <f t="shared" si="25"/>
        <v>41500</v>
      </c>
      <c r="P294" s="15">
        <f t="shared" si="26"/>
        <v>644820</v>
      </c>
      <c r="Q294" s="15">
        <f t="shared" si="27"/>
        <v>683180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173</v>
      </c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1358050</v>
      </c>
      <c r="J295" s="16"/>
      <c r="K295" s="15"/>
      <c r="L295" s="15">
        <f t="shared" si="24"/>
        <v>3460</v>
      </c>
      <c r="M295" s="16"/>
      <c r="N295" s="16"/>
      <c r="O295" s="15">
        <f t="shared" si="25"/>
        <v>43250</v>
      </c>
      <c r="P295" s="15">
        <f t="shared" si="26"/>
        <v>46710</v>
      </c>
      <c r="Q295" s="15">
        <f t="shared" si="27"/>
        <v>1311340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160</v>
      </c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1280000</v>
      </c>
      <c r="J296" s="20"/>
      <c r="K296" s="15">
        <v>400000</v>
      </c>
      <c r="L296" s="15">
        <f t="shared" si="24"/>
        <v>3200</v>
      </c>
      <c r="M296" s="20"/>
      <c r="N296" s="20"/>
      <c r="O296" s="15">
        <f t="shared" si="25"/>
        <v>40000</v>
      </c>
      <c r="P296" s="15">
        <f t="shared" si="26"/>
        <v>443200</v>
      </c>
      <c r="Q296" s="15">
        <f t="shared" si="27"/>
        <v>836800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951</v>
      </c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7465350</v>
      </c>
      <c r="J298" s="20"/>
      <c r="K298" s="15"/>
      <c r="L298" s="15">
        <f t="shared" si="24"/>
        <v>19020</v>
      </c>
      <c r="M298" s="20"/>
      <c r="N298" s="20"/>
      <c r="O298" s="15">
        <f t="shared" si="25"/>
        <v>237750</v>
      </c>
      <c r="P298" s="15">
        <f t="shared" si="26"/>
        <v>256770</v>
      </c>
      <c r="Q298" s="15">
        <f t="shared" si="27"/>
        <v>7208580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288</v>
      </c>
      <c r="E315" s="15">
        <v>7100</v>
      </c>
      <c r="F315" s="15">
        <v>500</v>
      </c>
      <c r="G315" s="15">
        <v>400</v>
      </c>
      <c r="H315" s="15">
        <f t="shared" si="28"/>
        <v>8000</v>
      </c>
      <c r="I315" s="15">
        <f t="shared" si="29"/>
        <v>2304000</v>
      </c>
      <c r="J315" s="16"/>
      <c r="K315" s="15"/>
      <c r="L315" s="15">
        <f t="shared" si="24"/>
        <v>5760</v>
      </c>
      <c r="M315" s="20"/>
      <c r="N315" s="20"/>
      <c r="O315" s="15">
        <f t="shared" si="25"/>
        <v>72000</v>
      </c>
      <c r="P315" s="15">
        <f t="shared" si="26"/>
        <v>77760</v>
      </c>
      <c r="Q315" s="15">
        <f t="shared" si="27"/>
        <v>2226240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256</v>
      </c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1920000</v>
      </c>
      <c r="J316" s="16"/>
      <c r="K316" s="15">
        <v>400000</v>
      </c>
      <c r="L316" s="15">
        <f t="shared" si="24"/>
        <v>5120</v>
      </c>
      <c r="M316" s="16"/>
      <c r="N316" s="16"/>
      <c r="O316" s="15">
        <f t="shared" si="25"/>
        <v>64000</v>
      </c>
      <c r="P316" s="15">
        <f t="shared" si="26"/>
        <v>469120</v>
      </c>
      <c r="Q316" s="15">
        <f t="shared" si="27"/>
        <v>1450880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/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0</v>
      </c>
      <c r="J319" s="20"/>
      <c r="K319" s="15"/>
      <c r="L319" s="15">
        <f t="shared" si="24"/>
        <v>0</v>
      </c>
      <c r="M319" s="20"/>
      <c r="N319" s="20"/>
      <c r="O319" s="15">
        <f t="shared" si="25"/>
        <v>0</v>
      </c>
      <c r="P319" s="15">
        <f t="shared" si="26"/>
        <v>0</v>
      </c>
      <c r="Q319" s="15">
        <f t="shared" si="27"/>
        <v>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128</v>
      </c>
      <c r="E321" s="15">
        <v>7100</v>
      </c>
      <c r="F321" s="15">
        <v>250</v>
      </c>
      <c r="G321" s="15">
        <v>400</v>
      </c>
      <c r="H321" s="15">
        <f t="shared" si="28"/>
        <v>7750</v>
      </c>
      <c r="I321" s="15">
        <f t="shared" si="29"/>
        <v>992000</v>
      </c>
      <c r="J321" s="20"/>
      <c r="K321" s="15">
        <v>200000</v>
      </c>
      <c r="L321" s="15">
        <f t="shared" si="24"/>
        <v>2560</v>
      </c>
      <c r="M321" s="16"/>
      <c r="N321" s="16"/>
      <c r="O321" s="15">
        <f t="shared" si="25"/>
        <v>32000</v>
      </c>
      <c r="P321" s="15">
        <f t="shared" si="26"/>
        <v>234560</v>
      </c>
      <c r="Q321" s="15">
        <f t="shared" si="27"/>
        <v>757440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504</v>
      </c>
      <c r="E325" s="15">
        <v>7100</v>
      </c>
      <c r="F325" s="15">
        <v>350</v>
      </c>
      <c r="G325" s="15">
        <v>400</v>
      </c>
      <c r="H325" s="15">
        <f t="shared" si="28"/>
        <v>7850</v>
      </c>
      <c r="I325" s="15">
        <f t="shared" si="29"/>
        <v>3956400</v>
      </c>
      <c r="J325" s="20"/>
      <c r="K325" s="15">
        <v>800000</v>
      </c>
      <c r="L325" s="15">
        <f t="shared" ref="L325:L388" si="30">D325*20</f>
        <v>10080</v>
      </c>
      <c r="M325" s="16"/>
      <c r="N325" s="16"/>
      <c r="O325" s="15">
        <f t="shared" ref="O325:O388" si="31">250*D325</f>
        <v>126000</v>
      </c>
      <c r="P325" s="15">
        <f t="shared" ref="P325:P388" si="32">SUM(J325:O325)</f>
        <v>936080</v>
      </c>
      <c r="Q325" s="15">
        <f t="shared" ref="Q325:Q388" si="33">I325-P325</f>
        <v>3020320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133</v>
      </c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1024100</v>
      </c>
      <c r="J328" s="16"/>
      <c r="K328" s="15"/>
      <c r="L328" s="15">
        <f t="shared" si="30"/>
        <v>2660</v>
      </c>
      <c r="M328" s="20"/>
      <c r="N328" s="20"/>
      <c r="O328" s="15">
        <f t="shared" si="31"/>
        <v>33250</v>
      </c>
      <c r="P328" s="15">
        <f t="shared" si="32"/>
        <v>35910</v>
      </c>
      <c r="Q328" s="15">
        <f t="shared" si="33"/>
        <v>988190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81</v>
      </c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635850</v>
      </c>
      <c r="J335" s="16"/>
      <c r="K335" s="15"/>
      <c r="L335" s="15">
        <f t="shared" si="30"/>
        <v>1620</v>
      </c>
      <c r="M335" s="16"/>
      <c r="N335" s="16"/>
      <c r="O335" s="15">
        <f t="shared" si="31"/>
        <v>20250</v>
      </c>
      <c r="P335" s="15">
        <f t="shared" si="32"/>
        <v>21870</v>
      </c>
      <c r="Q335" s="15">
        <f t="shared" si="33"/>
        <v>613980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99</v>
      </c>
      <c r="E339" s="15">
        <v>7100</v>
      </c>
      <c r="F339" s="15">
        <v>350</v>
      </c>
      <c r="G339" s="15">
        <v>400</v>
      </c>
      <c r="H339" s="15">
        <f t="shared" si="34"/>
        <v>7850</v>
      </c>
      <c r="I339" s="15">
        <f t="shared" si="35"/>
        <v>777150</v>
      </c>
      <c r="J339" s="16"/>
      <c r="K339" s="15">
        <v>600000</v>
      </c>
      <c r="L339" s="15">
        <f t="shared" si="30"/>
        <v>1980</v>
      </c>
      <c r="M339" s="20"/>
      <c r="N339" s="20"/>
      <c r="O339" s="15">
        <f t="shared" si="31"/>
        <v>24750</v>
      </c>
      <c r="P339" s="15">
        <f t="shared" si="32"/>
        <v>626730</v>
      </c>
      <c r="Q339" s="15">
        <f t="shared" si="33"/>
        <v>150420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304</v>
      </c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2386400</v>
      </c>
      <c r="J344" s="20"/>
      <c r="K344" s="15"/>
      <c r="L344" s="15">
        <f t="shared" si="30"/>
        <v>6080</v>
      </c>
      <c r="M344" s="16"/>
      <c r="N344" s="16"/>
      <c r="O344" s="15">
        <f t="shared" si="31"/>
        <v>76000</v>
      </c>
      <c r="P344" s="15">
        <f t="shared" si="32"/>
        <v>82080</v>
      </c>
      <c r="Q344" s="15">
        <f t="shared" si="33"/>
        <v>2304320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61</v>
      </c>
      <c r="E350" s="15">
        <v>7100</v>
      </c>
      <c r="F350" s="15">
        <v>350</v>
      </c>
      <c r="G350" s="15">
        <v>400</v>
      </c>
      <c r="H350" s="15">
        <f t="shared" si="34"/>
        <v>7850</v>
      </c>
      <c r="I350" s="15">
        <f t="shared" si="35"/>
        <v>478850</v>
      </c>
      <c r="J350" s="16">
        <v>100000</v>
      </c>
      <c r="K350" s="15">
        <v>200000</v>
      </c>
      <c r="L350" s="15">
        <f t="shared" si="30"/>
        <v>1220</v>
      </c>
      <c r="M350" s="16"/>
      <c r="N350" s="16"/>
      <c r="O350" s="15">
        <f t="shared" si="31"/>
        <v>15250</v>
      </c>
      <c r="P350" s="15">
        <f t="shared" si="32"/>
        <v>316470</v>
      </c>
      <c r="Q350" s="15">
        <f t="shared" si="33"/>
        <v>162380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85</v>
      </c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680000</v>
      </c>
      <c r="J353" s="20"/>
      <c r="K353" s="15"/>
      <c r="L353" s="15">
        <f t="shared" si="30"/>
        <v>1700</v>
      </c>
      <c r="M353" s="20"/>
      <c r="N353" s="20"/>
      <c r="O353" s="15">
        <f t="shared" si="31"/>
        <v>21250</v>
      </c>
      <c r="P353" s="15">
        <f t="shared" si="32"/>
        <v>22950</v>
      </c>
      <c r="Q353" s="15">
        <f t="shared" si="33"/>
        <v>657050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>
        <v>111</v>
      </c>
      <c r="E360" s="15">
        <v>7100</v>
      </c>
      <c r="F360" s="15">
        <v>250</v>
      </c>
      <c r="G360" s="15">
        <v>400</v>
      </c>
      <c r="H360" s="15">
        <f t="shared" si="34"/>
        <v>7750</v>
      </c>
      <c r="I360" s="15">
        <f t="shared" si="35"/>
        <v>860250</v>
      </c>
      <c r="J360" s="16"/>
      <c r="K360" s="15"/>
      <c r="L360" s="15">
        <f t="shared" si="30"/>
        <v>2220</v>
      </c>
      <c r="M360" s="20"/>
      <c r="N360" s="20"/>
      <c r="O360" s="15">
        <f t="shared" si="31"/>
        <v>27750</v>
      </c>
      <c r="P360" s="15">
        <f t="shared" si="32"/>
        <v>29970</v>
      </c>
      <c r="Q360" s="15">
        <f t="shared" si="33"/>
        <v>830280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41</v>
      </c>
      <c r="E365" s="15">
        <v>7100</v>
      </c>
      <c r="F365" s="15">
        <v>350</v>
      </c>
      <c r="G365" s="15">
        <v>400</v>
      </c>
      <c r="H365" s="15">
        <f t="shared" si="34"/>
        <v>7850</v>
      </c>
      <c r="I365" s="15">
        <f t="shared" si="35"/>
        <v>321850</v>
      </c>
      <c r="J365" s="16"/>
      <c r="K365" s="15"/>
      <c r="L365" s="15">
        <f t="shared" si="30"/>
        <v>820</v>
      </c>
      <c r="M365" s="20"/>
      <c r="N365" s="20"/>
      <c r="O365" s="15">
        <f t="shared" si="31"/>
        <v>10250</v>
      </c>
      <c r="P365" s="15">
        <f t="shared" si="32"/>
        <v>11070</v>
      </c>
      <c r="Q365" s="15">
        <f t="shared" si="33"/>
        <v>310780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47</v>
      </c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352500</v>
      </c>
      <c r="J368" s="16"/>
      <c r="K368" s="15"/>
      <c r="L368" s="15">
        <f t="shared" si="30"/>
        <v>940</v>
      </c>
      <c r="M368" s="16"/>
      <c r="N368" s="16"/>
      <c r="O368" s="15">
        <f t="shared" si="31"/>
        <v>11750</v>
      </c>
      <c r="P368" s="15">
        <f t="shared" si="32"/>
        <v>12690</v>
      </c>
      <c r="Q368" s="15">
        <f t="shared" si="33"/>
        <v>339810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73</v>
      </c>
      <c r="E373" s="15">
        <v>7100</v>
      </c>
      <c r="F373" s="15">
        <v>250</v>
      </c>
      <c r="G373" s="15">
        <v>300</v>
      </c>
      <c r="H373" s="15">
        <f t="shared" si="34"/>
        <v>7650</v>
      </c>
      <c r="I373" s="15">
        <f t="shared" si="35"/>
        <v>558450</v>
      </c>
      <c r="J373" s="16"/>
      <c r="K373" s="15">
        <v>200000</v>
      </c>
      <c r="L373" s="15">
        <f t="shared" si="30"/>
        <v>1460</v>
      </c>
      <c r="M373" s="16"/>
      <c r="N373" s="16"/>
      <c r="O373" s="15">
        <f t="shared" si="31"/>
        <v>18250</v>
      </c>
      <c r="P373" s="15">
        <f t="shared" si="32"/>
        <v>219710</v>
      </c>
      <c r="Q373" s="15">
        <f t="shared" si="33"/>
        <v>338740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69</v>
      </c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541650</v>
      </c>
      <c r="J378" s="16"/>
      <c r="K378" s="15"/>
      <c r="L378" s="15">
        <f t="shared" si="30"/>
        <v>1380</v>
      </c>
      <c r="M378" s="16"/>
      <c r="N378" s="16"/>
      <c r="O378" s="15">
        <f t="shared" si="31"/>
        <v>17250</v>
      </c>
      <c r="P378" s="15">
        <f t="shared" si="32"/>
        <v>18630</v>
      </c>
      <c r="Q378" s="15">
        <f t="shared" si="33"/>
        <v>523020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f t="shared" si="34"/>
        <v>7800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120</v>
      </c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930000</v>
      </c>
      <c r="J387" s="16"/>
      <c r="K387" s="15">
        <v>400000</v>
      </c>
      <c r="L387" s="15">
        <f t="shared" si="30"/>
        <v>2400</v>
      </c>
      <c r="M387" s="16"/>
      <c r="N387" s="16"/>
      <c r="O387" s="15">
        <f t="shared" si="31"/>
        <v>30000</v>
      </c>
      <c r="P387" s="15">
        <f t="shared" si="32"/>
        <v>432400</v>
      </c>
      <c r="Q387" s="15">
        <f t="shared" si="33"/>
        <v>497600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252</v>
      </c>
      <c r="E392" s="15">
        <v>7100</v>
      </c>
      <c r="F392" s="15">
        <v>350</v>
      </c>
      <c r="G392" s="15">
        <v>400</v>
      </c>
      <c r="H392" s="15">
        <f t="shared" si="40"/>
        <v>7850</v>
      </c>
      <c r="I392" s="15">
        <f t="shared" si="41"/>
        <v>1978200</v>
      </c>
      <c r="J392" s="16"/>
      <c r="K392" s="15">
        <v>600000</v>
      </c>
      <c r="L392" s="15">
        <f t="shared" si="36"/>
        <v>5040</v>
      </c>
      <c r="M392" s="16"/>
      <c r="N392" s="16"/>
      <c r="O392" s="15">
        <f t="shared" si="37"/>
        <v>63000</v>
      </c>
      <c r="P392" s="15">
        <f t="shared" si="38"/>
        <v>668040</v>
      </c>
      <c r="Q392" s="15">
        <f t="shared" si="39"/>
        <v>1310160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350</v>
      </c>
      <c r="G394" s="15">
        <v>400</v>
      </c>
      <c r="H394" s="15">
        <f t="shared" si="40"/>
        <v>7850</v>
      </c>
      <c r="I394" s="15">
        <f t="shared" si="41"/>
        <v>0</v>
      </c>
      <c r="J394" s="16"/>
      <c r="K394" s="15">
        <v>200000</v>
      </c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200000</v>
      </c>
      <c r="Q394" s="15">
        <f t="shared" si="39"/>
        <v>-200000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266</v>
      </c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2088100</v>
      </c>
      <c r="J395" s="16">
        <v>200000</v>
      </c>
      <c r="K395" s="15">
        <v>400000</v>
      </c>
      <c r="L395" s="15">
        <f t="shared" si="36"/>
        <v>5320</v>
      </c>
      <c r="M395" s="16"/>
      <c r="N395" s="16"/>
      <c r="O395" s="15">
        <f t="shared" si="37"/>
        <v>66500</v>
      </c>
      <c r="P395" s="15">
        <f t="shared" si="38"/>
        <v>671820</v>
      </c>
      <c r="Q395" s="15">
        <f t="shared" si="39"/>
        <v>1416280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66</v>
      </c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518100</v>
      </c>
      <c r="J396" s="16"/>
      <c r="K396" s="15"/>
      <c r="L396" s="15">
        <f t="shared" si="36"/>
        <v>1320</v>
      </c>
      <c r="M396" s="16"/>
      <c r="N396" s="16"/>
      <c r="O396" s="15">
        <f t="shared" si="37"/>
        <v>16500</v>
      </c>
      <c r="P396" s="15">
        <f t="shared" si="38"/>
        <v>17820</v>
      </c>
      <c r="Q396" s="15">
        <f t="shared" si="39"/>
        <v>500280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188</v>
      </c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1410000</v>
      </c>
      <c r="J398" s="16"/>
      <c r="K398" s="15"/>
      <c r="L398" s="15">
        <f t="shared" si="36"/>
        <v>3760</v>
      </c>
      <c r="M398" s="16"/>
      <c r="N398" s="16"/>
      <c r="O398" s="15">
        <f t="shared" si="37"/>
        <v>47000</v>
      </c>
      <c r="P398" s="15">
        <f t="shared" si="38"/>
        <v>50760</v>
      </c>
      <c r="Q398" s="15">
        <f t="shared" si="39"/>
        <v>1359240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/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0</v>
      </c>
      <c r="J400" s="16"/>
      <c r="K400" s="15"/>
      <c r="L400" s="15">
        <f t="shared" si="36"/>
        <v>0</v>
      </c>
      <c r="M400" s="16"/>
      <c r="N400" s="16"/>
      <c r="O400" s="15">
        <f t="shared" si="37"/>
        <v>0</v>
      </c>
      <c r="P400" s="15">
        <f t="shared" si="38"/>
        <v>0</v>
      </c>
      <c r="Q400" s="15">
        <f t="shared" si="39"/>
        <v>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263</v>
      </c>
      <c r="E405" s="15">
        <v>7100</v>
      </c>
      <c r="F405" s="15">
        <v>350</v>
      </c>
      <c r="G405" s="15">
        <v>400</v>
      </c>
      <c r="H405" s="15">
        <f t="shared" si="40"/>
        <v>7850</v>
      </c>
      <c r="I405" s="15">
        <f t="shared" si="41"/>
        <v>2064550</v>
      </c>
      <c r="J405" s="16"/>
      <c r="K405" s="15">
        <v>600000</v>
      </c>
      <c r="L405" s="15">
        <f t="shared" si="36"/>
        <v>5260</v>
      </c>
      <c r="M405" s="16"/>
      <c r="N405" s="16"/>
      <c r="O405" s="15">
        <f t="shared" si="37"/>
        <v>65750</v>
      </c>
      <c r="P405" s="15">
        <f t="shared" si="38"/>
        <v>671010</v>
      </c>
      <c r="Q405" s="15">
        <f t="shared" si="39"/>
        <v>1393540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135</v>
      </c>
      <c r="E406" s="15">
        <v>7100</v>
      </c>
      <c r="F406" s="15">
        <v>350</v>
      </c>
      <c r="G406" s="15">
        <v>400</v>
      </c>
      <c r="H406" s="15">
        <f t="shared" si="40"/>
        <v>7850</v>
      </c>
      <c r="I406" s="15">
        <f t="shared" si="41"/>
        <v>1059750</v>
      </c>
      <c r="J406" s="16"/>
      <c r="K406" s="15"/>
      <c r="L406" s="15">
        <f t="shared" si="36"/>
        <v>2700</v>
      </c>
      <c r="M406" s="16"/>
      <c r="N406" s="16"/>
      <c r="O406" s="15">
        <f t="shared" si="37"/>
        <v>33750</v>
      </c>
      <c r="P406" s="15">
        <f t="shared" si="38"/>
        <v>36450</v>
      </c>
      <c r="Q406" s="15">
        <f t="shared" si="39"/>
        <v>1023300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187</v>
      </c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1467950</v>
      </c>
      <c r="J409" s="16"/>
      <c r="K409" s="15">
        <v>200000</v>
      </c>
      <c r="L409" s="15">
        <f t="shared" si="36"/>
        <v>3740</v>
      </c>
      <c r="M409" s="16"/>
      <c r="N409" s="16"/>
      <c r="O409" s="15">
        <f t="shared" si="37"/>
        <v>46750</v>
      </c>
      <c r="P409" s="15">
        <f t="shared" si="38"/>
        <v>250490</v>
      </c>
      <c r="Q409" s="15">
        <f t="shared" si="39"/>
        <v>1217460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216</v>
      </c>
      <c r="E410" s="15">
        <v>7100</v>
      </c>
      <c r="F410" s="15">
        <v>500</v>
      </c>
      <c r="G410" s="15">
        <v>400</v>
      </c>
      <c r="H410" s="15">
        <f t="shared" si="40"/>
        <v>8000</v>
      </c>
      <c r="I410" s="15">
        <f t="shared" si="41"/>
        <v>1728000</v>
      </c>
      <c r="J410" s="16"/>
      <c r="K410" s="15">
        <v>1000000</v>
      </c>
      <c r="L410" s="15">
        <f t="shared" si="36"/>
        <v>4320</v>
      </c>
      <c r="M410" s="16"/>
      <c r="N410" s="16"/>
      <c r="O410" s="15">
        <f t="shared" si="37"/>
        <v>54000</v>
      </c>
      <c r="P410" s="15">
        <f t="shared" si="38"/>
        <v>1058320</v>
      </c>
      <c r="Q410" s="15">
        <f t="shared" si="39"/>
        <v>669680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488</v>
      </c>
      <c r="E419" s="15">
        <v>7100</v>
      </c>
      <c r="F419" s="15">
        <v>250</v>
      </c>
      <c r="G419" s="15">
        <v>400</v>
      </c>
      <c r="H419" s="15">
        <f t="shared" si="40"/>
        <v>7750</v>
      </c>
      <c r="I419" s="15">
        <f t="shared" si="41"/>
        <v>3782000</v>
      </c>
      <c r="J419" s="20"/>
      <c r="K419" s="20"/>
      <c r="L419" s="15">
        <f t="shared" si="36"/>
        <v>9760</v>
      </c>
      <c r="M419" s="16"/>
      <c r="N419" s="16"/>
      <c r="O419" s="15">
        <f t="shared" si="37"/>
        <v>122000</v>
      </c>
      <c r="P419" s="15">
        <f t="shared" si="38"/>
        <v>131760</v>
      </c>
      <c r="Q419" s="15">
        <f t="shared" si="39"/>
        <v>3650240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139</v>
      </c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1091150</v>
      </c>
      <c r="J421" s="16"/>
      <c r="K421" s="15"/>
      <c r="L421" s="15">
        <f t="shared" si="36"/>
        <v>2780</v>
      </c>
      <c r="M421" s="16"/>
      <c r="N421" s="16"/>
      <c r="O421" s="15">
        <f t="shared" si="37"/>
        <v>34750</v>
      </c>
      <c r="P421" s="15">
        <f t="shared" si="38"/>
        <v>37530</v>
      </c>
      <c r="Q421" s="15">
        <f t="shared" si="39"/>
        <v>1053620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383</v>
      </c>
      <c r="E425" s="15">
        <v>7100</v>
      </c>
      <c r="F425" s="15">
        <v>250</v>
      </c>
      <c r="G425" s="15">
        <v>400</v>
      </c>
      <c r="H425" s="15">
        <f t="shared" si="40"/>
        <v>7750</v>
      </c>
      <c r="I425" s="15">
        <f t="shared" si="41"/>
        <v>2968250</v>
      </c>
      <c r="J425" s="16"/>
      <c r="K425" s="15"/>
      <c r="L425" s="15">
        <f t="shared" si="36"/>
        <v>7660</v>
      </c>
      <c r="M425" s="16"/>
      <c r="N425" s="16"/>
      <c r="O425" s="15">
        <f t="shared" si="37"/>
        <v>95750</v>
      </c>
      <c r="P425" s="15">
        <f t="shared" si="38"/>
        <v>103410</v>
      </c>
      <c r="Q425" s="15">
        <f t="shared" si="39"/>
        <v>2864840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352</v>
      </c>
      <c r="E427" s="15">
        <v>7100</v>
      </c>
      <c r="F427" s="15">
        <v>350</v>
      </c>
      <c r="G427" s="15">
        <v>300</v>
      </c>
      <c r="H427" s="15">
        <f t="shared" si="40"/>
        <v>7750</v>
      </c>
      <c r="I427" s="15">
        <f t="shared" si="41"/>
        <v>2728000</v>
      </c>
      <c r="J427" s="16"/>
      <c r="K427" s="15"/>
      <c r="L427" s="15">
        <f t="shared" si="36"/>
        <v>7040</v>
      </c>
      <c r="M427" s="16"/>
      <c r="N427" s="16"/>
      <c r="O427" s="15">
        <f t="shared" si="37"/>
        <v>88000</v>
      </c>
      <c r="P427" s="15">
        <f t="shared" si="38"/>
        <v>95040</v>
      </c>
      <c r="Q427" s="15">
        <f t="shared" si="39"/>
        <v>2632960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7100</v>
      </c>
      <c r="F433" s="15">
        <v>300</v>
      </c>
      <c r="G433" s="15">
        <v>400</v>
      </c>
      <c r="H433" s="15">
        <f t="shared" si="40"/>
        <v>7800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141</v>
      </c>
      <c r="E434" s="15">
        <v>7100</v>
      </c>
      <c r="F434" s="15">
        <v>200</v>
      </c>
      <c r="G434" s="15">
        <v>200</v>
      </c>
      <c r="H434" s="15">
        <f t="shared" si="40"/>
        <v>7500</v>
      </c>
      <c r="I434" s="15">
        <f t="shared" si="41"/>
        <v>1057500</v>
      </c>
      <c r="J434" s="16"/>
      <c r="K434" s="15">
        <v>400000</v>
      </c>
      <c r="L434" s="15">
        <f t="shared" si="36"/>
        <v>2820</v>
      </c>
      <c r="M434" s="16"/>
      <c r="N434" s="16"/>
      <c r="O434" s="15">
        <f t="shared" si="37"/>
        <v>35250</v>
      </c>
      <c r="P434" s="15">
        <f t="shared" si="38"/>
        <v>438070</v>
      </c>
      <c r="Q434" s="15">
        <f t="shared" si="39"/>
        <v>619430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448</v>
      </c>
      <c r="E437" s="15">
        <v>7100</v>
      </c>
      <c r="F437" s="15">
        <v>250</v>
      </c>
      <c r="G437" s="15">
        <v>400</v>
      </c>
      <c r="H437" s="15">
        <f t="shared" si="40"/>
        <v>7750</v>
      </c>
      <c r="I437" s="15">
        <f t="shared" si="41"/>
        <v>3472000</v>
      </c>
      <c r="J437" s="16"/>
      <c r="K437" s="15">
        <v>100000</v>
      </c>
      <c r="L437" s="15">
        <f t="shared" si="36"/>
        <v>8960</v>
      </c>
      <c r="M437" s="16"/>
      <c r="N437" s="16"/>
      <c r="O437" s="15">
        <f t="shared" si="37"/>
        <v>112000</v>
      </c>
      <c r="P437" s="15">
        <f t="shared" si="38"/>
        <v>220960</v>
      </c>
      <c r="Q437" s="15">
        <f t="shared" si="39"/>
        <v>3251040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189</v>
      </c>
      <c r="E444" s="15">
        <v>7100</v>
      </c>
      <c r="F444" s="15">
        <v>500</v>
      </c>
      <c r="G444" s="15">
        <v>400</v>
      </c>
      <c r="H444" s="15">
        <f t="shared" si="40"/>
        <v>8000</v>
      </c>
      <c r="I444" s="15">
        <f t="shared" si="41"/>
        <v>1512000</v>
      </c>
      <c r="J444" s="16">
        <v>200000</v>
      </c>
      <c r="K444" s="15">
        <v>400000</v>
      </c>
      <c r="L444" s="15">
        <f t="shared" si="36"/>
        <v>3780</v>
      </c>
      <c r="M444" s="16"/>
      <c r="N444" s="16"/>
      <c r="O444" s="15">
        <f t="shared" si="37"/>
        <v>47250</v>
      </c>
      <c r="P444" s="15">
        <f t="shared" si="38"/>
        <v>651030</v>
      </c>
      <c r="Q444" s="15">
        <f t="shared" si="39"/>
        <v>860970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135</v>
      </c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1012500</v>
      </c>
      <c r="J447" s="16"/>
      <c r="K447" s="15"/>
      <c r="L447" s="15">
        <f t="shared" si="36"/>
        <v>2700</v>
      </c>
      <c r="M447" s="16"/>
      <c r="N447" s="16"/>
      <c r="O447" s="15">
        <f t="shared" si="37"/>
        <v>33750</v>
      </c>
      <c r="P447" s="15">
        <f t="shared" si="38"/>
        <v>36450</v>
      </c>
      <c r="Q447" s="15">
        <f t="shared" si="39"/>
        <v>976050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380</v>
      </c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2983000</v>
      </c>
      <c r="J449" s="16"/>
      <c r="K449" s="15">
        <v>200000</v>
      </c>
      <c r="L449" s="15">
        <f t="shared" si="36"/>
        <v>7600</v>
      </c>
      <c r="M449" s="16"/>
      <c r="N449" s="16"/>
      <c r="O449" s="15">
        <f t="shared" si="37"/>
        <v>95000</v>
      </c>
      <c r="P449" s="15">
        <f t="shared" si="38"/>
        <v>302600</v>
      </c>
      <c r="Q449" s="15">
        <f t="shared" si="39"/>
        <v>2680400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115</v>
      </c>
      <c r="E451" s="15">
        <v>7100</v>
      </c>
      <c r="F451" s="15">
        <v>500</v>
      </c>
      <c r="G451" s="15">
        <v>400</v>
      </c>
      <c r="H451" s="15">
        <f t="shared" si="40"/>
        <v>8000</v>
      </c>
      <c r="I451" s="15">
        <f t="shared" si="41"/>
        <v>920000</v>
      </c>
      <c r="J451" s="16"/>
      <c r="K451" s="15">
        <v>400000</v>
      </c>
      <c r="L451" s="15">
        <f t="shared" si="36"/>
        <v>2300</v>
      </c>
      <c r="M451" s="16"/>
      <c r="N451" s="16"/>
      <c r="O451" s="15">
        <f t="shared" si="37"/>
        <v>28750</v>
      </c>
      <c r="P451" s="15">
        <f t="shared" si="38"/>
        <v>431050</v>
      </c>
      <c r="Q451" s="15">
        <f t="shared" si="39"/>
        <v>488950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161</v>
      </c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1207500</v>
      </c>
      <c r="J452" s="16"/>
      <c r="K452" s="15"/>
      <c r="L452" s="15">
        <f t="shared" si="36"/>
        <v>3220</v>
      </c>
      <c r="M452" s="16"/>
      <c r="N452" s="16"/>
      <c r="O452" s="15">
        <f t="shared" si="37"/>
        <v>40250</v>
      </c>
      <c r="P452" s="15">
        <f t="shared" si="38"/>
        <v>43470</v>
      </c>
      <c r="Q452" s="15">
        <f t="shared" si="39"/>
        <v>1164030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9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183</v>
      </c>
      <c r="E454" s="15">
        <v>7100</v>
      </c>
      <c r="F454" s="15">
        <v>350</v>
      </c>
      <c r="G454" s="15">
        <v>400</v>
      </c>
      <c r="H454" s="15">
        <f t="shared" ref="H454:H473" si="46">SUM(E454:G454)</f>
        <v>7850</v>
      </c>
      <c r="I454" s="15">
        <f t="shared" ref="I454:I480" si="47">H454*D454</f>
        <v>1436550</v>
      </c>
      <c r="J454" s="16"/>
      <c r="K454" s="15"/>
      <c r="L454" s="15">
        <f t="shared" si="42"/>
        <v>3660</v>
      </c>
      <c r="M454" s="16"/>
      <c r="N454" s="16"/>
      <c r="O454" s="15">
        <f t="shared" si="43"/>
        <v>45750</v>
      </c>
      <c r="P454" s="15">
        <f t="shared" si="44"/>
        <v>49410</v>
      </c>
      <c r="Q454" s="15">
        <f t="shared" si="45"/>
        <v>1387140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46"/>
        <v>7900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46"/>
        <v>7800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64</v>
      </c>
      <c r="E457" s="15">
        <v>7100</v>
      </c>
      <c r="F457" s="15">
        <v>350</v>
      </c>
      <c r="G457" s="15">
        <v>400</v>
      </c>
      <c r="H457" s="15">
        <f t="shared" si="46"/>
        <v>7850</v>
      </c>
      <c r="I457" s="15">
        <f t="shared" si="47"/>
        <v>502400</v>
      </c>
      <c r="J457" s="16"/>
      <c r="K457" s="15"/>
      <c r="L457" s="15">
        <f t="shared" si="42"/>
        <v>1280</v>
      </c>
      <c r="M457" s="16"/>
      <c r="N457" s="16"/>
      <c r="O457" s="15">
        <f t="shared" si="43"/>
        <v>16000</v>
      </c>
      <c r="P457" s="15">
        <f t="shared" si="44"/>
        <v>17280</v>
      </c>
      <c r="Q457" s="15">
        <f t="shared" si="45"/>
        <v>485120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46"/>
        <v>7800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98</v>
      </c>
      <c r="E459" s="15">
        <v>7100</v>
      </c>
      <c r="F459" s="15">
        <v>350</v>
      </c>
      <c r="G459" s="15">
        <v>400</v>
      </c>
      <c r="H459" s="15">
        <f t="shared" si="46"/>
        <v>7850</v>
      </c>
      <c r="I459" s="15">
        <f t="shared" si="47"/>
        <v>769300</v>
      </c>
      <c r="J459" s="16"/>
      <c r="K459" s="15">
        <v>200000</v>
      </c>
      <c r="L459" s="15">
        <f t="shared" si="42"/>
        <v>1960</v>
      </c>
      <c r="M459" s="16"/>
      <c r="N459" s="16"/>
      <c r="O459" s="15">
        <f t="shared" si="43"/>
        <v>24500</v>
      </c>
      <c r="P459" s="15">
        <f t="shared" si="44"/>
        <v>226460</v>
      </c>
      <c r="Q459" s="15">
        <f t="shared" si="45"/>
        <v>542840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356</v>
      </c>
      <c r="E460" s="15">
        <v>7100</v>
      </c>
      <c r="F460" s="15">
        <v>250</v>
      </c>
      <c r="G460" s="15">
        <v>400</v>
      </c>
      <c r="H460" s="15">
        <f t="shared" si="46"/>
        <v>7750</v>
      </c>
      <c r="I460" s="15">
        <f t="shared" si="47"/>
        <v>2759000</v>
      </c>
      <c r="J460" s="16"/>
      <c r="K460" s="15"/>
      <c r="L460" s="15">
        <f t="shared" si="42"/>
        <v>7120</v>
      </c>
      <c r="M460" s="16"/>
      <c r="N460" s="16"/>
      <c r="O460" s="15">
        <f t="shared" si="43"/>
        <v>89000</v>
      </c>
      <c r="P460" s="15">
        <f t="shared" si="44"/>
        <v>96120</v>
      </c>
      <c r="Q460" s="15">
        <f t="shared" si="45"/>
        <v>2662880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112</v>
      </c>
      <c r="E461" s="15">
        <v>7100</v>
      </c>
      <c r="F461" s="15">
        <v>250</v>
      </c>
      <c r="G461" s="15">
        <v>400</v>
      </c>
      <c r="H461" s="15">
        <f t="shared" si="46"/>
        <v>7750</v>
      </c>
      <c r="I461" s="15">
        <f t="shared" si="47"/>
        <v>868000</v>
      </c>
      <c r="J461" s="16"/>
      <c r="K461" s="15">
        <v>200000</v>
      </c>
      <c r="L461" s="15">
        <f t="shared" si="42"/>
        <v>2240</v>
      </c>
      <c r="M461" s="16"/>
      <c r="N461" s="16"/>
      <c r="O461" s="15">
        <f t="shared" si="43"/>
        <v>28000</v>
      </c>
      <c r="P461" s="15">
        <f t="shared" si="44"/>
        <v>230240</v>
      </c>
      <c r="Q461" s="15">
        <f t="shared" si="45"/>
        <v>637760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399</v>
      </c>
      <c r="E462" s="15">
        <v>7100</v>
      </c>
      <c r="F462" s="15">
        <v>200</v>
      </c>
      <c r="G462" s="15">
        <v>300</v>
      </c>
      <c r="H462" s="15">
        <f t="shared" si="46"/>
        <v>7600</v>
      </c>
      <c r="I462" s="15">
        <f t="shared" si="47"/>
        <v>3032400</v>
      </c>
      <c r="J462" s="16"/>
      <c r="K462" s="15">
        <v>400000</v>
      </c>
      <c r="L462" s="15">
        <f t="shared" si="42"/>
        <v>7980</v>
      </c>
      <c r="M462" s="16"/>
      <c r="N462" s="16"/>
      <c r="O462" s="15">
        <f t="shared" si="43"/>
        <v>99750</v>
      </c>
      <c r="P462" s="15">
        <f t="shared" si="44"/>
        <v>507730</v>
      </c>
      <c r="Q462" s="15">
        <f t="shared" si="45"/>
        <v>2524670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120</v>
      </c>
      <c r="E463" s="15">
        <v>7100</v>
      </c>
      <c r="F463" s="15">
        <v>250</v>
      </c>
      <c r="G463" s="15">
        <v>400</v>
      </c>
      <c r="H463" s="15">
        <f t="shared" si="46"/>
        <v>7750</v>
      </c>
      <c r="I463" s="15">
        <f t="shared" si="47"/>
        <v>930000</v>
      </c>
      <c r="J463" s="16"/>
      <c r="K463" s="15">
        <v>200000</v>
      </c>
      <c r="L463" s="15">
        <f t="shared" si="42"/>
        <v>2400</v>
      </c>
      <c r="M463" s="16"/>
      <c r="N463" s="16"/>
      <c r="O463" s="15">
        <f t="shared" si="43"/>
        <v>30000</v>
      </c>
      <c r="P463" s="15">
        <f t="shared" si="44"/>
        <v>232400</v>
      </c>
      <c r="Q463" s="15">
        <f t="shared" si="45"/>
        <v>697600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84</v>
      </c>
      <c r="E464" s="15">
        <v>7100</v>
      </c>
      <c r="F464" s="15">
        <v>200</v>
      </c>
      <c r="G464" s="15">
        <v>400</v>
      </c>
      <c r="H464" s="15">
        <f t="shared" si="46"/>
        <v>7700</v>
      </c>
      <c r="I464" s="15">
        <f t="shared" si="47"/>
        <v>646800</v>
      </c>
      <c r="J464" s="16"/>
      <c r="K464" s="15"/>
      <c r="L464" s="15">
        <f t="shared" si="42"/>
        <v>1680</v>
      </c>
      <c r="M464" s="16"/>
      <c r="N464" s="16"/>
      <c r="O464" s="15">
        <f t="shared" si="43"/>
        <v>21000</v>
      </c>
      <c r="P464" s="15">
        <f t="shared" si="44"/>
        <v>22680</v>
      </c>
      <c r="Q464" s="15">
        <f t="shared" si="45"/>
        <v>624120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264</v>
      </c>
      <c r="E465" s="15">
        <v>7100</v>
      </c>
      <c r="F465" s="15">
        <v>250</v>
      </c>
      <c r="G465" s="15">
        <v>400</v>
      </c>
      <c r="H465" s="15">
        <f t="shared" si="46"/>
        <v>7750</v>
      </c>
      <c r="I465" s="15">
        <f t="shared" si="47"/>
        <v>2046000</v>
      </c>
      <c r="J465" s="16"/>
      <c r="K465" s="15">
        <v>200000</v>
      </c>
      <c r="L465" s="15">
        <f t="shared" si="42"/>
        <v>5280</v>
      </c>
      <c r="M465" s="16"/>
      <c r="N465" s="16"/>
      <c r="O465" s="15">
        <f t="shared" si="43"/>
        <v>66000</v>
      </c>
      <c r="P465" s="15">
        <f t="shared" si="44"/>
        <v>271280</v>
      </c>
      <c r="Q465" s="15">
        <f t="shared" si="45"/>
        <v>1774720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205</v>
      </c>
      <c r="E466" s="15">
        <v>7100</v>
      </c>
      <c r="F466" s="15">
        <v>250</v>
      </c>
      <c r="G466" s="15">
        <v>400</v>
      </c>
      <c r="H466" s="15">
        <f t="shared" si="46"/>
        <v>7750</v>
      </c>
      <c r="I466" s="15">
        <f t="shared" si="47"/>
        <v>1588750</v>
      </c>
      <c r="J466" s="16"/>
      <c r="K466" s="15"/>
      <c r="L466" s="15">
        <f t="shared" si="42"/>
        <v>4100</v>
      </c>
      <c r="M466" s="16"/>
      <c r="N466" s="16"/>
      <c r="O466" s="15">
        <f t="shared" si="43"/>
        <v>51250</v>
      </c>
      <c r="P466" s="15">
        <f t="shared" si="44"/>
        <v>55350</v>
      </c>
      <c r="Q466" s="15">
        <f t="shared" si="45"/>
        <v>1533400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46"/>
        <v>7900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46"/>
        <v>7900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46"/>
        <v>7900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46"/>
        <v>8000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230</v>
      </c>
      <c r="E471" s="15">
        <v>7100</v>
      </c>
      <c r="F471" s="15">
        <v>250</v>
      </c>
      <c r="G471" s="15">
        <v>300</v>
      </c>
      <c r="H471" s="15">
        <f t="shared" si="46"/>
        <v>7650</v>
      </c>
      <c r="I471" s="15">
        <f t="shared" si="47"/>
        <v>1759500</v>
      </c>
      <c r="J471" s="16"/>
      <c r="K471" s="15"/>
      <c r="L471" s="15">
        <f t="shared" si="42"/>
        <v>4600</v>
      </c>
      <c r="M471" s="16"/>
      <c r="N471" s="16"/>
      <c r="O471" s="15">
        <f t="shared" si="43"/>
        <v>57500</v>
      </c>
      <c r="P471" s="15">
        <f t="shared" si="44"/>
        <v>62100</v>
      </c>
      <c r="Q471" s="15">
        <f t="shared" si="45"/>
        <v>1697400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46"/>
        <v>7900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46"/>
        <v>7900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110</v>
      </c>
      <c r="E474" s="15">
        <v>7100</v>
      </c>
      <c r="F474" s="15">
        <v>350</v>
      </c>
      <c r="G474" s="15">
        <v>400</v>
      </c>
      <c r="H474" s="15">
        <f t="shared" ref="H474" si="48">SUM(E474:G474)</f>
        <v>7850</v>
      </c>
      <c r="I474" s="15">
        <f t="shared" si="47"/>
        <v>863500</v>
      </c>
      <c r="J474" s="16"/>
      <c r="K474" s="15"/>
      <c r="L474" s="15">
        <f t="shared" si="42"/>
        <v>2200</v>
      </c>
      <c r="M474" s="16"/>
      <c r="N474" s="16"/>
      <c r="O474" s="15">
        <f>250*D474</f>
        <v>27500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1742</v>
      </c>
      <c r="E475" s="15">
        <v>7100</v>
      </c>
      <c r="F475" s="15">
        <v>350</v>
      </c>
      <c r="G475" s="15">
        <v>400</v>
      </c>
      <c r="H475" s="15">
        <f t="shared" ref="H475:H480" si="49">SUM(E475:G475)</f>
        <v>7850</v>
      </c>
      <c r="I475" s="15">
        <f t="shared" si="47"/>
        <v>13674700</v>
      </c>
      <c r="J475" s="16"/>
      <c r="K475" s="15"/>
      <c r="L475" s="15">
        <f t="shared" si="42"/>
        <v>34840</v>
      </c>
      <c r="M475" s="16"/>
      <c r="N475" s="16"/>
      <c r="O475" s="15">
        <f t="shared" ref="O475:O479" si="50">250*D475</f>
        <v>435500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7100</v>
      </c>
      <c r="F476" s="15">
        <v>300</v>
      </c>
      <c r="G476" s="15">
        <v>400</v>
      </c>
      <c r="H476" s="15">
        <f t="shared" si="49"/>
        <v>7800</v>
      </c>
      <c r="I476" s="15">
        <f t="shared" si="47"/>
        <v>0</v>
      </c>
      <c r="J476" s="16"/>
      <c r="K476" s="15"/>
      <c r="L476" s="15">
        <f t="shared" si="42"/>
        <v>0</v>
      </c>
      <c r="M476" s="16"/>
      <c r="N476" s="16"/>
      <c r="O476" s="15">
        <f t="shared" si="50"/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118</v>
      </c>
      <c r="E477" s="15">
        <v>7100</v>
      </c>
      <c r="F477" s="15">
        <v>350</v>
      </c>
      <c r="G477" s="15">
        <v>400</v>
      </c>
      <c r="H477" s="15">
        <f t="shared" si="49"/>
        <v>7850</v>
      </c>
      <c r="I477" s="15">
        <f t="shared" si="47"/>
        <v>926300</v>
      </c>
      <c r="J477" s="16"/>
      <c r="K477" s="15"/>
      <c r="L477" s="15">
        <f t="shared" si="42"/>
        <v>2360</v>
      </c>
      <c r="M477" s="16"/>
      <c r="N477" s="16"/>
      <c r="O477" s="15">
        <f t="shared" si="50"/>
        <v>29500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254</v>
      </c>
      <c r="E478" s="15">
        <v>7100</v>
      </c>
      <c r="F478" s="15">
        <v>350</v>
      </c>
      <c r="G478" s="15">
        <v>400</v>
      </c>
      <c r="H478" s="15">
        <f t="shared" si="49"/>
        <v>7850</v>
      </c>
      <c r="I478" s="15">
        <f t="shared" si="47"/>
        <v>1993900</v>
      </c>
      <c r="J478" s="16"/>
      <c r="K478" s="15"/>
      <c r="L478" s="15">
        <f t="shared" si="42"/>
        <v>5080</v>
      </c>
      <c r="M478" s="16"/>
      <c r="N478" s="16"/>
      <c r="O478" s="15">
        <f t="shared" si="50"/>
        <v>63500</v>
      </c>
      <c r="P478" s="15"/>
      <c r="Q478" s="15"/>
      <c r="R478" s="17"/>
    </row>
    <row r="479" spans="1:18" ht="16.5" x14ac:dyDescent="0.25">
      <c r="A479" s="12">
        <v>1672</v>
      </c>
      <c r="B479" s="13" t="s">
        <v>474</v>
      </c>
      <c r="C479" s="13" t="s">
        <v>30</v>
      </c>
      <c r="D479" s="20">
        <v>112</v>
      </c>
      <c r="E479" s="15">
        <v>7100</v>
      </c>
      <c r="F479" s="15">
        <v>200</v>
      </c>
      <c r="G479" s="15">
        <v>400</v>
      </c>
      <c r="H479" s="15">
        <f t="shared" si="49"/>
        <v>7700</v>
      </c>
      <c r="I479" s="15">
        <f t="shared" si="47"/>
        <v>862400</v>
      </c>
      <c r="J479" s="16"/>
      <c r="K479" s="15"/>
      <c r="L479" s="15">
        <f t="shared" si="42"/>
        <v>2240</v>
      </c>
      <c r="M479" s="16"/>
      <c r="N479" s="16"/>
      <c r="O479" s="15">
        <f t="shared" si="50"/>
        <v>28000</v>
      </c>
      <c r="P479" s="15"/>
      <c r="Q479" s="15"/>
      <c r="R479" s="17"/>
    </row>
    <row r="480" spans="1:18" ht="16.5" x14ac:dyDescent="0.25">
      <c r="A480" s="12">
        <v>1673</v>
      </c>
      <c r="B480" s="13" t="s">
        <v>475</v>
      </c>
      <c r="C480" s="13" t="s">
        <v>25</v>
      </c>
      <c r="D480" s="20">
        <v>448</v>
      </c>
      <c r="E480" s="15">
        <v>7100</v>
      </c>
      <c r="F480" s="15">
        <v>300</v>
      </c>
      <c r="G480" s="15">
        <v>400</v>
      </c>
      <c r="H480" s="15">
        <f t="shared" si="49"/>
        <v>7800</v>
      </c>
      <c r="I480" s="15">
        <f t="shared" si="47"/>
        <v>3494400</v>
      </c>
      <c r="J480" s="16"/>
      <c r="K480" s="15"/>
      <c r="L480" s="15">
        <f t="shared" ref="L480" si="51">D480*20</f>
        <v>8960</v>
      </c>
      <c r="M480" s="16"/>
      <c r="N480" s="16"/>
      <c r="O480" s="15">
        <f t="shared" ref="O480" si="52">250*D480</f>
        <v>112000</v>
      </c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31801</v>
      </c>
      <c r="E483" s="20">
        <f>SUM(E4:E482)</f>
        <v>3386700</v>
      </c>
      <c r="F483" s="20">
        <f>SUM(F4:F482)</f>
        <v>159300</v>
      </c>
      <c r="G483" s="20">
        <f t="shared" ref="G483:Q483" si="53">SUM(G4:G482)</f>
        <v>186950</v>
      </c>
      <c r="H483" s="20">
        <f t="shared" si="53"/>
        <v>3732950</v>
      </c>
      <c r="I483" s="20">
        <f t="shared" si="53"/>
        <v>248229600</v>
      </c>
      <c r="J483" s="20">
        <f t="shared" si="53"/>
        <v>600000</v>
      </c>
      <c r="K483" s="20">
        <f t="shared" si="53"/>
        <v>36176000</v>
      </c>
      <c r="L483" s="20">
        <f t="shared" si="53"/>
        <v>636020</v>
      </c>
      <c r="M483" s="20">
        <f t="shared" si="53"/>
        <v>0</v>
      </c>
      <c r="N483" s="20">
        <f t="shared" si="53"/>
        <v>0</v>
      </c>
      <c r="O483" s="20">
        <f t="shared" si="53"/>
        <v>7950250</v>
      </c>
      <c r="P483" s="20">
        <f t="shared" si="53"/>
        <v>44610590</v>
      </c>
      <c r="Q483" s="20">
        <f t="shared" si="53"/>
        <v>181803810</v>
      </c>
      <c r="R483" s="36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 t="str">
        <f>A1</f>
        <v>PEMBAYARAN SETORAN SUSU  PADA PETERNAK BAGIAN TANGGAL :  01 S / D 10 AGUSTUS 2026</v>
      </c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>
        <v>0</v>
      </c>
      <c r="D498" s="40">
        <v>55</v>
      </c>
      <c r="E498" s="16">
        <v>7500</v>
      </c>
      <c r="F498" s="16"/>
      <c r="G498" s="16"/>
      <c r="H498" s="15">
        <f>SUM(E498:G498)</f>
        <v>7500</v>
      </c>
      <c r="I498" s="15">
        <f>D498*H498</f>
        <v>412500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412500</v>
      </c>
      <c r="R498" s="36"/>
    </row>
    <row r="499" spans="1:18" ht="16.5" x14ac:dyDescent="0.25">
      <c r="A499" s="12">
        <v>0</v>
      </c>
      <c r="B499" s="13" t="s">
        <v>25</v>
      </c>
      <c r="C499" s="13">
        <v>0</v>
      </c>
      <c r="D499" s="20">
        <v>155</v>
      </c>
      <c r="E499" s="16">
        <v>7500</v>
      </c>
      <c r="F499" s="16"/>
      <c r="G499" s="16"/>
      <c r="H499" s="15">
        <f t="shared" ref="H499:H506" si="54">SUM(E499:G499)</f>
        <v>7500</v>
      </c>
      <c r="I499" s="15">
        <f t="shared" ref="I499:I506" si="55">D499*H499</f>
        <v>1162500</v>
      </c>
      <c r="J499" s="20"/>
      <c r="K499" s="15"/>
      <c r="L499" s="15"/>
      <c r="M499" s="20"/>
      <c r="N499" s="20"/>
      <c r="O499" s="22"/>
      <c r="P499" s="15">
        <f t="shared" ref="P499:P506" si="56">SUM(J499:O499)</f>
        <v>0</v>
      </c>
      <c r="Q499" s="15">
        <f t="shared" ref="Q499:Q506" si="57">I499-P499</f>
        <v>1162500</v>
      </c>
      <c r="R499" s="36"/>
    </row>
    <row r="500" spans="1:18" ht="16.5" x14ac:dyDescent="0.25">
      <c r="A500" s="12">
        <v>0</v>
      </c>
      <c r="B500" s="13" t="s">
        <v>21</v>
      </c>
      <c r="C500" s="13">
        <v>0</v>
      </c>
      <c r="D500" s="20">
        <v>9</v>
      </c>
      <c r="E500" s="16">
        <v>7500</v>
      </c>
      <c r="F500" s="16"/>
      <c r="G500" s="16"/>
      <c r="H500" s="15">
        <f t="shared" si="54"/>
        <v>7500</v>
      </c>
      <c r="I500" s="15">
        <f t="shared" si="55"/>
        <v>67500</v>
      </c>
      <c r="J500" s="20"/>
      <c r="K500" s="15"/>
      <c r="L500" s="15"/>
      <c r="M500" s="20"/>
      <c r="N500" s="20"/>
      <c r="O500" s="22"/>
      <c r="P500" s="15">
        <f t="shared" si="56"/>
        <v>0</v>
      </c>
      <c r="Q500" s="15">
        <f t="shared" si="57"/>
        <v>67500</v>
      </c>
      <c r="R500" s="36"/>
    </row>
    <row r="501" spans="1:18" ht="16.5" x14ac:dyDescent="0.25">
      <c r="A501" s="12">
        <v>0</v>
      </c>
      <c r="B501" s="13" t="s">
        <v>47</v>
      </c>
      <c r="C501" s="13">
        <v>0</v>
      </c>
      <c r="D501" s="20">
        <v>70</v>
      </c>
      <c r="E501" s="16">
        <v>7500</v>
      </c>
      <c r="F501" s="16"/>
      <c r="G501" s="16"/>
      <c r="H501" s="15">
        <f t="shared" si="54"/>
        <v>7500</v>
      </c>
      <c r="I501" s="15">
        <f t="shared" si="55"/>
        <v>525000</v>
      </c>
      <c r="J501" s="20"/>
      <c r="K501" s="15"/>
      <c r="L501" s="15"/>
      <c r="M501" s="20"/>
      <c r="N501" s="20"/>
      <c r="O501" s="22"/>
      <c r="P501" s="15">
        <f t="shared" si="56"/>
        <v>0</v>
      </c>
      <c r="Q501" s="15">
        <f t="shared" si="57"/>
        <v>525000</v>
      </c>
      <c r="R501" s="36"/>
    </row>
    <row r="502" spans="1:18" ht="16.5" x14ac:dyDescent="0.25">
      <c r="A502" s="12">
        <v>0</v>
      </c>
      <c r="B502" s="13" t="s">
        <v>43</v>
      </c>
      <c r="C502" s="13">
        <v>0</v>
      </c>
      <c r="D502" s="20">
        <v>270</v>
      </c>
      <c r="E502" s="16">
        <v>7500</v>
      </c>
      <c r="F502" s="16"/>
      <c r="G502" s="16"/>
      <c r="H502" s="15">
        <f t="shared" si="54"/>
        <v>7500</v>
      </c>
      <c r="I502" s="15">
        <f t="shared" si="55"/>
        <v>2025000</v>
      </c>
      <c r="J502" s="20"/>
      <c r="K502" s="15"/>
      <c r="L502" s="15"/>
      <c r="M502" s="20"/>
      <c r="N502" s="20"/>
      <c r="O502" s="22"/>
      <c r="P502" s="15">
        <f t="shared" si="56"/>
        <v>0</v>
      </c>
      <c r="Q502" s="15">
        <f t="shared" si="57"/>
        <v>2025000</v>
      </c>
      <c r="R502" s="36"/>
    </row>
    <row r="503" spans="1:18" ht="16.5" x14ac:dyDescent="0.25">
      <c r="A503" s="12">
        <v>0</v>
      </c>
      <c r="B503" s="13" t="s">
        <v>30</v>
      </c>
      <c r="C503" s="13">
        <v>0</v>
      </c>
      <c r="D503" s="20">
        <v>220</v>
      </c>
      <c r="E503" s="16">
        <v>7500</v>
      </c>
      <c r="F503" s="16"/>
      <c r="G503" s="16"/>
      <c r="H503" s="15">
        <f t="shared" si="54"/>
        <v>7500</v>
      </c>
      <c r="I503" s="15">
        <f t="shared" si="55"/>
        <v>1650000</v>
      </c>
      <c r="J503" s="20"/>
      <c r="K503" s="15"/>
      <c r="L503" s="15"/>
      <c r="M503" s="20"/>
      <c r="N503" s="20"/>
      <c r="O503" s="22"/>
      <c r="P503" s="15">
        <f t="shared" si="56"/>
        <v>0</v>
      </c>
      <c r="Q503" s="15">
        <f t="shared" si="57"/>
        <v>1650000</v>
      </c>
      <c r="R503" s="36"/>
    </row>
    <row r="504" spans="1:18" ht="16.5" x14ac:dyDescent="0.25">
      <c r="A504" s="12">
        <v>0</v>
      </c>
      <c r="B504" s="13" t="s">
        <v>54</v>
      </c>
      <c r="C504" s="13">
        <v>0</v>
      </c>
      <c r="D504" s="20">
        <v>60</v>
      </c>
      <c r="E504" s="16">
        <v>7500</v>
      </c>
      <c r="F504" s="16"/>
      <c r="G504" s="16"/>
      <c r="H504" s="15">
        <f t="shared" si="54"/>
        <v>7500</v>
      </c>
      <c r="I504" s="15">
        <f t="shared" si="55"/>
        <v>450000</v>
      </c>
      <c r="J504" s="20"/>
      <c r="K504" s="15"/>
      <c r="L504" s="15"/>
      <c r="M504" s="20"/>
      <c r="N504" s="20"/>
      <c r="O504" s="22"/>
      <c r="P504" s="15">
        <f t="shared" si="56"/>
        <v>0</v>
      </c>
      <c r="Q504" s="15">
        <f t="shared" si="57"/>
        <v>450000</v>
      </c>
      <c r="R504" s="36"/>
    </row>
    <row r="505" spans="1:18" ht="16.5" x14ac:dyDescent="0.25">
      <c r="A505" s="12">
        <v>0</v>
      </c>
      <c r="B505" s="13" t="s">
        <v>392</v>
      </c>
      <c r="C505" s="13">
        <v>0</v>
      </c>
      <c r="D505" s="20">
        <v>20</v>
      </c>
      <c r="E505" s="16">
        <v>7500</v>
      </c>
      <c r="F505" s="16"/>
      <c r="G505" s="16"/>
      <c r="H505" s="15">
        <f t="shared" si="54"/>
        <v>7500</v>
      </c>
      <c r="I505" s="15">
        <f t="shared" si="55"/>
        <v>150000</v>
      </c>
      <c r="J505" s="20"/>
      <c r="K505" s="15"/>
      <c r="L505" s="15"/>
      <c r="M505" s="20"/>
      <c r="N505" s="20"/>
      <c r="O505" s="22"/>
      <c r="P505" s="15">
        <f t="shared" si="56"/>
        <v>0</v>
      </c>
      <c r="Q505" s="15">
        <f t="shared" si="57"/>
        <v>150000</v>
      </c>
      <c r="R505" s="36"/>
    </row>
    <row r="506" spans="1:18" ht="16.5" x14ac:dyDescent="0.25">
      <c r="A506" s="12">
        <v>0</v>
      </c>
      <c r="B506" s="41" t="s">
        <v>19</v>
      </c>
      <c r="C506" s="13">
        <v>0</v>
      </c>
      <c r="D506" s="20"/>
      <c r="E506" s="16">
        <v>7500</v>
      </c>
      <c r="F506" s="16"/>
      <c r="G506" s="16"/>
      <c r="H506" s="15">
        <f t="shared" si="54"/>
        <v>7500</v>
      </c>
      <c r="I506" s="15">
        <f t="shared" si="55"/>
        <v>0</v>
      </c>
      <c r="J506" s="20"/>
      <c r="K506" s="15"/>
      <c r="L506" s="15"/>
      <c r="M506" s="20"/>
      <c r="N506" s="20"/>
      <c r="O506" s="22"/>
      <c r="P506" s="15">
        <f t="shared" si="56"/>
        <v>0</v>
      </c>
      <c r="Q506" s="15">
        <f t="shared" si="57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58">H507-P507</f>
        <v>0</v>
      </c>
      <c r="R507" s="36"/>
    </row>
    <row r="508" spans="1:18" ht="16.5" x14ac:dyDescent="0.25">
      <c r="A508" s="44"/>
      <c r="B508" s="70" t="s">
        <v>393</v>
      </c>
      <c r="C508" s="71"/>
      <c r="D508" s="22">
        <f>SUM(D498:D507)</f>
        <v>859</v>
      </c>
      <c r="E508" s="22">
        <f t="shared" ref="E508:Q508" si="59">SUM(E498:E507)</f>
        <v>67500</v>
      </c>
      <c r="F508" s="22">
        <f t="shared" si="59"/>
        <v>0</v>
      </c>
      <c r="G508" s="22">
        <f t="shared" si="59"/>
        <v>0</v>
      </c>
      <c r="H508" s="22">
        <f t="shared" si="59"/>
        <v>67500</v>
      </c>
      <c r="I508" s="22">
        <f t="shared" si="59"/>
        <v>6442500</v>
      </c>
      <c r="J508" s="22">
        <f t="shared" si="59"/>
        <v>0</v>
      </c>
      <c r="K508" s="22">
        <f t="shared" si="59"/>
        <v>0</v>
      </c>
      <c r="L508" s="22">
        <f t="shared" si="59"/>
        <v>0</v>
      </c>
      <c r="M508" s="22">
        <f t="shared" si="59"/>
        <v>0</v>
      </c>
      <c r="N508" s="22">
        <f t="shared" si="59"/>
        <v>0</v>
      </c>
      <c r="O508" s="22">
        <f t="shared" si="59"/>
        <v>0</v>
      </c>
      <c r="P508" s="22">
        <f t="shared" si="59"/>
        <v>0</v>
      </c>
      <c r="Q508" s="22">
        <f t="shared" si="59"/>
        <v>6442500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 t="str">
        <f>A496</f>
        <v>PEMBAYARAN SETORAN SUSU  PADA PETERNAK BAGIAN TANGGAL :  01 S / D 10 AGUSTUS 2026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473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ref="H521:H528" si="60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61">SUM(J521:O521)</f>
        <v>0</v>
      </c>
      <c r="Q521" s="15">
        <f t="shared" ref="Q521:Q528" si="62">I521-P521</f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800</v>
      </c>
      <c r="E522" s="16">
        <v>8000</v>
      </c>
      <c r="F522" s="16"/>
      <c r="G522" s="16"/>
      <c r="H522" s="15">
        <f t="shared" si="60"/>
        <v>8000</v>
      </c>
      <c r="I522" s="15">
        <f t="shared" ref="I522:I528" si="63">D522*H522</f>
        <v>6400000</v>
      </c>
      <c r="J522" s="15"/>
      <c r="K522" s="15"/>
      <c r="L522" s="15"/>
      <c r="M522" s="15"/>
      <c r="N522" s="15"/>
      <c r="O522" s="15"/>
      <c r="P522" s="15">
        <f t="shared" si="61"/>
        <v>0</v>
      </c>
      <c r="Q522" s="15">
        <f t="shared" si="62"/>
        <v>6400000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610</v>
      </c>
      <c r="E523" s="16">
        <v>7400</v>
      </c>
      <c r="F523" s="16"/>
      <c r="G523" s="16"/>
      <c r="H523" s="15">
        <f t="shared" si="60"/>
        <v>7400</v>
      </c>
      <c r="I523" s="15">
        <f t="shared" si="63"/>
        <v>4514000</v>
      </c>
      <c r="J523" s="15"/>
      <c r="K523" s="15"/>
      <c r="L523" s="15"/>
      <c r="M523" s="15"/>
      <c r="N523" s="15"/>
      <c r="O523" s="15"/>
      <c r="P523" s="15">
        <f t="shared" si="61"/>
        <v>0</v>
      </c>
      <c r="Q523" s="15">
        <f t="shared" si="62"/>
        <v>4514000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598</v>
      </c>
      <c r="E524" s="16">
        <v>7400</v>
      </c>
      <c r="F524" s="16"/>
      <c r="G524" s="16"/>
      <c r="H524" s="15">
        <f t="shared" si="60"/>
        <v>7400</v>
      </c>
      <c r="I524" s="15">
        <f t="shared" si="63"/>
        <v>4425200</v>
      </c>
      <c r="J524" s="15"/>
      <c r="K524" s="15"/>
      <c r="L524" s="15"/>
      <c r="M524" s="15"/>
      <c r="N524" s="15"/>
      <c r="O524" s="15"/>
      <c r="P524" s="15">
        <f t="shared" si="61"/>
        <v>0</v>
      </c>
      <c r="Q524" s="15">
        <f t="shared" si="62"/>
        <v>4425200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2504</v>
      </c>
      <c r="E525" s="16">
        <v>8000</v>
      </c>
      <c r="F525" s="16"/>
      <c r="G525" s="16"/>
      <c r="H525" s="15">
        <f t="shared" si="60"/>
        <v>8000</v>
      </c>
      <c r="I525" s="15">
        <f t="shared" si="63"/>
        <v>20032000</v>
      </c>
      <c r="J525" s="15"/>
      <c r="K525" s="15"/>
      <c r="L525" s="15"/>
      <c r="M525" s="15"/>
      <c r="N525" s="15"/>
      <c r="O525" s="15"/>
      <c r="P525" s="15">
        <f t="shared" si="61"/>
        <v>0</v>
      </c>
      <c r="Q525" s="15">
        <f t="shared" si="62"/>
        <v>20032000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820</v>
      </c>
      <c r="E526" s="61">
        <v>7500</v>
      </c>
      <c r="F526" s="61"/>
      <c r="G526" s="61"/>
      <c r="H526" s="15">
        <f t="shared" si="60"/>
        <v>7500</v>
      </c>
      <c r="I526" s="15">
        <f t="shared" si="63"/>
        <v>6150000</v>
      </c>
      <c r="J526" s="15"/>
      <c r="K526" s="15"/>
      <c r="L526" s="15"/>
      <c r="M526" s="15"/>
      <c r="N526" s="15"/>
      <c r="O526" s="15"/>
      <c r="P526" s="15">
        <f t="shared" si="61"/>
        <v>0</v>
      </c>
      <c r="Q526" s="15">
        <f t="shared" si="62"/>
        <v>6150000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60"/>
        <v>7500</v>
      </c>
      <c r="I527" s="15">
        <f t="shared" si="63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61"/>
        <v>0</v>
      </c>
      <c r="Q527" s="15">
        <f t="shared" si="62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60"/>
        <v>0</v>
      </c>
      <c r="I528" s="15">
        <f t="shared" si="63"/>
        <v>0</v>
      </c>
      <c r="J528" s="15"/>
      <c r="K528" s="15"/>
      <c r="L528" s="15"/>
      <c r="M528" s="15"/>
      <c r="N528" s="15"/>
      <c r="O528" s="15"/>
      <c r="P528" s="15">
        <f t="shared" si="61"/>
        <v>0</v>
      </c>
      <c r="Q528" s="15">
        <f t="shared" si="62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>SUM(D520:D528)</f>
        <v>5332</v>
      </c>
      <c r="E529" s="22">
        <f>SUM(E520:E528)</f>
        <v>61000</v>
      </c>
      <c r="F529" s="22">
        <f t="shared" ref="F529:Q529" si="64">SUM(F520:F528)</f>
        <v>0</v>
      </c>
      <c r="G529" s="22">
        <f t="shared" si="64"/>
        <v>0</v>
      </c>
      <c r="H529" s="22">
        <f t="shared" si="64"/>
        <v>60800</v>
      </c>
      <c r="I529" s="22">
        <f t="shared" si="64"/>
        <v>41521200</v>
      </c>
      <c r="J529" s="22">
        <f t="shared" si="64"/>
        <v>0</v>
      </c>
      <c r="K529" s="22">
        <f t="shared" si="64"/>
        <v>0</v>
      </c>
      <c r="L529" s="22">
        <f t="shared" si="64"/>
        <v>0</v>
      </c>
      <c r="M529" s="22">
        <f t="shared" si="64"/>
        <v>0</v>
      </c>
      <c r="N529" s="22">
        <f t="shared" si="64"/>
        <v>0</v>
      </c>
      <c r="O529" s="22">
        <f t="shared" si="64"/>
        <v>0</v>
      </c>
      <c r="P529" s="22">
        <f t="shared" si="64"/>
        <v>0</v>
      </c>
      <c r="Q529" s="22">
        <f t="shared" si="64"/>
        <v>41521200</v>
      </c>
      <c r="R529" s="47"/>
    </row>
    <row r="530" spans="1:18" ht="16.5" x14ac:dyDescent="0.25">
      <c r="A530" s="74" t="s">
        <v>398</v>
      </c>
      <c r="B530" s="75"/>
      <c r="C530" s="76"/>
      <c r="D530" s="22">
        <f>SUM(D508,D483,D529)</f>
        <v>37992</v>
      </c>
      <c r="E530" s="22">
        <f t="shared" ref="E530:Q530" si="65">SUM(E508,E483,E529)</f>
        <v>3515200</v>
      </c>
      <c r="F530" s="22">
        <f t="shared" si="65"/>
        <v>159300</v>
      </c>
      <c r="G530" s="22">
        <f t="shared" si="65"/>
        <v>186950</v>
      </c>
      <c r="H530" s="22">
        <f t="shared" si="65"/>
        <v>3861250</v>
      </c>
      <c r="I530" s="22">
        <f t="shared" si="65"/>
        <v>296193300</v>
      </c>
      <c r="J530" s="22">
        <f t="shared" si="65"/>
        <v>600000</v>
      </c>
      <c r="K530" s="22">
        <f t="shared" si="65"/>
        <v>36176000</v>
      </c>
      <c r="L530" s="22">
        <f t="shared" si="65"/>
        <v>636020</v>
      </c>
      <c r="M530" s="22">
        <f t="shared" si="65"/>
        <v>0</v>
      </c>
      <c r="N530" s="22">
        <f t="shared" si="65"/>
        <v>0</v>
      </c>
      <c r="O530" s="22">
        <f t="shared" si="65"/>
        <v>7950250</v>
      </c>
      <c r="P530" s="22">
        <f t="shared" si="65"/>
        <v>44610590</v>
      </c>
      <c r="Q530" s="22">
        <f t="shared" si="65"/>
        <v>229767510</v>
      </c>
      <c r="R530" s="47"/>
    </row>
    <row r="531" spans="1:18" x14ac:dyDescent="0.25">
      <c r="A531" s="52"/>
      <c r="B531" s="52"/>
      <c r="C531" s="52"/>
      <c r="D531" s="7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465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7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7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18:R518"/>
    <mergeCell ref="A529:C529"/>
    <mergeCell ref="A530:C530"/>
    <mergeCell ref="A496:R496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tabSelected="1" view="pageBreakPreview" zoomScaleNormal="100" zoomScaleSheetLayoutView="100" workbookViewId="0">
      <pane xSplit="2" ySplit="3" topLeftCell="C462" activePane="bottomRight" state="frozen"/>
      <selection pane="topRight"/>
      <selection pane="bottomLeft"/>
      <selection pane="bottomRight" activeCell="K467" sqref="K467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412</v>
      </c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3172400</v>
      </c>
      <c r="J5" s="16"/>
      <c r="K5" s="15">
        <v>900000</v>
      </c>
      <c r="L5" s="15">
        <f t="shared" si="0"/>
        <v>8240</v>
      </c>
      <c r="M5" s="16"/>
      <c r="N5" s="16"/>
      <c r="O5" s="15">
        <f t="shared" si="1"/>
        <v>103000</v>
      </c>
      <c r="P5" s="15">
        <f t="shared" si="2"/>
        <v>1011240</v>
      </c>
      <c r="Q5" s="15">
        <f t="shared" ref="Q5:Q68" si="5">I5-P5</f>
        <v>2161160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370</v>
      </c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2904500</v>
      </c>
      <c r="J6" s="16"/>
      <c r="K6" s="15">
        <v>970000</v>
      </c>
      <c r="L6" s="15">
        <f t="shared" si="0"/>
        <v>7400</v>
      </c>
      <c r="M6" s="16"/>
      <c r="N6" s="16"/>
      <c r="O6" s="15">
        <f t="shared" si="1"/>
        <v>92500</v>
      </c>
      <c r="P6" s="15">
        <f t="shared" si="2"/>
        <v>1069900</v>
      </c>
      <c r="Q6" s="15">
        <f t="shared" si="5"/>
        <v>1834600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244</v>
      </c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1952000</v>
      </c>
      <c r="J9" s="16"/>
      <c r="K9" s="15">
        <v>900000</v>
      </c>
      <c r="L9" s="15">
        <f t="shared" si="0"/>
        <v>4880</v>
      </c>
      <c r="M9" s="16"/>
      <c r="N9" s="16"/>
      <c r="O9" s="15">
        <f t="shared" si="1"/>
        <v>61000</v>
      </c>
      <c r="P9" s="15">
        <f t="shared" si="2"/>
        <v>965880</v>
      </c>
      <c r="Q9" s="15">
        <f t="shared" si="5"/>
        <v>986120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>
        <v>130</v>
      </c>
      <c r="E11" s="15">
        <v>7100</v>
      </c>
      <c r="F11" s="15">
        <v>350</v>
      </c>
      <c r="G11" s="15">
        <v>400</v>
      </c>
      <c r="H11" s="15">
        <f t="shared" si="3"/>
        <v>7850</v>
      </c>
      <c r="I11" s="15">
        <f t="shared" si="4"/>
        <v>1020500</v>
      </c>
      <c r="J11" s="20"/>
      <c r="K11" s="15">
        <v>450000</v>
      </c>
      <c r="L11" s="15">
        <f t="shared" si="0"/>
        <v>2600</v>
      </c>
      <c r="M11" s="20"/>
      <c r="N11" s="20"/>
      <c r="O11" s="15">
        <f t="shared" si="1"/>
        <v>32500</v>
      </c>
      <c r="P11" s="15">
        <f t="shared" si="2"/>
        <v>485100</v>
      </c>
      <c r="Q11" s="15">
        <f t="shared" si="5"/>
        <v>535400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218</v>
      </c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1711300</v>
      </c>
      <c r="J18" s="16"/>
      <c r="K18" s="15">
        <v>450000</v>
      </c>
      <c r="L18" s="15">
        <f t="shared" si="0"/>
        <v>4360</v>
      </c>
      <c r="M18" s="16"/>
      <c r="N18" s="16"/>
      <c r="O18" s="15">
        <f t="shared" si="1"/>
        <v>54500</v>
      </c>
      <c r="P18" s="15">
        <f t="shared" si="2"/>
        <v>508860</v>
      </c>
      <c r="Q18" s="15">
        <f t="shared" si="5"/>
        <v>1202440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266</v>
      </c>
      <c r="E27" s="15">
        <v>7100</v>
      </c>
      <c r="F27" s="15">
        <v>350</v>
      </c>
      <c r="G27" s="15">
        <v>200</v>
      </c>
      <c r="H27" s="15">
        <f t="shared" si="3"/>
        <v>7650</v>
      </c>
      <c r="I27" s="15">
        <f t="shared" si="4"/>
        <v>2034900</v>
      </c>
      <c r="J27" s="16"/>
      <c r="K27" s="15">
        <v>675000</v>
      </c>
      <c r="L27" s="15">
        <f t="shared" si="0"/>
        <v>5320</v>
      </c>
      <c r="M27" s="16"/>
      <c r="N27" s="16"/>
      <c r="O27" s="15">
        <f t="shared" si="1"/>
        <v>66500</v>
      </c>
      <c r="P27" s="15">
        <f t="shared" si="2"/>
        <v>746820</v>
      </c>
      <c r="Q27" s="15">
        <f t="shared" si="5"/>
        <v>1288080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75</v>
      </c>
      <c r="E29" s="15">
        <v>7100</v>
      </c>
      <c r="F29" s="15">
        <v>350</v>
      </c>
      <c r="G29" s="15">
        <v>400</v>
      </c>
      <c r="H29" s="15">
        <f t="shared" si="3"/>
        <v>7850</v>
      </c>
      <c r="I29" s="15">
        <f t="shared" si="4"/>
        <v>588750</v>
      </c>
      <c r="J29" s="16"/>
      <c r="K29" s="15">
        <v>225000</v>
      </c>
      <c r="L29" s="15">
        <f t="shared" si="0"/>
        <v>1500</v>
      </c>
      <c r="M29" s="16"/>
      <c r="N29" s="16"/>
      <c r="O29" s="15">
        <f t="shared" si="1"/>
        <v>18750</v>
      </c>
      <c r="P29" s="15">
        <f t="shared" si="2"/>
        <v>245250</v>
      </c>
      <c r="Q29" s="15">
        <f t="shared" si="5"/>
        <v>343500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13</v>
      </c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100750</v>
      </c>
      <c r="J30" s="16"/>
      <c r="K30" s="15"/>
      <c r="L30" s="15">
        <f t="shared" si="0"/>
        <v>260</v>
      </c>
      <c r="M30" s="16"/>
      <c r="N30" s="16"/>
      <c r="O30" s="15">
        <f t="shared" si="1"/>
        <v>3250</v>
      </c>
      <c r="P30" s="15">
        <f t="shared" si="2"/>
        <v>3510</v>
      </c>
      <c r="Q30" s="15">
        <f t="shared" si="5"/>
        <v>97240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260</v>
      </c>
      <c r="E35" s="15">
        <v>7100</v>
      </c>
      <c r="F35" s="15">
        <v>200</v>
      </c>
      <c r="G35" s="15">
        <v>200</v>
      </c>
      <c r="H35" s="15">
        <f t="shared" si="3"/>
        <v>7500</v>
      </c>
      <c r="I35" s="15">
        <f t="shared" si="4"/>
        <v>1950000</v>
      </c>
      <c r="J35" s="16"/>
      <c r="K35" s="15"/>
      <c r="L35" s="15">
        <f t="shared" si="0"/>
        <v>5200</v>
      </c>
      <c r="M35" s="16"/>
      <c r="N35" s="16"/>
      <c r="O35" s="15">
        <f t="shared" si="1"/>
        <v>65000</v>
      </c>
      <c r="P35" s="15">
        <f t="shared" si="2"/>
        <v>70200</v>
      </c>
      <c r="Q35" s="15">
        <f t="shared" si="5"/>
        <v>1879800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632</v>
      </c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4898000</v>
      </c>
      <c r="J37" s="16"/>
      <c r="K37" s="15">
        <v>1800000</v>
      </c>
      <c r="L37" s="15">
        <f t="shared" si="0"/>
        <v>12640</v>
      </c>
      <c r="M37" s="20"/>
      <c r="N37" s="20"/>
      <c r="O37" s="15">
        <f t="shared" si="1"/>
        <v>158000</v>
      </c>
      <c r="P37" s="15">
        <f t="shared" si="2"/>
        <v>1970640</v>
      </c>
      <c r="Q37" s="15">
        <f t="shared" si="5"/>
        <v>2927360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223</v>
      </c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1750550</v>
      </c>
      <c r="J40" s="16"/>
      <c r="K40" s="15"/>
      <c r="L40" s="15">
        <f t="shared" si="0"/>
        <v>4460</v>
      </c>
      <c r="M40" s="20"/>
      <c r="N40" s="20"/>
      <c r="O40" s="15">
        <f t="shared" si="1"/>
        <v>55750</v>
      </c>
      <c r="P40" s="15">
        <f t="shared" si="2"/>
        <v>60210</v>
      </c>
      <c r="Q40" s="15">
        <f t="shared" si="5"/>
        <v>1690340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183</v>
      </c>
      <c r="E41" s="15">
        <v>7100</v>
      </c>
      <c r="F41" s="15">
        <v>250</v>
      </c>
      <c r="G41" s="15">
        <v>400</v>
      </c>
      <c r="H41" s="15">
        <f t="shared" si="3"/>
        <v>7750</v>
      </c>
      <c r="I41" s="15">
        <f t="shared" si="4"/>
        <v>1418250</v>
      </c>
      <c r="J41" s="20"/>
      <c r="K41" s="15">
        <v>450000</v>
      </c>
      <c r="L41" s="15">
        <f t="shared" si="0"/>
        <v>3660</v>
      </c>
      <c r="M41" s="20"/>
      <c r="N41" s="20"/>
      <c r="O41" s="15">
        <f t="shared" si="1"/>
        <v>45750</v>
      </c>
      <c r="P41" s="15">
        <f t="shared" si="2"/>
        <v>499410</v>
      </c>
      <c r="Q41" s="15">
        <f t="shared" si="5"/>
        <v>918840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281</v>
      </c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2177750</v>
      </c>
      <c r="J43" s="16"/>
      <c r="K43" s="15">
        <v>675000</v>
      </c>
      <c r="L43" s="15">
        <f t="shared" si="0"/>
        <v>5620</v>
      </c>
      <c r="M43" s="16"/>
      <c r="N43" s="16"/>
      <c r="O43" s="15">
        <f t="shared" si="1"/>
        <v>70250</v>
      </c>
      <c r="P43" s="15">
        <f t="shared" si="2"/>
        <v>750870</v>
      </c>
      <c r="Q43" s="15">
        <f t="shared" si="5"/>
        <v>1426880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390</v>
      </c>
      <c r="E50" s="15">
        <v>7100</v>
      </c>
      <c r="F50" s="15">
        <v>350</v>
      </c>
      <c r="G50" s="15">
        <v>400</v>
      </c>
      <c r="H50" s="15">
        <f t="shared" si="3"/>
        <v>7850</v>
      </c>
      <c r="I50" s="15">
        <f t="shared" si="4"/>
        <v>3061500</v>
      </c>
      <c r="J50" s="16"/>
      <c r="K50" s="15">
        <v>1350000</v>
      </c>
      <c r="L50" s="15">
        <f t="shared" si="0"/>
        <v>7800</v>
      </c>
      <c r="M50" s="16"/>
      <c r="N50" s="16"/>
      <c r="O50" s="15">
        <f t="shared" si="1"/>
        <v>97500</v>
      </c>
      <c r="P50" s="15">
        <f t="shared" si="2"/>
        <v>1455300</v>
      </c>
      <c r="Q50" s="15">
        <f t="shared" si="5"/>
        <v>1606200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472</v>
      </c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3610800</v>
      </c>
      <c r="J51" s="16"/>
      <c r="K51" s="15">
        <v>1125000</v>
      </c>
      <c r="L51" s="15">
        <f t="shared" si="0"/>
        <v>9440</v>
      </c>
      <c r="M51" s="16"/>
      <c r="N51" s="16"/>
      <c r="O51" s="15">
        <f t="shared" si="1"/>
        <v>118000</v>
      </c>
      <c r="P51" s="15">
        <f t="shared" si="2"/>
        <v>1252440</v>
      </c>
      <c r="Q51" s="15">
        <f t="shared" si="5"/>
        <v>2358360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66</v>
      </c>
      <c r="E52" s="15">
        <v>7100</v>
      </c>
      <c r="F52" s="15">
        <v>300</v>
      </c>
      <c r="G52" s="15">
        <v>300</v>
      </c>
      <c r="H52" s="15">
        <f t="shared" si="3"/>
        <v>7700</v>
      </c>
      <c r="I52" s="15">
        <f t="shared" si="4"/>
        <v>508200</v>
      </c>
      <c r="J52" s="16"/>
      <c r="K52" s="15">
        <v>225000</v>
      </c>
      <c r="L52" s="15">
        <f t="shared" si="0"/>
        <v>1320</v>
      </c>
      <c r="M52" s="16"/>
      <c r="N52" s="16"/>
      <c r="O52" s="15">
        <f t="shared" si="1"/>
        <v>16500</v>
      </c>
      <c r="P52" s="15">
        <f t="shared" si="2"/>
        <v>242820</v>
      </c>
      <c r="Q52" s="15">
        <f t="shared" si="5"/>
        <v>265380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72</v>
      </c>
      <c r="E53" s="15">
        <v>7100</v>
      </c>
      <c r="F53" s="15">
        <v>250</v>
      </c>
      <c r="G53" s="15">
        <v>400</v>
      </c>
      <c r="H53" s="15">
        <f t="shared" si="3"/>
        <v>7750</v>
      </c>
      <c r="I53" s="15">
        <f t="shared" si="4"/>
        <v>558000</v>
      </c>
      <c r="J53" s="16"/>
      <c r="K53" s="15">
        <v>225000</v>
      </c>
      <c r="L53" s="15">
        <f t="shared" si="0"/>
        <v>1440</v>
      </c>
      <c r="M53" s="16"/>
      <c r="N53" s="16"/>
      <c r="O53" s="15">
        <f t="shared" si="1"/>
        <v>18000</v>
      </c>
      <c r="P53" s="15">
        <f t="shared" si="2"/>
        <v>244440</v>
      </c>
      <c r="Q53" s="15">
        <f t="shared" si="5"/>
        <v>313560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307</v>
      </c>
      <c r="E56" s="15">
        <v>7100</v>
      </c>
      <c r="F56" s="15">
        <v>500</v>
      </c>
      <c r="G56" s="15">
        <v>400</v>
      </c>
      <c r="H56" s="15">
        <f t="shared" si="3"/>
        <v>8000</v>
      </c>
      <c r="I56" s="15">
        <f t="shared" si="4"/>
        <v>2456000</v>
      </c>
      <c r="J56" s="16"/>
      <c r="K56" s="15">
        <v>675000</v>
      </c>
      <c r="L56" s="15">
        <f t="shared" si="0"/>
        <v>6140</v>
      </c>
      <c r="M56" s="20"/>
      <c r="N56" s="20"/>
      <c r="O56" s="15">
        <f t="shared" si="1"/>
        <v>76750</v>
      </c>
      <c r="P56" s="15">
        <f t="shared" si="2"/>
        <v>757890</v>
      </c>
      <c r="Q56" s="15">
        <f t="shared" si="5"/>
        <v>1698110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104</v>
      </c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806000</v>
      </c>
      <c r="J59" s="16"/>
      <c r="K59" s="15">
        <v>455000</v>
      </c>
      <c r="L59" s="15">
        <f t="shared" si="0"/>
        <v>2080</v>
      </c>
      <c r="M59" s="16"/>
      <c r="N59" s="16"/>
      <c r="O59" s="15">
        <f t="shared" si="1"/>
        <v>26000</v>
      </c>
      <c r="P59" s="15">
        <f t="shared" si="2"/>
        <v>483080</v>
      </c>
      <c r="Q59" s="15">
        <f t="shared" si="5"/>
        <v>322920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1142</v>
      </c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8964700</v>
      </c>
      <c r="J62" s="16"/>
      <c r="K62" s="15"/>
      <c r="L62" s="15">
        <f t="shared" si="0"/>
        <v>22840</v>
      </c>
      <c r="M62" s="20"/>
      <c r="N62" s="20"/>
      <c r="O62" s="15">
        <f t="shared" si="1"/>
        <v>285500</v>
      </c>
      <c r="P62" s="15">
        <f t="shared" si="2"/>
        <v>308340</v>
      </c>
      <c r="Q62" s="15">
        <f t="shared" si="5"/>
        <v>8656360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150</v>
      </c>
      <c r="E66" s="15">
        <v>7100</v>
      </c>
      <c r="F66" s="15">
        <v>350</v>
      </c>
      <c r="G66" s="15">
        <v>200</v>
      </c>
      <c r="H66" s="15">
        <f t="shared" si="3"/>
        <v>7650</v>
      </c>
      <c r="I66" s="15">
        <f t="shared" si="4"/>
        <v>1147500</v>
      </c>
      <c r="J66" s="20"/>
      <c r="K66" s="15">
        <v>450000</v>
      </c>
      <c r="L66" s="15">
        <f t="shared" si="0"/>
        <v>3000</v>
      </c>
      <c r="M66" s="20"/>
      <c r="N66" s="20"/>
      <c r="O66" s="15">
        <f t="shared" si="1"/>
        <v>37500</v>
      </c>
      <c r="P66" s="15">
        <f t="shared" si="2"/>
        <v>490500</v>
      </c>
      <c r="Q66" s="15">
        <f t="shared" si="5"/>
        <v>657000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512</v>
      </c>
      <c r="E69" s="15">
        <v>7100</v>
      </c>
      <c r="F69" s="15">
        <v>350</v>
      </c>
      <c r="G69" s="15">
        <v>400</v>
      </c>
      <c r="H69" s="15">
        <f t="shared" si="3"/>
        <v>7850</v>
      </c>
      <c r="I69" s="15">
        <f t="shared" si="4"/>
        <v>4019200</v>
      </c>
      <c r="J69" s="16">
        <v>210000</v>
      </c>
      <c r="K69" s="15">
        <v>1160000</v>
      </c>
      <c r="L69" s="15">
        <f t="shared" ref="L69:L132" si="6">D69*20</f>
        <v>10240</v>
      </c>
      <c r="M69" s="20"/>
      <c r="N69" s="20"/>
      <c r="O69" s="15">
        <f t="shared" ref="O69:O132" si="7">250*D69</f>
        <v>128000</v>
      </c>
      <c r="P69" s="15">
        <f t="shared" ref="P69:P132" si="8">SUM(J69:O69)</f>
        <v>1508240</v>
      </c>
      <c r="Q69" s="15">
        <f t="shared" ref="Q69:Q132" si="9">I69-P69</f>
        <v>2510960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116</v>
      </c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899000</v>
      </c>
      <c r="J72" s="16"/>
      <c r="K72" s="15">
        <v>450000</v>
      </c>
      <c r="L72" s="15">
        <f t="shared" si="6"/>
        <v>2320</v>
      </c>
      <c r="M72" s="20"/>
      <c r="N72" s="20"/>
      <c r="O72" s="15">
        <f t="shared" si="7"/>
        <v>29000</v>
      </c>
      <c r="P72" s="15">
        <f t="shared" si="8"/>
        <v>481320</v>
      </c>
      <c r="Q72" s="15">
        <f t="shared" si="9"/>
        <v>417680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225</v>
      </c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1766250</v>
      </c>
      <c r="J76" s="20"/>
      <c r="K76" s="15">
        <v>450000</v>
      </c>
      <c r="L76" s="15">
        <f t="shared" si="6"/>
        <v>4500</v>
      </c>
      <c r="M76" s="20"/>
      <c r="N76" s="20"/>
      <c r="O76" s="15">
        <f t="shared" si="7"/>
        <v>56250</v>
      </c>
      <c r="P76" s="15">
        <f t="shared" si="8"/>
        <v>510750</v>
      </c>
      <c r="Q76" s="15">
        <f t="shared" si="9"/>
        <v>1255500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590</v>
      </c>
      <c r="E78" s="15">
        <v>7100</v>
      </c>
      <c r="F78" s="15">
        <v>500</v>
      </c>
      <c r="G78" s="15">
        <v>400</v>
      </c>
      <c r="H78" s="15">
        <f t="shared" si="10"/>
        <v>8000</v>
      </c>
      <c r="I78" s="15">
        <f t="shared" si="11"/>
        <v>4720000</v>
      </c>
      <c r="J78" s="16"/>
      <c r="K78" s="15">
        <v>2295000</v>
      </c>
      <c r="L78" s="15">
        <f t="shared" si="6"/>
        <v>11800</v>
      </c>
      <c r="M78" s="20"/>
      <c r="N78" s="20"/>
      <c r="O78" s="15">
        <f t="shared" si="7"/>
        <v>147500</v>
      </c>
      <c r="P78" s="15">
        <f t="shared" si="8"/>
        <v>2454300</v>
      </c>
      <c r="Q78" s="15">
        <f t="shared" si="9"/>
        <v>2265700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205</v>
      </c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1609250</v>
      </c>
      <c r="J83" s="16"/>
      <c r="K83" s="15">
        <v>900000</v>
      </c>
      <c r="L83" s="15">
        <f t="shared" si="6"/>
        <v>4100</v>
      </c>
      <c r="M83" s="20"/>
      <c r="N83" s="20"/>
      <c r="O83" s="15">
        <f t="shared" si="7"/>
        <v>51250</v>
      </c>
      <c r="P83" s="15">
        <f t="shared" si="8"/>
        <v>955350</v>
      </c>
      <c r="Q83" s="15">
        <f t="shared" si="9"/>
        <v>653900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180</v>
      </c>
      <c r="E85" s="15">
        <v>7100</v>
      </c>
      <c r="F85" s="15">
        <v>350</v>
      </c>
      <c r="G85" s="15">
        <v>400</v>
      </c>
      <c r="H85" s="15">
        <f t="shared" si="10"/>
        <v>7850</v>
      </c>
      <c r="I85" s="15">
        <f t="shared" si="11"/>
        <v>1413000</v>
      </c>
      <c r="J85" s="16"/>
      <c r="K85" s="15">
        <v>935000</v>
      </c>
      <c r="L85" s="15">
        <f t="shared" si="6"/>
        <v>3600</v>
      </c>
      <c r="M85" s="20"/>
      <c r="N85" s="20"/>
      <c r="O85" s="15">
        <f t="shared" si="7"/>
        <v>45000</v>
      </c>
      <c r="P85" s="15">
        <f t="shared" si="8"/>
        <v>983600</v>
      </c>
      <c r="Q85" s="15">
        <f t="shared" si="9"/>
        <v>429400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130</v>
      </c>
      <c r="E92" s="15">
        <v>7100</v>
      </c>
      <c r="F92" s="15">
        <v>350</v>
      </c>
      <c r="G92" s="15">
        <v>400</v>
      </c>
      <c r="H92" s="15">
        <f t="shared" si="10"/>
        <v>7850</v>
      </c>
      <c r="I92" s="15">
        <f t="shared" si="11"/>
        <v>1020500</v>
      </c>
      <c r="J92" s="16"/>
      <c r="K92" s="15">
        <v>450000</v>
      </c>
      <c r="L92" s="15">
        <f t="shared" si="6"/>
        <v>2600</v>
      </c>
      <c r="M92" s="16"/>
      <c r="N92" s="16"/>
      <c r="O92" s="15">
        <f t="shared" si="7"/>
        <v>32500</v>
      </c>
      <c r="P92" s="15">
        <f t="shared" si="8"/>
        <v>485100</v>
      </c>
      <c r="Q92" s="15">
        <f t="shared" si="9"/>
        <v>535400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193</v>
      </c>
      <c r="E95" s="15">
        <v>7100</v>
      </c>
      <c r="F95" s="15">
        <v>350</v>
      </c>
      <c r="G95" s="15">
        <v>200</v>
      </c>
      <c r="H95" s="15">
        <f t="shared" si="10"/>
        <v>7650</v>
      </c>
      <c r="I95" s="15">
        <f t="shared" si="11"/>
        <v>1476450</v>
      </c>
      <c r="J95" s="16"/>
      <c r="K95" s="15">
        <v>450000</v>
      </c>
      <c r="L95" s="15">
        <f t="shared" si="6"/>
        <v>3860</v>
      </c>
      <c r="M95" s="20"/>
      <c r="N95" s="20"/>
      <c r="O95" s="15">
        <f t="shared" si="7"/>
        <v>48250</v>
      </c>
      <c r="P95" s="15">
        <f t="shared" si="8"/>
        <v>502110</v>
      </c>
      <c r="Q95" s="15">
        <f t="shared" si="9"/>
        <v>974340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174</v>
      </c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1305000</v>
      </c>
      <c r="J102" s="16"/>
      <c r="K102" s="15">
        <v>225000</v>
      </c>
      <c r="L102" s="15">
        <f t="shared" si="6"/>
        <v>3480</v>
      </c>
      <c r="M102" s="20"/>
      <c r="N102" s="20"/>
      <c r="O102" s="15">
        <f t="shared" si="7"/>
        <v>43500</v>
      </c>
      <c r="P102" s="15">
        <f t="shared" si="8"/>
        <v>271980</v>
      </c>
      <c r="Q102" s="15">
        <f t="shared" si="9"/>
        <v>1033020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1010</v>
      </c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8080000</v>
      </c>
      <c r="J114" s="16"/>
      <c r="K114" s="15"/>
      <c r="L114" s="15">
        <f t="shared" si="6"/>
        <v>20200</v>
      </c>
      <c r="M114" s="16"/>
      <c r="N114" s="16"/>
      <c r="O114" s="15">
        <f t="shared" si="7"/>
        <v>252500</v>
      </c>
      <c r="P114" s="15">
        <f t="shared" si="8"/>
        <v>272700</v>
      </c>
      <c r="Q114" s="15">
        <f t="shared" si="9"/>
        <v>7807300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30</v>
      </c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240000</v>
      </c>
      <c r="J118" s="20"/>
      <c r="K118" s="15">
        <v>225000</v>
      </c>
      <c r="L118" s="15">
        <f t="shared" si="6"/>
        <v>600</v>
      </c>
      <c r="M118" s="16"/>
      <c r="N118" s="16"/>
      <c r="O118" s="15">
        <f t="shared" si="7"/>
        <v>7500</v>
      </c>
      <c r="P118" s="15">
        <f t="shared" si="8"/>
        <v>233100</v>
      </c>
      <c r="Q118" s="15">
        <f t="shared" si="9"/>
        <v>6900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239</v>
      </c>
      <c r="E119" s="15">
        <v>7100</v>
      </c>
      <c r="F119" s="15">
        <v>350</v>
      </c>
      <c r="G119" s="15">
        <v>400</v>
      </c>
      <c r="H119" s="15">
        <f t="shared" si="10"/>
        <v>7850</v>
      </c>
      <c r="I119" s="15">
        <f t="shared" si="11"/>
        <v>1876150</v>
      </c>
      <c r="J119" s="16"/>
      <c r="K119" s="15"/>
      <c r="L119" s="15">
        <f t="shared" si="6"/>
        <v>4780</v>
      </c>
      <c r="M119" s="16"/>
      <c r="N119" s="16"/>
      <c r="O119" s="15">
        <f t="shared" si="7"/>
        <v>59750</v>
      </c>
      <c r="P119" s="15">
        <f t="shared" si="8"/>
        <v>64530</v>
      </c>
      <c r="Q119" s="15">
        <f t="shared" si="9"/>
        <v>1811620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/>
      <c r="E120" s="15">
        <v>7100</v>
      </c>
      <c r="F120" s="15">
        <v>350</v>
      </c>
      <c r="G120" s="15">
        <v>400</v>
      </c>
      <c r="H120" s="15">
        <f t="shared" si="10"/>
        <v>7850</v>
      </c>
      <c r="I120" s="15">
        <f t="shared" si="11"/>
        <v>0</v>
      </c>
      <c r="J120" s="16"/>
      <c r="K120" s="15"/>
      <c r="L120" s="15">
        <f t="shared" si="6"/>
        <v>0</v>
      </c>
      <c r="M120" s="16"/>
      <c r="N120" s="16"/>
      <c r="O120" s="15">
        <f t="shared" si="7"/>
        <v>0</v>
      </c>
      <c r="P120" s="15">
        <f t="shared" si="8"/>
        <v>0</v>
      </c>
      <c r="Q120" s="15">
        <f t="shared" si="9"/>
        <v>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143</v>
      </c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1101100</v>
      </c>
      <c r="J121" s="16"/>
      <c r="K121" s="15">
        <v>225000</v>
      </c>
      <c r="L121" s="15">
        <f t="shared" si="6"/>
        <v>2860</v>
      </c>
      <c r="M121" s="16"/>
      <c r="N121" s="16"/>
      <c r="O121" s="15">
        <f t="shared" si="7"/>
        <v>35750</v>
      </c>
      <c r="P121" s="15">
        <f t="shared" si="8"/>
        <v>263610</v>
      </c>
      <c r="Q121" s="15">
        <f t="shared" si="9"/>
        <v>837490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55</v>
      </c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434500</v>
      </c>
      <c r="J123" s="20"/>
      <c r="K123" s="15">
        <v>230000</v>
      </c>
      <c r="L123" s="15">
        <f t="shared" si="6"/>
        <v>1100</v>
      </c>
      <c r="M123" s="20"/>
      <c r="N123" s="20"/>
      <c r="O123" s="15">
        <f t="shared" si="7"/>
        <v>13750</v>
      </c>
      <c r="P123" s="15">
        <f t="shared" si="8"/>
        <v>244850</v>
      </c>
      <c r="Q123" s="15">
        <f t="shared" si="9"/>
        <v>189650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241</v>
      </c>
      <c r="E126" s="15">
        <v>7100</v>
      </c>
      <c r="F126" s="15">
        <v>350</v>
      </c>
      <c r="G126" s="15">
        <v>400</v>
      </c>
      <c r="H126" s="15">
        <f t="shared" si="10"/>
        <v>7850</v>
      </c>
      <c r="I126" s="15">
        <f t="shared" si="11"/>
        <v>1891850</v>
      </c>
      <c r="J126" s="16"/>
      <c r="K126" s="15"/>
      <c r="L126" s="15">
        <f t="shared" si="6"/>
        <v>4820</v>
      </c>
      <c r="M126" s="20"/>
      <c r="N126" s="20"/>
      <c r="O126" s="15">
        <f t="shared" si="7"/>
        <v>60250</v>
      </c>
      <c r="P126" s="15">
        <f t="shared" si="8"/>
        <v>65070</v>
      </c>
      <c r="Q126" s="15">
        <f t="shared" si="9"/>
        <v>1826780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175</v>
      </c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1347500</v>
      </c>
      <c r="J127" s="20"/>
      <c r="K127" s="15"/>
      <c r="L127" s="15">
        <f t="shared" si="6"/>
        <v>3500</v>
      </c>
      <c r="M127" s="16"/>
      <c r="N127" s="16"/>
      <c r="O127" s="15">
        <f t="shared" si="7"/>
        <v>43750</v>
      </c>
      <c r="P127" s="15">
        <f t="shared" si="8"/>
        <v>47250</v>
      </c>
      <c r="Q127" s="15">
        <f t="shared" si="9"/>
        <v>1300250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131</v>
      </c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1048000</v>
      </c>
      <c r="J128" s="16"/>
      <c r="K128" s="15"/>
      <c r="L128" s="15">
        <f t="shared" si="6"/>
        <v>2620</v>
      </c>
      <c r="M128" s="16"/>
      <c r="N128" s="16"/>
      <c r="O128" s="15">
        <f t="shared" si="7"/>
        <v>32750</v>
      </c>
      <c r="P128" s="15">
        <f t="shared" si="8"/>
        <v>35370</v>
      </c>
      <c r="Q128" s="15">
        <f t="shared" si="9"/>
        <v>1012630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310</v>
      </c>
      <c r="E129" s="15">
        <v>7100</v>
      </c>
      <c r="F129" s="15">
        <v>250</v>
      </c>
      <c r="G129" s="15">
        <v>300</v>
      </c>
      <c r="H129" s="15">
        <f t="shared" si="10"/>
        <v>7650</v>
      </c>
      <c r="I129" s="15">
        <f t="shared" si="11"/>
        <v>2371500</v>
      </c>
      <c r="J129" s="16"/>
      <c r="K129" s="23">
        <v>450000</v>
      </c>
      <c r="L129" s="15">
        <f t="shared" si="6"/>
        <v>6200</v>
      </c>
      <c r="M129" s="16"/>
      <c r="N129" s="16"/>
      <c r="O129" s="15">
        <f t="shared" si="7"/>
        <v>77500</v>
      </c>
      <c r="P129" s="15">
        <f t="shared" si="8"/>
        <v>533700</v>
      </c>
      <c r="Q129" s="15">
        <f t="shared" si="9"/>
        <v>1837800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735</v>
      </c>
      <c r="E130" s="15">
        <v>7100</v>
      </c>
      <c r="F130" s="15">
        <v>250</v>
      </c>
      <c r="G130" s="15">
        <v>300</v>
      </c>
      <c r="H130" s="15">
        <f t="shared" si="10"/>
        <v>7650</v>
      </c>
      <c r="I130" s="15">
        <f t="shared" si="11"/>
        <v>5622750</v>
      </c>
      <c r="J130" s="16"/>
      <c r="K130" s="15">
        <v>1125000</v>
      </c>
      <c r="L130" s="15">
        <f t="shared" si="6"/>
        <v>14700</v>
      </c>
      <c r="M130" s="20"/>
      <c r="N130" s="20"/>
      <c r="O130" s="15">
        <f t="shared" si="7"/>
        <v>183750</v>
      </c>
      <c r="P130" s="15">
        <f t="shared" si="8"/>
        <v>1323450</v>
      </c>
      <c r="Q130" s="15">
        <f t="shared" si="9"/>
        <v>4299300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223</v>
      </c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1672500</v>
      </c>
      <c r="J133" s="16"/>
      <c r="K133" s="15">
        <v>710000</v>
      </c>
      <c r="L133" s="15">
        <f t="shared" ref="L133:L196" si="12">D133*20</f>
        <v>4460</v>
      </c>
      <c r="M133" s="20"/>
      <c r="N133" s="20"/>
      <c r="O133" s="15">
        <f t="shared" ref="O133:O196" si="13">250*D133</f>
        <v>55750</v>
      </c>
      <c r="P133" s="15">
        <f t="shared" ref="P133:P196" si="14">SUM(J133:O133)</f>
        <v>770210</v>
      </c>
      <c r="Q133" s="15">
        <f t="shared" ref="Q133:Q196" si="15">I133-P133</f>
        <v>902290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130</v>
      </c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1020500</v>
      </c>
      <c r="J134" s="20"/>
      <c r="K134" s="15">
        <v>450000</v>
      </c>
      <c r="L134" s="15">
        <f t="shared" si="12"/>
        <v>2600</v>
      </c>
      <c r="M134" s="20"/>
      <c r="N134" s="20"/>
      <c r="O134" s="15">
        <f t="shared" si="13"/>
        <v>32500</v>
      </c>
      <c r="P134" s="15">
        <f t="shared" si="14"/>
        <v>485100</v>
      </c>
      <c r="Q134" s="15">
        <f t="shared" si="15"/>
        <v>535400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350</v>
      </c>
      <c r="G135" s="15">
        <v>400</v>
      </c>
      <c r="H135" s="15">
        <f t="shared" si="16"/>
        <v>7850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227</v>
      </c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1781950</v>
      </c>
      <c r="J139" s="16"/>
      <c r="K139" s="15">
        <v>675000</v>
      </c>
      <c r="L139" s="15">
        <f t="shared" si="12"/>
        <v>4540</v>
      </c>
      <c r="M139" s="16"/>
      <c r="N139" s="16"/>
      <c r="O139" s="15">
        <f t="shared" si="13"/>
        <v>56750</v>
      </c>
      <c r="P139" s="15">
        <f t="shared" si="14"/>
        <v>736290</v>
      </c>
      <c r="Q139" s="15">
        <f t="shared" si="15"/>
        <v>1045660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108</v>
      </c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847800</v>
      </c>
      <c r="J145" s="16"/>
      <c r="K145" s="15"/>
      <c r="L145" s="15">
        <f t="shared" si="12"/>
        <v>2160</v>
      </c>
      <c r="M145" s="16"/>
      <c r="N145" s="16"/>
      <c r="O145" s="15">
        <f t="shared" si="13"/>
        <v>27000</v>
      </c>
      <c r="P145" s="15">
        <f t="shared" si="14"/>
        <v>29160</v>
      </c>
      <c r="Q145" s="15">
        <f t="shared" si="15"/>
        <v>818640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114</v>
      </c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883500</v>
      </c>
      <c r="J146" s="16"/>
      <c r="K146" s="15">
        <v>450000</v>
      </c>
      <c r="L146" s="15">
        <f t="shared" si="12"/>
        <v>2280</v>
      </c>
      <c r="M146" s="16"/>
      <c r="N146" s="16"/>
      <c r="O146" s="15">
        <f t="shared" si="13"/>
        <v>28500</v>
      </c>
      <c r="P146" s="15">
        <f t="shared" si="14"/>
        <v>480780</v>
      </c>
      <c r="Q146" s="15">
        <f t="shared" si="15"/>
        <v>402720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265</v>
      </c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2080250</v>
      </c>
      <c r="J149" s="16"/>
      <c r="K149" s="15">
        <v>450000</v>
      </c>
      <c r="L149" s="15">
        <f t="shared" si="12"/>
        <v>5300</v>
      </c>
      <c r="M149" s="16"/>
      <c r="N149" s="16"/>
      <c r="O149" s="15">
        <f t="shared" si="13"/>
        <v>66250</v>
      </c>
      <c r="P149" s="15">
        <f t="shared" si="14"/>
        <v>521550</v>
      </c>
      <c r="Q149" s="15">
        <f t="shared" si="15"/>
        <v>1558700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27</v>
      </c>
      <c r="E156" s="15">
        <v>7100</v>
      </c>
      <c r="F156" s="15">
        <v>250</v>
      </c>
      <c r="G156" s="15">
        <v>400</v>
      </c>
      <c r="H156" s="15">
        <f t="shared" si="16"/>
        <v>7750</v>
      </c>
      <c r="I156" s="15">
        <f t="shared" si="17"/>
        <v>209250</v>
      </c>
      <c r="J156" s="16"/>
      <c r="K156" s="15">
        <v>195000</v>
      </c>
      <c r="L156" s="15">
        <f t="shared" si="12"/>
        <v>540</v>
      </c>
      <c r="M156" s="20"/>
      <c r="N156" s="20"/>
      <c r="O156" s="15">
        <f t="shared" si="13"/>
        <v>6750</v>
      </c>
      <c r="P156" s="15">
        <f t="shared" si="14"/>
        <v>202290</v>
      </c>
      <c r="Q156" s="15">
        <f t="shared" si="15"/>
        <v>6960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178</v>
      </c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1397300</v>
      </c>
      <c r="J157" s="20"/>
      <c r="K157" s="15">
        <v>450000</v>
      </c>
      <c r="L157" s="15">
        <f t="shared" si="12"/>
        <v>3560</v>
      </c>
      <c r="M157" s="16"/>
      <c r="N157" s="16"/>
      <c r="O157" s="15">
        <f t="shared" si="13"/>
        <v>44500</v>
      </c>
      <c r="P157" s="15">
        <f t="shared" si="14"/>
        <v>498060</v>
      </c>
      <c r="Q157" s="15">
        <f t="shared" si="15"/>
        <v>899240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202</v>
      </c>
      <c r="E165" s="15">
        <v>7100</v>
      </c>
      <c r="F165" s="15">
        <v>350</v>
      </c>
      <c r="G165" s="15">
        <v>400</v>
      </c>
      <c r="H165" s="15">
        <f t="shared" si="16"/>
        <v>7850</v>
      </c>
      <c r="I165" s="15">
        <f t="shared" si="17"/>
        <v>1585700</v>
      </c>
      <c r="J165" s="16"/>
      <c r="K165" s="15">
        <v>675000</v>
      </c>
      <c r="L165" s="15">
        <f t="shared" si="12"/>
        <v>4040</v>
      </c>
      <c r="M165" s="20"/>
      <c r="N165" s="20"/>
      <c r="O165" s="15">
        <f t="shared" si="13"/>
        <v>50500</v>
      </c>
      <c r="P165" s="15">
        <f t="shared" si="14"/>
        <v>729540</v>
      </c>
      <c r="Q165" s="15">
        <f t="shared" si="15"/>
        <v>856160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294</v>
      </c>
      <c r="E169" s="15">
        <v>7100</v>
      </c>
      <c r="F169" s="15">
        <v>250</v>
      </c>
      <c r="G169" s="15">
        <v>300</v>
      </c>
      <c r="H169" s="15">
        <f t="shared" si="16"/>
        <v>7650</v>
      </c>
      <c r="I169" s="15">
        <f t="shared" si="17"/>
        <v>2249100</v>
      </c>
      <c r="J169" s="16"/>
      <c r="K169" s="15">
        <v>900000</v>
      </c>
      <c r="L169" s="15">
        <f t="shared" si="12"/>
        <v>5880</v>
      </c>
      <c r="M169" s="16"/>
      <c r="N169" s="16"/>
      <c r="O169" s="15">
        <f t="shared" si="13"/>
        <v>73500</v>
      </c>
      <c r="P169" s="15">
        <f t="shared" si="14"/>
        <v>979380</v>
      </c>
      <c r="Q169" s="15">
        <f t="shared" si="15"/>
        <v>1269720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24"/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0</v>
      </c>
      <c r="Q170" s="15">
        <f t="shared" si="15"/>
        <v>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283</v>
      </c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2193250</v>
      </c>
      <c r="J175" s="16"/>
      <c r="K175" s="15">
        <v>675000</v>
      </c>
      <c r="L175" s="15">
        <f t="shared" si="12"/>
        <v>5660</v>
      </c>
      <c r="M175" s="16"/>
      <c r="N175" s="16"/>
      <c r="O175" s="15">
        <f t="shared" si="13"/>
        <v>70750</v>
      </c>
      <c r="P175" s="15">
        <f t="shared" si="14"/>
        <v>751410</v>
      </c>
      <c r="Q175" s="15">
        <f t="shared" si="15"/>
        <v>1441840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/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0</v>
      </c>
      <c r="Q180" s="15">
        <f t="shared" si="15"/>
        <v>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50</v>
      </c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392500</v>
      </c>
      <c r="J182" s="16"/>
      <c r="K182" s="15"/>
      <c r="L182" s="15">
        <f t="shared" si="12"/>
        <v>1000</v>
      </c>
      <c r="M182" s="20"/>
      <c r="N182" s="20"/>
      <c r="O182" s="15">
        <f t="shared" si="13"/>
        <v>12500</v>
      </c>
      <c r="P182" s="15">
        <f t="shared" si="14"/>
        <v>13500</v>
      </c>
      <c r="Q182" s="15">
        <f t="shared" si="15"/>
        <v>379000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/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0</v>
      </c>
      <c r="J185" s="16"/>
      <c r="K185" s="15"/>
      <c r="L185" s="15">
        <f t="shared" si="12"/>
        <v>0</v>
      </c>
      <c r="M185" s="20"/>
      <c r="N185" s="20"/>
      <c r="O185" s="15">
        <f t="shared" si="13"/>
        <v>0</v>
      </c>
      <c r="P185" s="15">
        <f t="shared" si="14"/>
        <v>0</v>
      </c>
      <c r="Q185" s="15">
        <f t="shared" si="15"/>
        <v>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80</v>
      </c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628000</v>
      </c>
      <c r="J187" s="16"/>
      <c r="K187" s="15">
        <v>225000</v>
      </c>
      <c r="L187" s="15">
        <f t="shared" si="12"/>
        <v>1600</v>
      </c>
      <c r="M187" s="20"/>
      <c r="N187" s="20"/>
      <c r="O187" s="15">
        <f t="shared" si="13"/>
        <v>20000</v>
      </c>
      <c r="P187" s="15">
        <f t="shared" si="14"/>
        <v>246600</v>
      </c>
      <c r="Q187" s="15">
        <f t="shared" si="15"/>
        <v>381400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1104</v>
      </c>
      <c r="E189" s="15">
        <v>7100</v>
      </c>
      <c r="F189" s="15">
        <v>250</v>
      </c>
      <c r="G189" s="15">
        <v>300</v>
      </c>
      <c r="H189" s="15">
        <f t="shared" si="16"/>
        <v>7650</v>
      </c>
      <c r="I189" s="15">
        <f t="shared" si="17"/>
        <v>8445600</v>
      </c>
      <c r="J189" s="20"/>
      <c r="K189" s="15"/>
      <c r="L189" s="15">
        <f t="shared" si="12"/>
        <v>22080</v>
      </c>
      <c r="M189" s="20"/>
      <c r="N189" s="20"/>
      <c r="O189" s="15">
        <f t="shared" si="13"/>
        <v>276000</v>
      </c>
      <c r="P189" s="15">
        <f t="shared" si="14"/>
        <v>298080</v>
      </c>
      <c r="Q189" s="15">
        <f t="shared" si="15"/>
        <v>8147520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289</v>
      </c>
      <c r="E193" s="15">
        <v>7100</v>
      </c>
      <c r="F193" s="15">
        <v>350</v>
      </c>
      <c r="G193" s="15">
        <v>300</v>
      </c>
      <c r="H193" s="15">
        <f t="shared" si="16"/>
        <v>7750</v>
      </c>
      <c r="I193" s="15">
        <f t="shared" si="17"/>
        <v>2239750</v>
      </c>
      <c r="J193" s="16"/>
      <c r="K193" s="15">
        <v>675000</v>
      </c>
      <c r="L193" s="15">
        <f t="shared" si="12"/>
        <v>5780</v>
      </c>
      <c r="M193" s="16"/>
      <c r="N193" s="16"/>
      <c r="O193" s="15">
        <f t="shared" si="13"/>
        <v>72250</v>
      </c>
      <c r="P193" s="15">
        <f t="shared" si="14"/>
        <v>753030</v>
      </c>
      <c r="Q193" s="15">
        <f t="shared" si="15"/>
        <v>1486720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9</v>
      </c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72000</v>
      </c>
      <c r="J200" s="16">
        <v>50000</v>
      </c>
      <c r="K200" s="15"/>
      <c r="L200" s="15">
        <f t="shared" si="18"/>
        <v>180</v>
      </c>
      <c r="M200" s="16"/>
      <c r="N200" s="16"/>
      <c r="O200" s="15">
        <f t="shared" si="19"/>
        <v>2250</v>
      </c>
      <c r="P200" s="15">
        <f t="shared" si="20"/>
        <v>52430</v>
      </c>
      <c r="Q200" s="15">
        <f t="shared" si="21"/>
        <v>19570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60</v>
      </c>
      <c r="E203" s="15">
        <v>7100</v>
      </c>
      <c r="F203" s="15">
        <v>250</v>
      </c>
      <c r="G203" s="15">
        <v>400</v>
      </c>
      <c r="H203" s="15">
        <f t="shared" si="22"/>
        <v>7750</v>
      </c>
      <c r="I203" s="15">
        <f t="shared" si="23"/>
        <v>465000</v>
      </c>
      <c r="J203" s="16"/>
      <c r="K203" s="15">
        <v>225000</v>
      </c>
      <c r="L203" s="15">
        <f t="shared" si="18"/>
        <v>1200</v>
      </c>
      <c r="M203" s="20"/>
      <c r="N203" s="20"/>
      <c r="O203" s="15">
        <f t="shared" si="19"/>
        <v>15000</v>
      </c>
      <c r="P203" s="15">
        <f t="shared" si="20"/>
        <v>241200</v>
      </c>
      <c r="Q203" s="15">
        <f t="shared" si="21"/>
        <v>223800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132</v>
      </c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1056000</v>
      </c>
      <c r="J211" s="16"/>
      <c r="K211" s="15">
        <v>450000</v>
      </c>
      <c r="L211" s="15">
        <f t="shared" si="18"/>
        <v>2640</v>
      </c>
      <c r="M211" s="16"/>
      <c r="N211" s="16"/>
      <c r="O211" s="15">
        <f t="shared" si="19"/>
        <v>33000</v>
      </c>
      <c r="P211" s="15">
        <f t="shared" si="20"/>
        <v>485640</v>
      </c>
      <c r="Q211" s="15">
        <f t="shared" si="21"/>
        <v>570360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137</v>
      </c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1061750</v>
      </c>
      <c r="J220" s="16"/>
      <c r="K220" s="15">
        <v>450000</v>
      </c>
      <c r="L220" s="15">
        <f t="shared" si="18"/>
        <v>2740</v>
      </c>
      <c r="M220" s="16"/>
      <c r="N220" s="16"/>
      <c r="O220" s="15">
        <f t="shared" si="19"/>
        <v>34250</v>
      </c>
      <c r="P220" s="15">
        <f t="shared" si="20"/>
        <v>486990</v>
      </c>
      <c r="Q220" s="15">
        <f t="shared" si="21"/>
        <v>574760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115</v>
      </c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920000</v>
      </c>
      <c r="J222" s="16"/>
      <c r="K222" s="15">
        <v>225000</v>
      </c>
      <c r="L222" s="15">
        <f t="shared" si="18"/>
        <v>2300</v>
      </c>
      <c r="M222" s="16"/>
      <c r="N222" s="16"/>
      <c r="O222" s="15">
        <f t="shared" si="19"/>
        <v>28750</v>
      </c>
      <c r="P222" s="15">
        <f t="shared" si="20"/>
        <v>256050</v>
      </c>
      <c r="Q222" s="15">
        <f t="shared" si="21"/>
        <v>663950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155</v>
      </c>
      <c r="E225" s="15">
        <v>7100</v>
      </c>
      <c r="F225" s="15">
        <v>350</v>
      </c>
      <c r="G225" s="15">
        <v>400</v>
      </c>
      <c r="H225" s="15">
        <f t="shared" si="22"/>
        <v>7850</v>
      </c>
      <c r="I225" s="15">
        <f t="shared" si="23"/>
        <v>1216750</v>
      </c>
      <c r="J225" s="16"/>
      <c r="K225" s="15">
        <v>450000</v>
      </c>
      <c r="L225" s="15">
        <f t="shared" si="18"/>
        <v>3100</v>
      </c>
      <c r="M225" s="20"/>
      <c r="N225" s="20"/>
      <c r="O225" s="15">
        <f t="shared" si="19"/>
        <v>38750</v>
      </c>
      <c r="P225" s="15">
        <f t="shared" si="20"/>
        <v>491850</v>
      </c>
      <c r="Q225" s="15">
        <f t="shared" si="21"/>
        <v>724900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227</v>
      </c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1781950</v>
      </c>
      <c r="J228" s="16"/>
      <c r="K228" s="15">
        <v>675000</v>
      </c>
      <c r="L228" s="15">
        <f t="shared" si="18"/>
        <v>4540</v>
      </c>
      <c r="M228" s="20"/>
      <c r="N228" s="20"/>
      <c r="O228" s="15">
        <f t="shared" si="19"/>
        <v>56750</v>
      </c>
      <c r="P228" s="15">
        <f t="shared" si="20"/>
        <v>736290</v>
      </c>
      <c r="Q228" s="15">
        <f t="shared" si="21"/>
        <v>1045660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157</v>
      </c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1256000</v>
      </c>
      <c r="J231" s="16"/>
      <c r="K231" s="15">
        <v>450000</v>
      </c>
      <c r="L231" s="15">
        <f t="shared" si="18"/>
        <v>3140</v>
      </c>
      <c r="M231" s="16"/>
      <c r="N231" s="16"/>
      <c r="O231" s="15">
        <f t="shared" si="19"/>
        <v>39250</v>
      </c>
      <c r="P231" s="15">
        <f t="shared" si="20"/>
        <v>492390</v>
      </c>
      <c r="Q231" s="15">
        <f t="shared" si="21"/>
        <v>763610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192</v>
      </c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1488000</v>
      </c>
      <c r="J237" s="16"/>
      <c r="K237" s="15">
        <v>450000</v>
      </c>
      <c r="L237" s="15">
        <f t="shared" si="18"/>
        <v>3840</v>
      </c>
      <c r="M237" s="20"/>
      <c r="N237" s="20"/>
      <c r="O237" s="15">
        <f t="shared" si="19"/>
        <v>48000</v>
      </c>
      <c r="P237" s="15">
        <f t="shared" si="20"/>
        <v>501840</v>
      </c>
      <c r="Q237" s="15">
        <f t="shared" si="21"/>
        <v>986160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148</v>
      </c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1161800</v>
      </c>
      <c r="J238" s="20"/>
      <c r="K238" s="15">
        <v>450000</v>
      </c>
      <c r="L238" s="15">
        <f t="shared" si="18"/>
        <v>2960</v>
      </c>
      <c r="M238" s="20"/>
      <c r="N238" s="20"/>
      <c r="O238" s="15">
        <f t="shared" si="19"/>
        <v>37000</v>
      </c>
      <c r="P238" s="15">
        <f t="shared" si="20"/>
        <v>489960</v>
      </c>
      <c r="Q238" s="15">
        <f t="shared" si="21"/>
        <v>671840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232</v>
      </c>
      <c r="E246" s="15">
        <v>7100</v>
      </c>
      <c r="F246" s="15">
        <v>500</v>
      </c>
      <c r="G246" s="15">
        <v>400</v>
      </c>
      <c r="H246" s="15">
        <f t="shared" si="22"/>
        <v>8000</v>
      </c>
      <c r="I246" s="15">
        <f t="shared" si="23"/>
        <v>1856000</v>
      </c>
      <c r="J246" s="16"/>
      <c r="K246" s="15">
        <v>675000</v>
      </c>
      <c r="L246" s="15">
        <f t="shared" si="18"/>
        <v>4640</v>
      </c>
      <c r="M246" s="16"/>
      <c r="N246" s="16"/>
      <c r="O246" s="15">
        <f t="shared" si="19"/>
        <v>58000</v>
      </c>
      <c r="P246" s="15">
        <f t="shared" si="20"/>
        <v>737640</v>
      </c>
      <c r="Q246" s="15">
        <f t="shared" si="21"/>
        <v>1118360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130</v>
      </c>
      <c r="E247" s="15">
        <v>7100</v>
      </c>
      <c r="F247" s="15">
        <v>350</v>
      </c>
      <c r="G247" s="15">
        <v>400</v>
      </c>
      <c r="H247" s="15">
        <f t="shared" si="22"/>
        <v>7850</v>
      </c>
      <c r="I247" s="15">
        <f t="shared" si="23"/>
        <v>1020500</v>
      </c>
      <c r="J247" s="16"/>
      <c r="K247" s="15">
        <v>225000</v>
      </c>
      <c r="L247" s="15">
        <f t="shared" si="18"/>
        <v>2600</v>
      </c>
      <c r="M247" s="20"/>
      <c r="N247" s="20"/>
      <c r="O247" s="15">
        <f t="shared" si="19"/>
        <v>32500</v>
      </c>
      <c r="P247" s="15">
        <f t="shared" si="20"/>
        <v>260100</v>
      </c>
      <c r="Q247" s="15">
        <f t="shared" si="21"/>
        <v>760400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55</v>
      </c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426250</v>
      </c>
      <c r="J253" s="20"/>
      <c r="K253" s="15">
        <v>450000</v>
      </c>
      <c r="L253" s="15">
        <f t="shared" si="18"/>
        <v>1100</v>
      </c>
      <c r="M253" s="20"/>
      <c r="N253" s="20"/>
      <c r="O253" s="15">
        <f t="shared" si="19"/>
        <v>13750</v>
      </c>
      <c r="P253" s="15">
        <f t="shared" si="20"/>
        <v>464850</v>
      </c>
      <c r="Q253" s="15">
        <f t="shared" si="21"/>
        <v>-38600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122</v>
      </c>
      <c r="E261" s="15">
        <v>7100</v>
      </c>
      <c r="F261" s="15">
        <v>350</v>
      </c>
      <c r="G261" s="15">
        <v>300</v>
      </c>
      <c r="H261" s="15">
        <f t="shared" si="22"/>
        <v>7750</v>
      </c>
      <c r="I261" s="15">
        <f t="shared" si="23"/>
        <v>945500</v>
      </c>
      <c r="J261" s="16"/>
      <c r="K261" s="15">
        <v>450000</v>
      </c>
      <c r="L261" s="15">
        <f t="shared" ref="L261:L324" si="24">D261*20</f>
        <v>2440</v>
      </c>
      <c r="M261" s="16"/>
      <c r="N261" s="16"/>
      <c r="O261" s="15">
        <f t="shared" ref="O261:O324" si="25">250*D261</f>
        <v>30500</v>
      </c>
      <c r="P261" s="15">
        <f t="shared" ref="P261:P324" si="26">SUM(J261:O261)</f>
        <v>482940</v>
      </c>
      <c r="Q261" s="15">
        <f t="shared" ref="Q261:Q324" si="27">I261-P261</f>
        <v>462560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162</v>
      </c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1296000</v>
      </c>
      <c r="J267" s="20"/>
      <c r="K267" s="15">
        <v>450000</v>
      </c>
      <c r="L267" s="15">
        <f t="shared" si="24"/>
        <v>3240</v>
      </c>
      <c r="M267" s="16"/>
      <c r="N267" s="16"/>
      <c r="O267" s="15">
        <f t="shared" si="25"/>
        <v>40500</v>
      </c>
      <c r="P267" s="15">
        <f t="shared" si="26"/>
        <v>493740</v>
      </c>
      <c r="Q267" s="15">
        <f t="shared" si="27"/>
        <v>802260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73</v>
      </c>
      <c r="E270" s="15">
        <v>7100</v>
      </c>
      <c r="F270" s="15">
        <v>350</v>
      </c>
      <c r="G270" s="15">
        <v>200</v>
      </c>
      <c r="H270" s="15">
        <f t="shared" si="28"/>
        <v>7650</v>
      </c>
      <c r="I270" s="15">
        <f t="shared" si="29"/>
        <v>558450</v>
      </c>
      <c r="J270" s="20"/>
      <c r="K270" s="15">
        <v>225000</v>
      </c>
      <c r="L270" s="15">
        <f t="shared" si="24"/>
        <v>1460</v>
      </c>
      <c r="M270" s="16"/>
      <c r="N270" s="16"/>
      <c r="O270" s="15">
        <f t="shared" si="25"/>
        <v>18250</v>
      </c>
      <c r="P270" s="15">
        <f t="shared" si="26"/>
        <v>244710</v>
      </c>
      <c r="Q270" s="15">
        <f t="shared" si="27"/>
        <v>313740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160</v>
      </c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1256000</v>
      </c>
      <c r="J275" s="16"/>
      <c r="K275" s="15">
        <v>225000</v>
      </c>
      <c r="L275" s="15">
        <f t="shared" si="24"/>
        <v>3200</v>
      </c>
      <c r="M275" s="16"/>
      <c r="N275" s="16"/>
      <c r="O275" s="15">
        <f t="shared" si="25"/>
        <v>40000</v>
      </c>
      <c r="P275" s="15">
        <f t="shared" si="26"/>
        <v>268200</v>
      </c>
      <c r="Q275" s="15">
        <f t="shared" si="27"/>
        <v>987800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330</v>
      </c>
      <c r="E282" s="15">
        <v>7100</v>
      </c>
      <c r="F282" s="15">
        <v>500</v>
      </c>
      <c r="G282" s="15">
        <v>400</v>
      </c>
      <c r="H282" s="15">
        <f t="shared" si="28"/>
        <v>8000</v>
      </c>
      <c r="I282" s="15">
        <f t="shared" si="29"/>
        <v>2640000</v>
      </c>
      <c r="J282" s="16"/>
      <c r="K282" s="15"/>
      <c r="L282" s="15">
        <f t="shared" si="24"/>
        <v>6600</v>
      </c>
      <c r="M282" s="16"/>
      <c r="N282" s="16"/>
      <c r="O282" s="15">
        <f t="shared" si="25"/>
        <v>82500</v>
      </c>
      <c r="P282" s="15">
        <f t="shared" si="26"/>
        <v>89100</v>
      </c>
      <c r="Q282" s="15">
        <f t="shared" si="27"/>
        <v>2550900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331</v>
      </c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2598350</v>
      </c>
      <c r="J286" s="16"/>
      <c r="K286" s="15">
        <v>900000</v>
      </c>
      <c r="L286" s="15">
        <f t="shared" si="24"/>
        <v>6620</v>
      </c>
      <c r="M286" s="20"/>
      <c r="N286" s="20"/>
      <c r="O286" s="15">
        <f t="shared" si="25"/>
        <v>82750</v>
      </c>
      <c r="P286" s="15">
        <f t="shared" si="26"/>
        <v>989370</v>
      </c>
      <c r="Q286" s="15">
        <f t="shared" si="27"/>
        <v>1608980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570</v>
      </c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4474500</v>
      </c>
      <c r="J287" s="20"/>
      <c r="K287" s="15"/>
      <c r="L287" s="15">
        <f t="shared" si="24"/>
        <v>11400</v>
      </c>
      <c r="M287" s="16"/>
      <c r="N287" s="16"/>
      <c r="O287" s="15">
        <f t="shared" si="25"/>
        <v>142500</v>
      </c>
      <c r="P287" s="15">
        <f t="shared" si="26"/>
        <v>153900</v>
      </c>
      <c r="Q287" s="15">
        <f t="shared" si="27"/>
        <v>4320600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197</v>
      </c>
      <c r="E290" s="15">
        <v>7100</v>
      </c>
      <c r="F290" s="15">
        <v>350</v>
      </c>
      <c r="G290" s="15">
        <v>400</v>
      </c>
      <c r="H290" s="15">
        <f t="shared" si="28"/>
        <v>7850</v>
      </c>
      <c r="I290" s="15">
        <f t="shared" si="29"/>
        <v>1546450</v>
      </c>
      <c r="J290" s="16"/>
      <c r="K290" s="15">
        <v>450000</v>
      </c>
      <c r="L290" s="15">
        <f t="shared" si="24"/>
        <v>3940</v>
      </c>
      <c r="M290" s="16"/>
      <c r="N290" s="16"/>
      <c r="O290" s="15">
        <f t="shared" si="25"/>
        <v>49250</v>
      </c>
      <c r="P290" s="15">
        <f t="shared" si="26"/>
        <v>503190</v>
      </c>
      <c r="Q290" s="15">
        <f t="shared" si="27"/>
        <v>1043260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287</v>
      </c>
      <c r="E291" s="15">
        <v>7100</v>
      </c>
      <c r="F291" s="15">
        <v>250</v>
      </c>
      <c r="G291" s="15">
        <v>400</v>
      </c>
      <c r="H291" s="15">
        <f t="shared" si="28"/>
        <v>7750</v>
      </c>
      <c r="I291" s="15">
        <f t="shared" si="29"/>
        <v>2224250</v>
      </c>
      <c r="J291" s="20"/>
      <c r="K291" s="15">
        <v>900000</v>
      </c>
      <c r="L291" s="15">
        <f t="shared" si="24"/>
        <v>5740</v>
      </c>
      <c r="M291" s="16"/>
      <c r="N291" s="16"/>
      <c r="O291" s="15">
        <f t="shared" si="25"/>
        <v>71750</v>
      </c>
      <c r="P291" s="15">
        <f t="shared" si="26"/>
        <v>977490</v>
      </c>
      <c r="Q291" s="15">
        <f t="shared" si="27"/>
        <v>1246760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139</v>
      </c>
      <c r="E294" s="15">
        <v>7100</v>
      </c>
      <c r="F294" s="15">
        <v>500</v>
      </c>
      <c r="G294" s="15">
        <v>400</v>
      </c>
      <c r="H294" s="15">
        <f t="shared" si="28"/>
        <v>8000</v>
      </c>
      <c r="I294" s="15">
        <f t="shared" si="29"/>
        <v>1112000</v>
      </c>
      <c r="J294" s="16"/>
      <c r="K294" s="15">
        <v>680000</v>
      </c>
      <c r="L294" s="15">
        <f t="shared" si="24"/>
        <v>2780</v>
      </c>
      <c r="M294" s="20"/>
      <c r="N294" s="20"/>
      <c r="O294" s="15">
        <f t="shared" si="25"/>
        <v>34750</v>
      </c>
      <c r="P294" s="15">
        <f t="shared" si="26"/>
        <v>717530</v>
      </c>
      <c r="Q294" s="15">
        <f t="shared" si="27"/>
        <v>394470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166</v>
      </c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1303100</v>
      </c>
      <c r="J295" s="16"/>
      <c r="K295" s="15"/>
      <c r="L295" s="15">
        <f t="shared" si="24"/>
        <v>3320</v>
      </c>
      <c r="M295" s="16"/>
      <c r="N295" s="16"/>
      <c r="O295" s="15">
        <f t="shared" si="25"/>
        <v>41500</v>
      </c>
      <c r="P295" s="15">
        <f t="shared" si="26"/>
        <v>44820</v>
      </c>
      <c r="Q295" s="15">
        <f t="shared" si="27"/>
        <v>1258280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112</v>
      </c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896000</v>
      </c>
      <c r="J296" s="20"/>
      <c r="K296" s="15">
        <v>450000</v>
      </c>
      <c r="L296" s="15">
        <f t="shared" si="24"/>
        <v>2240</v>
      </c>
      <c r="M296" s="20"/>
      <c r="N296" s="20"/>
      <c r="O296" s="15">
        <f t="shared" si="25"/>
        <v>28000</v>
      </c>
      <c r="P296" s="15">
        <f t="shared" si="26"/>
        <v>480240</v>
      </c>
      <c r="Q296" s="15">
        <f t="shared" si="27"/>
        <v>415760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887</v>
      </c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6962950</v>
      </c>
      <c r="J298" s="20"/>
      <c r="K298" s="15"/>
      <c r="L298" s="15">
        <f t="shared" si="24"/>
        <v>17740</v>
      </c>
      <c r="M298" s="20"/>
      <c r="N298" s="20"/>
      <c r="O298" s="15">
        <f t="shared" si="25"/>
        <v>221750</v>
      </c>
      <c r="P298" s="15">
        <f t="shared" si="26"/>
        <v>239490</v>
      </c>
      <c r="Q298" s="15">
        <f t="shared" si="27"/>
        <v>6723460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263</v>
      </c>
      <c r="E315" s="15">
        <v>7100</v>
      </c>
      <c r="F315" s="15">
        <v>500</v>
      </c>
      <c r="G315" s="15">
        <v>400</v>
      </c>
      <c r="H315" s="15">
        <f t="shared" si="28"/>
        <v>8000</v>
      </c>
      <c r="I315" s="15">
        <f t="shared" si="29"/>
        <v>2104000</v>
      </c>
      <c r="J315" s="16"/>
      <c r="K315" s="15"/>
      <c r="L315" s="15">
        <f t="shared" si="24"/>
        <v>5260</v>
      </c>
      <c r="M315" s="20"/>
      <c r="N315" s="20"/>
      <c r="O315" s="15">
        <f t="shared" si="25"/>
        <v>65750</v>
      </c>
      <c r="P315" s="15">
        <f t="shared" si="26"/>
        <v>71010</v>
      </c>
      <c r="Q315" s="15">
        <f t="shared" si="27"/>
        <v>2032990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301</v>
      </c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2257500</v>
      </c>
      <c r="J316" s="16"/>
      <c r="K316" s="15">
        <v>675000</v>
      </c>
      <c r="L316" s="15">
        <f t="shared" si="24"/>
        <v>6020</v>
      </c>
      <c r="M316" s="16"/>
      <c r="N316" s="16"/>
      <c r="O316" s="15">
        <f t="shared" si="25"/>
        <v>75250</v>
      </c>
      <c r="P316" s="15">
        <f t="shared" si="26"/>
        <v>756270</v>
      </c>
      <c r="Q316" s="15">
        <f t="shared" si="27"/>
        <v>1501230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/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0</v>
      </c>
      <c r="J319" s="20"/>
      <c r="K319" s="15"/>
      <c r="L319" s="15">
        <f t="shared" si="24"/>
        <v>0</v>
      </c>
      <c r="M319" s="20"/>
      <c r="N319" s="20"/>
      <c r="O319" s="15">
        <f t="shared" si="25"/>
        <v>0</v>
      </c>
      <c r="P319" s="15">
        <f t="shared" si="26"/>
        <v>0</v>
      </c>
      <c r="Q319" s="15">
        <f t="shared" si="27"/>
        <v>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125</v>
      </c>
      <c r="E321" s="15">
        <v>7100</v>
      </c>
      <c r="F321" s="15">
        <v>250</v>
      </c>
      <c r="G321" s="15">
        <v>400</v>
      </c>
      <c r="H321" s="15">
        <f t="shared" si="28"/>
        <v>7750</v>
      </c>
      <c r="I321" s="15">
        <f t="shared" si="29"/>
        <v>968750</v>
      </c>
      <c r="J321" s="20"/>
      <c r="K321" s="15">
        <v>225000</v>
      </c>
      <c r="L321" s="15">
        <f t="shared" si="24"/>
        <v>2500</v>
      </c>
      <c r="M321" s="16"/>
      <c r="N321" s="16"/>
      <c r="O321" s="15">
        <f t="shared" si="25"/>
        <v>31250</v>
      </c>
      <c r="P321" s="15">
        <f t="shared" si="26"/>
        <v>258750</v>
      </c>
      <c r="Q321" s="15">
        <f t="shared" si="27"/>
        <v>710000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555</v>
      </c>
      <c r="E325" s="15">
        <v>7100</v>
      </c>
      <c r="F325" s="15">
        <v>350</v>
      </c>
      <c r="G325" s="15">
        <v>400</v>
      </c>
      <c r="H325" s="15">
        <f t="shared" si="28"/>
        <v>7850</v>
      </c>
      <c r="I325" s="15">
        <f t="shared" si="29"/>
        <v>4356750</v>
      </c>
      <c r="J325" s="20"/>
      <c r="K325" s="15">
        <v>1125000</v>
      </c>
      <c r="L325" s="15">
        <f t="shared" ref="L325:L388" si="30">D325*20</f>
        <v>11100</v>
      </c>
      <c r="M325" s="16"/>
      <c r="N325" s="16"/>
      <c r="O325" s="15">
        <f t="shared" ref="O325:O388" si="31">250*D325</f>
        <v>138750</v>
      </c>
      <c r="P325" s="15">
        <f t="shared" ref="P325:P388" si="32">SUM(J325:O325)</f>
        <v>1274850</v>
      </c>
      <c r="Q325" s="15">
        <f t="shared" ref="Q325:Q388" si="33">I325-P325</f>
        <v>3081900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139</v>
      </c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1070300</v>
      </c>
      <c r="J328" s="16"/>
      <c r="K328" s="15">
        <v>450000</v>
      </c>
      <c r="L328" s="15">
        <f t="shared" si="30"/>
        <v>2780</v>
      </c>
      <c r="M328" s="20"/>
      <c r="N328" s="20"/>
      <c r="O328" s="15">
        <f t="shared" si="31"/>
        <v>34750</v>
      </c>
      <c r="P328" s="15">
        <f t="shared" si="32"/>
        <v>487530</v>
      </c>
      <c r="Q328" s="15">
        <f t="shared" si="33"/>
        <v>582770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77</v>
      </c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604450</v>
      </c>
      <c r="J335" s="16"/>
      <c r="K335" s="15">
        <v>225000</v>
      </c>
      <c r="L335" s="15">
        <f t="shared" si="30"/>
        <v>1540</v>
      </c>
      <c r="M335" s="16"/>
      <c r="N335" s="16"/>
      <c r="O335" s="15">
        <f t="shared" si="31"/>
        <v>19250</v>
      </c>
      <c r="P335" s="15">
        <f t="shared" si="32"/>
        <v>245790</v>
      </c>
      <c r="Q335" s="15">
        <f t="shared" si="33"/>
        <v>358660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195</v>
      </c>
      <c r="E339" s="15">
        <v>7100</v>
      </c>
      <c r="F339" s="15">
        <v>350</v>
      </c>
      <c r="G339" s="15">
        <v>400</v>
      </c>
      <c r="H339" s="15">
        <f t="shared" si="34"/>
        <v>7850</v>
      </c>
      <c r="I339" s="15">
        <f t="shared" si="35"/>
        <v>1530750</v>
      </c>
      <c r="J339" s="16">
        <v>210000</v>
      </c>
      <c r="K339" s="15">
        <v>675000</v>
      </c>
      <c r="L339" s="15">
        <f t="shared" si="30"/>
        <v>3900</v>
      </c>
      <c r="M339" s="20"/>
      <c r="N339" s="20"/>
      <c r="O339" s="15">
        <f t="shared" si="31"/>
        <v>48750</v>
      </c>
      <c r="P339" s="15">
        <f t="shared" si="32"/>
        <v>937650</v>
      </c>
      <c r="Q339" s="15">
        <f t="shared" si="33"/>
        <v>593100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297</v>
      </c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2331450</v>
      </c>
      <c r="J344" s="20"/>
      <c r="K344" s="15">
        <v>900000</v>
      </c>
      <c r="L344" s="15">
        <f t="shared" si="30"/>
        <v>5940</v>
      </c>
      <c r="M344" s="16"/>
      <c r="N344" s="16"/>
      <c r="O344" s="15">
        <f t="shared" si="31"/>
        <v>74250</v>
      </c>
      <c r="P344" s="15">
        <f t="shared" si="32"/>
        <v>980190</v>
      </c>
      <c r="Q344" s="15">
        <f t="shared" si="33"/>
        <v>1351260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74</v>
      </c>
      <c r="E350" s="15">
        <v>7100</v>
      </c>
      <c r="F350" s="15">
        <v>350</v>
      </c>
      <c r="G350" s="15">
        <v>400</v>
      </c>
      <c r="H350" s="15">
        <f t="shared" si="34"/>
        <v>7850</v>
      </c>
      <c r="I350" s="15">
        <f t="shared" si="35"/>
        <v>580900</v>
      </c>
      <c r="J350" s="16"/>
      <c r="K350" s="15">
        <v>225000</v>
      </c>
      <c r="L350" s="15">
        <f t="shared" si="30"/>
        <v>1480</v>
      </c>
      <c r="M350" s="16"/>
      <c r="N350" s="16"/>
      <c r="O350" s="15">
        <f t="shared" si="31"/>
        <v>18500</v>
      </c>
      <c r="P350" s="15">
        <f t="shared" si="32"/>
        <v>244980</v>
      </c>
      <c r="Q350" s="15">
        <f t="shared" si="33"/>
        <v>335920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73</v>
      </c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584000</v>
      </c>
      <c r="J353" s="20"/>
      <c r="K353" s="15">
        <v>225000</v>
      </c>
      <c r="L353" s="15">
        <f t="shared" si="30"/>
        <v>1460</v>
      </c>
      <c r="M353" s="20"/>
      <c r="N353" s="20"/>
      <c r="O353" s="15">
        <f t="shared" si="31"/>
        <v>18250</v>
      </c>
      <c r="P353" s="15">
        <f t="shared" si="32"/>
        <v>244710</v>
      </c>
      <c r="Q353" s="15">
        <f t="shared" si="33"/>
        <v>339290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>
        <v>126</v>
      </c>
      <c r="E360" s="15">
        <v>7100</v>
      </c>
      <c r="F360" s="15">
        <v>250</v>
      </c>
      <c r="G360" s="15">
        <v>400</v>
      </c>
      <c r="H360" s="15">
        <f t="shared" si="34"/>
        <v>7750</v>
      </c>
      <c r="I360" s="15">
        <f t="shared" si="35"/>
        <v>976500</v>
      </c>
      <c r="J360" s="16"/>
      <c r="K360" s="15">
        <v>225000</v>
      </c>
      <c r="L360" s="15">
        <f t="shared" si="30"/>
        <v>2520</v>
      </c>
      <c r="M360" s="20"/>
      <c r="N360" s="20"/>
      <c r="O360" s="15">
        <f t="shared" si="31"/>
        <v>31500</v>
      </c>
      <c r="P360" s="15">
        <f t="shared" si="32"/>
        <v>259020</v>
      </c>
      <c r="Q360" s="15">
        <f t="shared" si="33"/>
        <v>717480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/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0</v>
      </c>
      <c r="Q362" s="15">
        <f t="shared" si="33"/>
        <v>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36</v>
      </c>
      <c r="E365" s="15">
        <v>7100</v>
      </c>
      <c r="F365" s="15">
        <v>350</v>
      </c>
      <c r="G365" s="15">
        <v>400</v>
      </c>
      <c r="H365" s="15">
        <f t="shared" si="34"/>
        <v>7850</v>
      </c>
      <c r="I365" s="15">
        <f t="shared" si="35"/>
        <v>282600</v>
      </c>
      <c r="J365" s="16"/>
      <c r="K365" s="15">
        <v>225000</v>
      </c>
      <c r="L365" s="15">
        <f t="shared" si="30"/>
        <v>720</v>
      </c>
      <c r="M365" s="20"/>
      <c r="N365" s="20"/>
      <c r="O365" s="15">
        <f t="shared" si="31"/>
        <v>9000</v>
      </c>
      <c r="P365" s="15">
        <f t="shared" si="32"/>
        <v>234720</v>
      </c>
      <c r="Q365" s="15">
        <f t="shared" si="33"/>
        <v>47880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39</v>
      </c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292500</v>
      </c>
      <c r="J368" s="16"/>
      <c r="K368" s="15">
        <v>225000</v>
      </c>
      <c r="L368" s="15">
        <f t="shared" si="30"/>
        <v>780</v>
      </c>
      <c r="M368" s="16"/>
      <c r="N368" s="16"/>
      <c r="O368" s="15">
        <f t="shared" si="31"/>
        <v>9750</v>
      </c>
      <c r="P368" s="15">
        <f t="shared" si="32"/>
        <v>235530</v>
      </c>
      <c r="Q368" s="15">
        <f t="shared" si="33"/>
        <v>56970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56</v>
      </c>
      <c r="E373" s="15">
        <v>7100</v>
      </c>
      <c r="F373" s="15">
        <v>250</v>
      </c>
      <c r="G373" s="15">
        <v>300</v>
      </c>
      <c r="H373" s="15">
        <f t="shared" si="34"/>
        <v>7650</v>
      </c>
      <c r="I373" s="15">
        <f t="shared" si="35"/>
        <v>428400</v>
      </c>
      <c r="J373" s="16"/>
      <c r="K373" s="15">
        <v>230000</v>
      </c>
      <c r="L373" s="15">
        <f t="shared" si="30"/>
        <v>1120</v>
      </c>
      <c r="M373" s="16"/>
      <c r="N373" s="16"/>
      <c r="O373" s="15">
        <f t="shared" si="31"/>
        <v>14000</v>
      </c>
      <c r="P373" s="15">
        <f t="shared" si="32"/>
        <v>245120</v>
      </c>
      <c r="Q373" s="15">
        <f t="shared" si="33"/>
        <v>183280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53</v>
      </c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416050</v>
      </c>
      <c r="J378" s="16"/>
      <c r="K378" s="15"/>
      <c r="L378" s="15">
        <f t="shared" si="30"/>
        <v>1060</v>
      </c>
      <c r="M378" s="16"/>
      <c r="N378" s="16"/>
      <c r="O378" s="15">
        <f t="shared" si="31"/>
        <v>13250</v>
      </c>
      <c r="P378" s="15">
        <f t="shared" si="32"/>
        <v>14310</v>
      </c>
      <c r="Q378" s="15">
        <f t="shared" si="33"/>
        <v>401740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122</v>
      </c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945500</v>
      </c>
      <c r="J387" s="16"/>
      <c r="K387" s="15">
        <v>225000</v>
      </c>
      <c r="L387" s="15">
        <f t="shared" si="30"/>
        <v>2440</v>
      </c>
      <c r="M387" s="16"/>
      <c r="N387" s="16"/>
      <c r="O387" s="15">
        <f t="shared" si="31"/>
        <v>30500</v>
      </c>
      <c r="P387" s="15">
        <f t="shared" si="32"/>
        <v>257940</v>
      </c>
      <c r="Q387" s="15">
        <f t="shared" si="33"/>
        <v>687560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291</v>
      </c>
      <c r="E392" s="15">
        <v>7100</v>
      </c>
      <c r="F392" s="15">
        <v>350</v>
      </c>
      <c r="G392" s="15">
        <v>400</v>
      </c>
      <c r="H392" s="15">
        <f t="shared" si="40"/>
        <v>7850</v>
      </c>
      <c r="I392" s="15">
        <f t="shared" si="41"/>
        <v>2284350</v>
      </c>
      <c r="J392" s="16"/>
      <c r="K392" s="15">
        <v>675000</v>
      </c>
      <c r="L392" s="15">
        <f t="shared" si="36"/>
        <v>5820</v>
      </c>
      <c r="M392" s="16"/>
      <c r="N392" s="16"/>
      <c r="O392" s="15">
        <f t="shared" si="37"/>
        <v>72750</v>
      </c>
      <c r="P392" s="15">
        <f t="shared" si="38"/>
        <v>753570</v>
      </c>
      <c r="Q392" s="15">
        <f t="shared" si="39"/>
        <v>1530780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350</v>
      </c>
      <c r="G394" s="15">
        <v>400</v>
      </c>
      <c r="H394" s="15">
        <f t="shared" si="40"/>
        <v>7850</v>
      </c>
      <c r="I394" s="15">
        <f t="shared" si="41"/>
        <v>0</v>
      </c>
      <c r="J394" s="16"/>
      <c r="K394" s="15"/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0</v>
      </c>
      <c r="Q394" s="15">
        <f t="shared" si="39"/>
        <v>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263</v>
      </c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2064550</v>
      </c>
      <c r="J395" s="16">
        <v>210000</v>
      </c>
      <c r="K395" s="15">
        <v>675000</v>
      </c>
      <c r="L395" s="15">
        <f t="shared" si="36"/>
        <v>5260</v>
      </c>
      <c r="M395" s="16"/>
      <c r="N395" s="16"/>
      <c r="O395" s="15">
        <f t="shared" si="37"/>
        <v>65750</v>
      </c>
      <c r="P395" s="15">
        <f t="shared" si="38"/>
        <v>956010</v>
      </c>
      <c r="Q395" s="15">
        <f t="shared" si="39"/>
        <v>1108540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139</v>
      </c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1091150</v>
      </c>
      <c r="J396" s="16"/>
      <c r="K396" s="15"/>
      <c r="L396" s="15">
        <f t="shared" si="36"/>
        <v>2780</v>
      </c>
      <c r="M396" s="16"/>
      <c r="N396" s="16"/>
      <c r="O396" s="15">
        <f t="shared" si="37"/>
        <v>34750</v>
      </c>
      <c r="P396" s="15">
        <f t="shared" si="38"/>
        <v>37530</v>
      </c>
      <c r="Q396" s="15">
        <f t="shared" si="39"/>
        <v>1053620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178</v>
      </c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1335000</v>
      </c>
      <c r="J398" s="16"/>
      <c r="K398" s="15"/>
      <c r="L398" s="15">
        <f t="shared" si="36"/>
        <v>3560</v>
      </c>
      <c r="M398" s="16"/>
      <c r="N398" s="16"/>
      <c r="O398" s="15">
        <f t="shared" si="37"/>
        <v>44500</v>
      </c>
      <c r="P398" s="15">
        <f t="shared" si="38"/>
        <v>48060</v>
      </c>
      <c r="Q398" s="15">
        <f t="shared" si="39"/>
        <v>1286940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/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0</v>
      </c>
      <c r="J400" s="16"/>
      <c r="K400" s="15"/>
      <c r="L400" s="15">
        <f t="shared" si="36"/>
        <v>0</v>
      </c>
      <c r="M400" s="16"/>
      <c r="N400" s="16"/>
      <c r="O400" s="15">
        <f t="shared" si="37"/>
        <v>0</v>
      </c>
      <c r="P400" s="15">
        <f t="shared" si="38"/>
        <v>0</v>
      </c>
      <c r="Q400" s="15">
        <f t="shared" si="39"/>
        <v>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244</v>
      </c>
      <c r="E405" s="15">
        <v>7100</v>
      </c>
      <c r="F405" s="15">
        <v>350</v>
      </c>
      <c r="G405" s="15">
        <v>400</v>
      </c>
      <c r="H405" s="15">
        <f t="shared" si="40"/>
        <v>7850</v>
      </c>
      <c r="I405" s="15">
        <f t="shared" si="41"/>
        <v>1915400</v>
      </c>
      <c r="J405" s="16"/>
      <c r="K405" s="15">
        <v>450000</v>
      </c>
      <c r="L405" s="15">
        <f t="shared" si="36"/>
        <v>4880</v>
      </c>
      <c r="M405" s="16"/>
      <c r="N405" s="16"/>
      <c r="O405" s="15">
        <f t="shared" si="37"/>
        <v>61000</v>
      </c>
      <c r="P405" s="15">
        <f t="shared" si="38"/>
        <v>515880</v>
      </c>
      <c r="Q405" s="15">
        <f t="shared" si="39"/>
        <v>1399520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233</v>
      </c>
      <c r="E406" s="15">
        <v>7100</v>
      </c>
      <c r="F406" s="15">
        <v>350</v>
      </c>
      <c r="G406" s="15">
        <v>400</v>
      </c>
      <c r="H406" s="15">
        <f t="shared" si="40"/>
        <v>7850</v>
      </c>
      <c r="I406" s="15">
        <f t="shared" si="41"/>
        <v>1829050</v>
      </c>
      <c r="J406" s="16"/>
      <c r="K406" s="15"/>
      <c r="L406" s="15">
        <f t="shared" si="36"/>
        <v>4660</v>
      </c>
      <c r="M406" s="16"/>
      <c r="N406" s="16"/>
      <c r="O406" s="15">
        <f t="shared" si="37"/>
        <v>58250</v>
      </c>
      <c r="P406" s="15">
        <f t="shared" si="38"/>
        <v>62910</v>
      </c>
      <c r="Q406" s="15">
        <f t="shared" si="39"/>
        <v>1766140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188</v>
      </c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1475800</v>
      </c>
      <c r="J409" s="16"/>
      <c r="K409" s="15">
        <v>450000</v>
      </c>
      <c r="L409" s="15">
        <f t="shared" si="36"/>
        <v>3760</v>
      </c>
      <c r="M409" s="16"/>
      <c r="N409" s="16"/>
      <c r="O409" s="15">
        <f t="shared" si="37"/>
        <v>47000</v>
      </c>
      <c r="P409" s="15">
        <f t="shared" si="38"/>
        <v>500760</v>
      </c>
      <c r="Q409" s="15">
        <f t="shared" si="39"/>
        <v>975040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231</v>
      </c>
      <c r="E410" s="15">
        <v>7100</v>
      </c>
      <c r="F410" s="15">
        <v>500</v>
      </c>
      <c r="G410" s="15">
        <v>400</v>
      </c>
      <c r="H410" s="15">
        <f t="shared" si="40"/>
        <v>8000</v>
      </c>
      <c r="I410" s="15">
        <f t="shared" si="41"/>
        <v>1848000</v>
      </c>
      <c r="J410" s="16"/>
      <c r="K410" s="15">
        <v>675000</v>
      </c>
      <c r="L410" s="15">
        <f t="shared" si="36"/>
        <v>4620</v>
      </c>
      <c r="M410" s="16"/>
      <c r="N410" s="16"/>
      <c r="O410" s="15">
        <f t="shared" si="37"/>
        <v>57750</v>
      </c>
      <c r="P410" s="15">
        <f t="shared" si="38"/>
        <v>737370</v>
      </c>
      <c r="Q410" s="15">
        <f t="shared" si="39"/>
        <v>1110630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485</v>
      </c>
      <c r="E419" s="15">
        <v>7100</v>
      </c>
      <c r="F419" s="15">
        <v>250</v>
      </c>
      <c r="G419" s="15">
        <v>400</v>
      </c>
      <c r="H419" s="15">
        <f t="shared" si="40"/>
        <v>7750</v>
      </c>
      <c r="I419" s="15">
        <f t="shared" si="41"/>
        <v>3758750</v>
      </c>
      <c r="J419" s="20"/>
      <c r="K419" s="20"/>
      <c r="L419" s="15">
        <f t="shared" si="36"/>
        <v>9700</v>
      </c>
      <c r="M419" s="16"/>
      <c r="N419" s="16"/>
      <c r="O419" s="15">
        <f t="shared" si="37"/>
        <v>121250</v>
      </c>
      <c r="P419" s="15">
        <f t="shared" si="38"/>
        <v>130950</v>
      </c>
      <c r="Q419" s="15">
        <f t="shared" si="39"/>
        <v>3627800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141</v>
      </c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1106850</v>
      </c>
      <c r="J421" s="16"/>
      <c r="K421" s="15"/>
      <c r="L421" s="15">
        <f t="shared" si="36"/>
        <v>2820</v>
      </c>
      <c r="M421" s="16"/>
      <c r="N421" s="16"/>
      <c r="O421" s="15">
        <f t="shared" si="37"/>
        <v>35250</v>
      </c>
      <c r="P421" s="15">
        <f t="shared" si="38"/>
        <v>38070</v>
      </c>
      <c r="Q421" s="15">
        <f t="shared" si="39"/>
        <v>1068780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398</v>
      </c>
      <c r="E425" s="15">
        <v>7100</v>
      </c>
      <c r="F425" s="15">
        <v>250</v>
      </c>
      <c r="G425" s="15">
        <v>400</v>
      </c>
      <c r="H425" s="15">
        <f t="shared" si="40"/>
        <v>7750</v>
      </c>
      <c r="I425" s="15">
        <f t="shared" si="41"/>
        <v>3084500</v>
      </c>
      <c r="J425" s="16"/>
      <c r="K425" s="15"/>
      <c r="L425" s="15">
        <f t="shared" si="36"/>
        <v>7960</v>
      </c>
      <c r="M425" s="16"/>
      <c r="N425" s="16"/>
      <c r="O425" s="15">
        <f t="shared" si="37"/>
        <v>99500</v>
      </c>
      <c r="P425" s="15">
        <f t="shared" si="38"/>
        <v>107460</v>
      </c>
      <c r="Q425" s="15">
        <f t="shared" si="39"/>
        <v>2977040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370</v>
      </c>
      <c r="E427" s="15">
        <v>7100</v>
      </c>
      <c r="F427" s="15">
        <v>350</v>
      </c>
      <c r="G427" s="15">
        <v>300</v>
      </c>
      <c r="H427" s="15">
        <f t="shared" si="40"/>
        <v>7750</v>
      </c>
      <c r="I427" s="15">
        <f t="shared" si="41"/>
        <v>2867500</v>
      </c>
      <c r="J427" s="16"/>
      <c r="K427" s="15"/>
      <c r="L427" s="15">
        <f t="shared" si="36"/>
        <v>7400</v>
      </c>
      <c r="M427" s="16"/>
      <c r="N427" s="16"/>
      <c r="O427" s="15">
        <f t="shared" si="37"/>
        <v>92500</v>
      </c>
      <c r="P427" s="15">
        <f t="shared" si="38"/>
        <v>99900</v>
      </c>
      <c r="Q427" s="15">
        <f t="shared" si="39"/>
        <v>2767600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451</v>
      </c>
      <c r="C433" s="13"/>
      <c r="D433" s="20"/>
      <c r="E433" s="15">
        <v>7100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147</v>
      </c>
      <c r="E434" s="15">
        <v>7100</v>
      </c>
      <c r="F434" s="15">
        <v>200</v>
      </c>
      <c r="G434" s="15">
        <v>200</v>
      </c>
      <c r="H434" s="15">
        <f t="shared" ref="H434" si="42">SUM(E434:G434)</f>
        <v>7500</v>
      </c>
      <c r="I434" s="15">
        <f t="shared" ref="I434" si="43">H434*D434</f>
        <v>1102500</v>
      </c>
      <c r="J434" s="16"/>
      <c r="K434" s="15">
        <v>35000</v>
      </c>
      <c r="L434" s="15">
        <f t="shared" ref="L434" si="44">D434*20</f>
        <v>2940</v>
      </c>
      <c r="M434" s="16"/>
      <c r="N434" s="16"/>
      <c r="O434" s="15">
        <f t="shared" ref="O434" si="45">250*D434</f>
        <v>36750</v>
      </c>
      <c r="P434" s="15">
        <f t="shared" ref="P434" si="46">SUM(J434:O434)</f>
        <v>74690</v>
      </c>
      <c r="Q434" s="15">
        <f t="shared" ref="Q434" si="47">I434-P434</f>
        <v>1027810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538</v>
      </c>
      <c r="E437" s="15">
        <v>7100</v>
      </c>
      <c r="F437" s="15">
        <v>250</v>
      </c>
      <c r="G437" s="15">
        <v>400</v>
      </c>
      <c r="H437" s="15">
        <f t="shared" si="40"/>
        <v>7750</v>
      </c>
      <c r="I437" s="15">
        <f t="shared" si="41"/>
        <v>4169500</v>
      </c>
      <c r="J437" s="16"/>
      <c r="K437" s="15">
        <v>1125000</v>
      </c>
      <c r="L437" s="15">
        <f t="shared" si="36"/>
        <v>10760</v>
      </c>
      <c r="M437" s="16"/>
      <c r="N437" s="16"/>
      <c r="O437" s="15">
        <f t="shared" si="37"/>
        <v>134500</v>
      </c>
      <c r="P437" s="15">
        <f t="shared" si="38"/>
        <v>1270260</v>
      </c>
      <c r="Q437" s="15">
        <f t="shared" si="39"/>
        <v>2899240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222</v>
      </c>
      <c r="E444" s="15">
        <v>7100</v>
      </c>
      <c r="F444" s="15">
        <v>500</v>
      </c>
      <c r="G444" s="15">
        <v>400</v>
      </c>
      <c r="H444" s="15">
        <f t="shared" si="40"/>
        <v>8000</v>
      </c>
      <c r="I444" s="15">
        <f t="shared" si="41"/>
        <v>1776000</v>
      </c>
      <c r="J444" s="16"/>
      <c r="K444" s="15">
        <v>710000</v>
      </c>
      <c r="L444" s="15">
        <f t="shared" si="36"/>
        <v>4440</v>
      </c>
      <c r="M444" s="16"/>
      <c r="N444" s="16"/>
      <c r="O444" s="15">
        <f t="shared" si="37"/>
        <v>55500</v>
      </c>
      <c r="P444" s="15">
        <f t="shared" si="38"/>
        <v>769940</v>
      </c>
      <c r="Q444" s="15">
        <f t="shared" si="39"/>
        <v>1006060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153</v>
      </c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1147500</v>
      </c>
      <c r="J447" s="16"/>
      <c r="K447" s="15">
        <v>225000</v>
      </c>
      <c r="L447" s="15">
        <f t="shared" si="36"/>
        <v>3060</v>
      </c>
      <c r="M447" s="16"/>
      <c r="N447" s="16"/>
      <c r="O447" s="15">
        <f t="shared" si="37"/>
        <v>38250</v>
      </c>
      <c r="P447" s="15">
        <f t="shared" si="38"/>
        <v>266310</v>
      </c>
      <c r="Q447" s="15">
        <f t="shared" si="39"/>
        <v>881190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400</v>
      </c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3140000</v>
      </c>
      <c r="J449" s="16"/>
      <c r="K449" s="15">
        <v>675000</v>
      </c>
      <c r="L449" s="15">
        <f t="shared" si="36"/>
        <v>8000</v>
      </c>
      <c r="M449" s="16"/>
      <c r="N449" s="16"/>
      <c r="O449" s="15">
        <f t="shared" si="37"/>
        <v>100000</v>
      </c>
      <c r="P449" s="15">
        <f t="shared" si="38"/>
        <v>783000</v>
      </c>
      <c r="Q449" s="15">
        <f t="shared" si="39"/>
        <v>2357000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116</v>
      </c>
      <c r="E451" s="15">
        <v>7100</v>
      </c>
      <c r="F451" s="15">
        <v>500</v>
      </c>
      <c r="G451" s="15">
        <v>400</v>
      </c>
      <c r="H451" s="15">
        <f t="shared" si="40"/>
        <v>8000</v>
      </c>
      <c r="I451" s="15">
        <f t="shared" si="41"/>
        <v>928000</v>
      </c>
      <c r="J451" s="16"/>
      <c r="K451" s="15">
        <v>450000</v>
      </c>
      <c r="L451" s="15">
        <f t="shared" si="36"/>
        <v>2320</v>
      </c>
      <c r="M451" s="16"/>
      <c r="N451" s="16"/>
      <c r="O451" s="15">
        <f t="shared" si="37"/>
        <v>29000</v>
      </c>
      <c r="P451" s="15">
        <f t="shared" si="38"/>
        <v>481320</v>
      </c>
      <c r="Q451" s="15">
        <f t="shared" si="39"/>
        <v>446680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161</v>
      </c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1207500</v>
      </c>
      <c r="J452" s="16"/>
      <c r="K452" s="15"/>
      <c r="L452" s="15">
        <f t="shared" si="36"/>
        <v>3220</v>
      </c>
      <c r="M452" s="16"/>
      <c r="N452" s="16"/>
      <c r="O452" s="15">
        <f t="shared" si="37"/>
        <v>40250</v>
      </c>
      <c r="P452" s="15">
        <f t="shared" si="38"/>
        <v>43470</v>
      </c>
      <c r="Q452" s="15">
        <f t="shared" si="39"/>
        <v>1164030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189</v>
      </c>
      <c r="E454" s="15">
        <v>7100</v>
      </c>
      <c r="F454" s="15">
        <v>350</v>
      </c>
      <c r="G454" s="15">
        <v>400</v>
      </c>
      <c r="H454" s="15">
        <f t="shared" ref="H454:H474" si="52">SUM(E454:G454)</f>
        <v>7850</v>
      </c>
      <c r="I454" s="15">
        <f t="shared" ref="I454:I475" si="53">H454*D454</f>
        <v>1483650</v>
      </c>
      <c r="J454" s="16"/>
      <c r="K454" s="15"/>
      <c r="L454" s="15">
        <f t="shared" si="48"/>
        <v>3780</v>
      </c>
      <c r="M454" s="16"/>
      <c r="N454" s="16"/>
      <c r="O454" s="15">
        <f t="shared" si="49"/>
        <v>47250</v>
      </c>
      <c r="P454" s="15">
        <f t="shared" si="50"/>
        <v>51030</v>
      </c>
      <c r="Q454" s="15">
        <f t="shared" si="51"/>
        <v>1432620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52"/>
        <v>7900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52"/>
        <v>7800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61</v>
      </c>
      <c r="E457" s="15">
        <v>7100</v>
      </c>
      <c r="F457" s="15">
        <v>350</v>
      </c>
      <c r="G457" s="15">
        <v>400</v>
      </c>
      <c r="H457" s="15">
        <f t="shared" si="52"/>
        <v>7850</v>
      </c>
      <c r="I457" s="15">
        <f t="shared" si="53"/>
        <v>478850</v>
      </c>
      <c r="J457" s="16"/>
      <c r="K457" s="15">
        <v>225000</v>
      </c>
      <c r="L457" s="15">
        <f t="shared" si="48"/>
        <v>1220</v>
      </c>
      <c r="M457" s="16"/>
      <c r="N457" s="16"/>
      <c r="O457" s="15">
        <f t="shared" si="49"/>
        <v>15250</v>
      </c>
      <c r="P457" s="15">
        <f t="shared" si="50"/>
        <v>241470</v>
      </c>
      <c r="Q457" s="15">
        <f t="shared" si="51"/>
        <v>237380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52"/>
        <v>7800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154</v>
      </c>
      <c r="E459" s="15">
        <v>7100</v>
      </c>
      <c r="F459" s="15">
        <v>350</v>
      </c>
      <c r="G459" s="15">
        <v>400</v>
      </c>
      <c r="H459" s="15">
        <f t="shared" ref="H459" si="54">SUM(E459:G459)</f>
        <v>7850</v>
      </c>
      <c r="I459" s="15">
        <f t="shared" ref="I459" si="55">H459*D459</f>
        <v>1208900</v>
      </c>
      <c r="J459" s="16"/>
      <c r="K459" s="15">
        <v>450000</v>
      </c>
      <c r="L459" s="15">
        <f t="shared" ref="L459" si="56">D459*20</f>
        <v>3080</v>
      </c>
      <c r="M459" s="16"/>
      <c r="N459" s="16"/>
      <c r="O459" s="15">
        <f t="shared" ref="O459" si="57">250*D459</f>
        <v>38500</v>
      </c>
      <c r="P459" s="15">
        <f t="shared" ref="P459" si="58">SUM(J459:O459)</f>
        <v>491580</v>
      </c>
      <c r="Q459" s="15">
        <f t="shared" si="51"/>
        <v>717320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356</v>
      </c>
      <c r="E460" s="15">
        <v>7100</v>
      </c>
      <c r="F460" s="15">
        <v>250</v>
      </c>
      <c r="G460" s="15">
        <v>400</v>
      </c>
      <c r="H460" s="15">
        <f t="shared" si="52"/>
        <v>7750</v>
      </c>
      <c r="I460" s="15">
        <f t="shared" si="53"/>
        <v>2759000</v>
      </c>
      <c r="J460" s="16"/>
      <c r="K460" s="15"/>
      <c r="L460" s="15">
        <f t="shared" si="48"/>
        <v>7120</v>
      </c>
      <c r="M460" s="16"/>
      <c r="N460" s="16"/>
      <c r="O460" s="15">
        <f t="shared" si="49"/>
        <v>89000</v>
      </c>
      <c r="P460" s="15">
        <f t="shared" si="50"/>
        <v>96120</v>
      </c>
      <c r="Q460" s="15">
        <f t="shared" si="51"/>
        <v>2662880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109</v>
      </c>
      <c r="E461" s="15">
        <v>7100</v>
      </c>
      <c r="F461" s="15">
        <v>250</v>
      </c>
      <c r="G461" s="15">
        <v>400</v>
      </c>
      <c r="H461" s="15">
        <f t="shared" si="52"/>
        <v>7750</v>
      </c>
      <c r="I461" s="15">
        <f t="shared" si="53"/>
        <v>844750</v>
      </c>
      <c r="J461" s="16"/>
      <c r="K461" s="15">
        <v>225000</v>
      </c>
      <c r="L461" s="15">
        <f t="shared" si="48"/>
        <v>2180</v>
      </c>
      <c r="M461" s="16"/>
      <c r="N461" s="16"/>
      <c r="O461" s="15">
        <f t="shared" si="49"/>
        <v>27250</v>
      </c>
      <c r="P461" s="15">
        <f t="shared" si="50"/>
        <v>254430</v>
      </c>
      <c r="Q461" s="15">
        <f t="shared" si="51"/>
        <v>590320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410</v>
      </c>
      <c r="E462" s="15">
        <v>7100</v>
      </c>
      <c r="F462" s="15">
        <v>200</v>
      </c>
      <c r="G462" s="15">
        <v>300</v>
      </c>
      <c r="H462" s="15">
        <f t="shared" si="52"/>
        <v>7600</v>
      </c>
      <c r="I462" s="15">
        <f t="shared" si="53"/>
        <v>3116000</v>
      </c>
      <c r="J462" s="16"/>
      <c r="K462" s="15">
        <v>450000</v>
      </c>
      <c r="L462" s="15">
        <f t="shared" si="48"/>
        <v>8200</v>
      </c>
      <c r="M462" s="16"/>
      <c r="N462" s="16"/>
      <c r="O462" s="15">
        <f t="shared" si="49"/>
        <v>102500</v>
      </c>
      <c r="P462" s="15">
        <f t="shared" si="50"/>
        <v>560700</v>
      </c>
      <c r="Q462" s="15">
        <f t="shared" si="51"/>
        <v>2555300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125</v>
      </c>
      <c r="E463" s="15">
        <v>7100</v>
      </c>
      <c r="F463" s="15">
        <v>250</v>
      </c>
      <c r="G463" s="15">
        <v>400</v>
      </c>
      <c r="H463" s="15">
        <f t="shared" si="52"/>
        <v>7750</v>
      </c>
      <c r="I463" s="15">
        <f t="shared" si="53"/>
        <v>968750</v>
      </c>
      <c r="J463" s="16"/>
      <c r="K463" s="15">
        <v>225000</v>
      </c>
      <c r="L463" s="15">
        <f t="shared" si="48"/>
        <v>2500</v>
      </c>
      <c r="M463" s="16"/>
      <c r="N463" s="16"/>
      <c r="O463" s="15">
        <f t="shared" si="49"/>
        <v>31250</v>
      </c>
      <c r="P463" s="15">
        <f t="shared" si="50"/>
        <v>258750</v>
      </c>
      <c r="Q463" s="15">
        <f t="shared" si="51"/>
        <v>710000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61</v>
      </c>
      <c r="E464" s="15">
        <v>7100</v>
      </c>
      <c r="F464" s="15">
        <v>200</v>
      </c>
      <c r="G464" s="15">
        <v>400</v>
      </c>
      <c r="H464" s="15">
        <f t="shared" si="52"/>
        <v>7700</v>
      </c>
      <c r="I464" s="15">
        <f t="shared" si="53"/>
        <v>469700</v>
      </c>
      <c r="J464" s="16"/>
      <c r="K464" s="15">
        <v>225000</v>
      </c>
      <c r="L464" s="15">
        <f t="shared" si="48"/>
        <v>1220</v>
      </c>
      <c r="M464" s="16"/>
      <c r="N464" s="16"/>
      <c r="O464" s="15">
        <f t="shared" si="49"/>
        <v>15250</v>
      </c>
      <c r="P464" s="15">
        <f t="shared" si="50"/>
        <v>241470</v>
      </c>
      <c r="Q464" s="15">
        <f t="shared" si="51"/>
        <v>228230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252</v>
      </c>
      <c r="E465" s="15">
        <v>7100</v>
      </c>
      <c r="F465" s="15">
        <v>250</v>
      </c>
      <c r="G465" s="15">
        <v>400</v>
      </c>
      <c r="H465" s="15">
        <f t="shared" si="52"/>
        <v>7750</v>
      </c>
      <c r="I465" s="15">
        <f t="shared" si="53"/>
        <v>1953000</v>
      </c>
      <c r="J465" s="16"/>
      <c r="K465" s="15">
        <v>450000</v>
      </c>
      <c r="L465" s="15">
        <f t="shared" si="48"/>
        <v>5040</v>
      </c>
      <c r="M465" s="16"/>
      <c r="N465" s="16"/>
      <c r="O465" s="15">
        <f t="shared" si="49"/>
        <v>63000</v>
      </c>
      <c r="P465" s="15">
        <f t="shared" si="50"/>
        <v>518040</v>
      </c>
      <c r="Q465" s="15">
        <f t="shared" si="51"/>
        <v>1434960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257</v>
      </c>
      <c r="E466" s="15">
        <v>7100</v>
      </c>
      <c r="F466" s="15">
        <v>250</v>
      </c>
      <c r="G466" s="15">
        <v>400</v>
      </c>
      <c r="H466" s="15">
        <f t="shared" si="52"/>
        <v>7750</v>
      </c>
      <c r="I466" s="15">
        <f t="shared" si="53"/>
        <v>1991750</v>
      </c>
      <c r="J466" s="16"/>
      <c r="K466" s="15"/>
      <c r="L466" s="15">
        <f t="shared" si="48"/>
        <v>5140</v>
      </c>
      <c r="M466" s="16"/>
      <c r="N466" s="16"/>
      <c r="O466" s="15">
        <f t="shared" si="49"/>
        <v>64250</v>
      </c>
      <c r="P466" s="15">
        <f t="shared" si="50"/>
        <v>69390</v>
      </c>
      <c r="Q466" s="15">
        <f t="shared" si="51"/>
        <v>1922360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52"/>
        <v>7900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439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52"/>
        <v>7900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52"/>
        <v>7900</v>
      </c>
      <c r="I469" s="15">
        <f t="shared" si="53"/>
        <v>0</v>
      </c>
      <c r="J469" s="16"/>
      <c r="K469" s="15"/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0</v>
      </c>
      <c r="Q469" s="15">
        <f t="shared" si="51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52"/>
        <v>8000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270</v>
      </c>
      <c r="E471" s="15">
        <v>7100</v>
      </c>
      <c r="F471" s="15">
        <v>250</v>
      </c>
      <c r="G471" s="15">
        <v>300</v>
      </c>
      <c r="H471" s="15">
        <f t="shared" si="52"/>
        <v>7650</v>
      </c>
      <c r="I471" s="15">
        <f t="shared" si="53"/>
        <v>2065500</v>
      </c>
      <c r="J471" s="16"/>
      <c r="K471" s="15"/>
      <c r="L471" s="15">
        <f t="shared" si="48"/>
        <v>5400</v>
      </c>
      <c r="M471" s="16"/>
      <c r="N471" s="16"/>
      <c r="O471" s="15">
        <f t="shared" si="49"/>
        <v>67500</v>
      </c>
      <c r="P471" s="15">
        <f t="shared" si="50"/>
        <v>72900</v>
      </c>
      <c r="Q471" s="15">
        <f t="shared" si="51"/>
        <v>1992600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52"/>
        <v>7900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52"/>
        <v>7900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117</v>
      </c>
      <c r="E474" s="15">
        <v>7100</v>
      </c>
      <c r="F474" s="15">
        <v>350</v>
      </c>
      <c r="G474" s="15">
        <v>400</v>
      </c>
      <c r="H474" s="15">
        <f t="shared" si="52"/>
        <v>7850</v>
      </c>
      <c r="I474" s="15">
        <f t="shared" si="53"/>
        <v>918450</v>
      </c>
      <c r="J474" s="16"/>
      <c r="K474" s="15">
        <v>225000</v>
      </c>
      <c r="L474" s="15">
        <f t="shared" si="48"/>
        <v>2340</v>
      </c>
      <c r="M474" s="16"/>
      <c r="N474" s="16"/>
      <c r="O474" s="15">
        <f t="shared" si="49"/>
        <v>29250</v>
      </c>
      <c r="P474" s="15">
        <f t="shared" si="50"/>
        <v>256590</v>
      </c>
      <c r="Q474" s="15">
        <f t="shared" si="51"/>
        <v>661860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1516</v>
      </c>
      <c r="E475" s="15">
        <v>7100</v>
      </c>
      <c r="F475" s="15">
        <v>350</v>
      </c>
      <c r="G475" s="15">
        <v>400</v>
      </c>
      <c r="H475" s="15">
        <f t="shared" ref="H475" si="59">SUM(E475:G475)</f>
        <v>7850</v>
      </c>
      <c r="I475" s="15">
        <f t="shared" si="53"/>
        <v>11900600</v>
      </c>
      <c r="J475" s="16"/>
      <c r="K475" s="15"/>
      <c r="L475" s="15">
        <f t="shared" ref="L475" si="60">D475*20</f>
        <v>30320</v>
      </c>
      <c r="M475" s="16"/>
      <c r="N475" s="16"/>
      <c r="O475" s="15">
        <f t="shared" ref="O475" si="61">250*D475</f>
        <v>379000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7100</v>
      </c>
      <c r="F476" s="15">
        <v>300</v>
      </c>
      <c r="G476" s="15">
        <v>400</v>
      </c>
      <c r="H476" s="15">
        <f t="shared" ref="H476:H480" si="62">SUM(E476:G476)</f>
        <v>7800</v>
      </c>
      <c r="I476" s="15">
        <f t="shared" ref="I476:I479" si="63">H476*D476</f>
        <v>0</v>
      </c>
      <c r="J476" s="16"/>
      <c r="K476" s="15"/>
      <c r="L476" s="15">
        <f t="shared" ref="L476:L479" si="64">D476*20</f>
        <v>0</v>
      </c>
      <c r="M476" s="16"/>
      <c r="N476" s="16"/>
      <c r="O476" s="15">
        <f t="shared" ref="O476:O479" si="65">250*D476</f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456</v>
      </c>
      <c r="C477" s="13" t="s">
        <v>36</v>
      </c>
      <c r="D477" s="20">
        <v>106</v>
      </c>
      <c r="E477" s="15">
        <v>7100</v>
      </c>
      <c r="F477" s="15">
        <v>350</v>
      </c>
      <c r="G477" s="15">
        <v>400</v>
      </c>
      <c r="H477" s="15">
        <f t="shared" si="62"/>
        <v>7850</v>
      </c>
      <c r="I477" s="15">
        <f t="shared" si="63"/>
        <v>832100</v>
      </c>
      <c r="J477" s="16"/>
      <c r="K477" s="15"/>
      <c r="L477" s="15">
        <f t="shared" si="64"/>
        <v>2120</v>
      </c>
      <c r="M477" s="16"/>
      <c r="N477" s="16"/>
      <c r="O477" s="15">
        <f t="shared" si="65"/>
        <v>26500</v>
      </c>
      <c r="P477" s="15"/>
      <c r="Q477" s="15"/>
      <c r="R477" s="17"/>
    </row>
    <row r="478" spans="1:18" ht="16.5" x14ac:dyDescent="0.25">
      <c r="A478" s="12">
        <v>1671</v>
      </c>
      <c r="B478" s="13" t="s">
        <v>459</v>
      </c>
      <c r="C478" s="13" t="s">
        <v>30</v>
      </c>
      <c r="D478" s="20">
        <v>310</v>
      </c>
      <c r="E478" s="15">
        <v>7100</v>
      </c>
      <c r="F478" s="15">
        <v>350</v>
      </c>
      <c r="G478" s="15">
        <v>400</v>
      </c>
      <c r="H478" s="15">
        <f t="shared" si="62"/>
        <v>7850</v>
      </c>
      <c r="I478" s="15">
        <f t="shared" si="63"/>
        <v>2433500</v>
      </c>
      <c r="J478" s="16"/>
      <c r="K478" s="15">
        <v>675000</v>
      </c>
      <c r="L478" s="15">
        <f t="shared" si="64"/>
        <v>6200</v>
      </c>
      <c r="M478" s="16"/>
      <c r="N478" s="16"/>
      <c r="O478" s="15">
        <f t="shared" si="65"/>
        <v>77500</v>
      </c>
      <c r="P478" s="15"/>
      <c r="Q478" s="15"/>
      <c r="R478" s="17"/>
    </row>
    <row r="479" spans="1:18" ht="16.5" x14ac:dyDescent="0.25">
      <c r="A479" s="12">
        <v>1672</v>
      </c>
      <c r="B479" s="13" t="s">
        <v>474</v>
      </c>
      <c r="C479" s="13" t="s">
        <v>30</v>
      </c>
      <c r="D479" s="20">
        <v>114</v>
      </c>
      <c r="E479" s="15">
        <v>7100</v>
      </c>
      <c r="F479" s="15">
        <v>200</v>
      </c>
      <c r="G479" s="15">
        <v>400</v>
      </c>
      <c r="H479" s="15">
        <f t="shared" si="62"/>
        <v>7700</v>
      </c>
      <c r="I479" s="15">
        <f t="shared" si="63"/>
        <v>877800</v>
      </c>
      <c r="J479" s="16"/>
      <c r="K479" s="15">
        <v>450000</v>
      </c>
      <c r="L479" s="15">
        <f t="shared" si="64"/>
        <v>2280</v>
      </c>
      <c r="M479" s="16"/>
      <c r="N479" s="16"/>
      <c r="O479" s="15">
        <f t="shared" si="65"/>
        <v>28500</v>
      </c>
      <c r="P479" s="15"/>
      <c r="Q479" s="15"/>
      <c r="R479" s="17"/>
    </row>
    <row r="480" spans="1:18" ht="16.5" x14ac:dyDescent="0.25">
      <c r="A480" s="12">
        <v>1673</v>
      </c>
      <c r="B480" s="13" t="s">
        <v>475</v>
      </c>
      <c r="C480" s="13" t="s">
        <v>25</v>
      </c>
      <c r="D480" s="20">
        <v>451</v>
      </c>
      <c r="E480" s="15">
        <v>7100</v>
      </c>
      <c r="F480" s="15">
        <v>300</v>
      </c>
      <c r="G480" s="15">
        <v>400</v>
      </c>
      <c r="H480" s="15">
        <f t="shared" si="62"/>
        <v>7800</v>
      </c>
      <c r="I480" s="15">
        <f t="shared" ref="I480" si="66">H480*D480</f>
        <v>3517800</v>
      </c>
      <c r="J480" s="16"/>
      <c r="K480" s="15">
        <v>1125000</v>
      </c>
      <c r="L480" s="15">
        <f t="shared" ref="L480" si="67">D480*20</f>
        <v>9020</v>
      </c>
      <c r="M480" s="16"/>
      <c r="N480" s="16"/>
      <c r="O480" s="15">
        <f t="shared" ref="O480" si="68">250*D480</f>
        <v>112750</v>
      </c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32550</v>
      </c>
      <c r="E483" s="20">
        <f t="shared" ref="E483:P483" si="69">SUM(E4:E482)</f>
        <v>3386700</v>
      </c>
      <c r="F483" s="20">
        <f t="shared" si="69"/>
        <v>159300</v>
      </c>
      <c r="G483" s="20">
        <f t="shared" si="69"/>
        <v>186950</v>
      </c>
      <c r="H483" s="20">
        <f t="shared" si="69"/>
        <v>3723650</v>
      </c>
      <c r="I483" s="20">
        <f t="shared" si="69"/>
        <v>253939250</v>
      </c>
      <c r="J483" s="20">
        <f t="shared" si="69"/>
        <v>680000</v>
      </c>
      <c r="K483" s="20">
        <f t="shared" si="69"/>
        <v>54730000</v>
      </c>
      <c r="L483" s="20">
        <f t="shared" si="69"/>
        <v>651000</v>
      </c>
      <c r="M483" s="20">
        <f t="shared" si="69"/>
        <v>0</v>
      </c>
      <c r="N483" s="20">
        <f t="shared" si="69"/>
        <v>0</v>
      </c>
      <c r="O483" s="20">
        <f t="shared" si="69"/>
        <v>8137500</v>
      </c>
      <c r="P483" s="20">
        <f t="shared" si="69"/>
        <v>61274310</v>
      </c>
      <c r="Q483" s="20">
        <f>SUM(Q4:Q482)</f>
        <v>173103140</v>
      </c>
      <c r="R483" s="36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/>
      <c r="D498" s="40">
        <v>55</v>
      </c>
      <c r="E498" s="16">
        <v>7500</v>
      </c>
      <c r="F498" s="16"/>
      <c r="G498" s="16"/>
      <c r="H498" s="15">
        <f t="shared" ref="H498:H506" si="70">SUM(E498:G498)</f>
        <v>7500</v>
      </c>
      <c r="I498" s="15">
        <f t="shared" ref="I498:I506" si="71">D498*H498</f>
        <v>412500</v>
      </c>
      <c r="J498" s="20"/>
      <c r="K498" s="15"/>
      <c r="L498" s="15"/>
      <c r="M498" s="20"/>
      <c r="N498" s="20"/>
      <c r="O498" s="22"/>
      <c r="P498" s="15">
        <f t="shared" ref="P498:P506" si="72">SUM(J498:O498)</f>
        <v>0</v>
      </c>
      <c r="Q498" s="15">
        <f t="shared" ref="Q498:Q506" si="73">I498-P498</f>
        <v>412500</v>
      </c>
      <c r="R498" s="36"/>
    </row>
    <row r="499" spans="1:18" ht="16.5" x14ac:dyDescent="0.25">
      <c r="A499" s="12">
        <v>0</v>
      </c>
      <c r="B499" s="13" t="s">
        <v>25</v>
      </c>
      <c r="C499" s="13"/>
      <c r="D499" s="20">
        <v>155</v>
      </c>
      <c r="E499" s="16">
        <v>7500</v>
      </c>
      <c r="F499" s="16"/>
      <c r="G499" s="16"/>
      <c r="H499" s="15">
        <f t="shared" si="70"/>
        <v>7500</v>
      </c>
      <c r="I499" s="15">
        <f t="shared" si="71"/>
        <v>1162500</v>
      </c>
      <c r="J499" s="20"/>
      <c r="K499" s="15"/>
      <c r="L499" s="15"/>
      <c r="M499" s="20"/>
      <c r="N499" s="20"/>
      <c r="O499" s="22"/>
      <c r="P499" s="15">
        <f t="shared" si="72"/>
        <v>0</v>
      </c>
      <c r="Q499" s="15">
        <f t="shared" si="73"/>
        <v>1162500</v>
      </c>
      <c r="R499" s="36"/>
    </row>
    <row r="500" spans="1:18" ht="16.5" x14ac:dyDescent="0.25">
      <c r="A500" s="12">
        <v>0</v>
      </c>
      <c r="B500" s="13" t="s">
        <v>21</v>
      </c>
      <c r="C500" s="13"/>
      <c r="D500" s="20">
        <v>9</v>
      </c>
      <c r="E500" s="16">
        <v>7500</v>
      </c>
      <c r="F500" s="16"/>
      <c r="G500" s="16"/>
      <c r="H500" s="15">
        <f t="shared" si="70"/>
        <v>7500</v>
      </c>
      <c r="I500" s="15">
        <f t="shared" si="71"/>
        <v>67500</v>
      </c>
      <c r="J500" s="20"/>
      <c r="K500" s="15"/>
      <c r="L500" s="15"/>
      <c r="M500" s="20"/>
      <c r="N500" s="20"/>
      <c r="O500" s="22"/>
      <c r="P500" s="15">
        <f t="shared" si="72"/>
        <v>0</v>
      </c>
      <c r="Q500" s="15">
        <f t="shared" si="73"/>
        <v>67500</v>
      </c>
      <c r="R500" s="36"/>
    </row>
    <row r="501" spans="1:18" ht="16.5" x14ac:dyDescent="0.25">
      <c r="A501" s="12">
        <v>0</v>
      </c>
      <c r="B501" s="13" t="s">
        <v>47</v>
      </c>
      <c r="C501" s="13"/>
      <c r="D501" s="20">
        <v>70</v>
      </c>
      <c r="E501" s="16">
        <v>7500</v>
      </c>
      <c r="F501" s="16"/>
      <c r="G501" s="16"/>
      <c r="H501" s="15">
        <f t="shared" si="70"/>
        <v>7500</v>
      </c>
      <c r="I501" s="15">
        <f t="shared" si="71"/>
        <v>525000</v>
      </c>
      <c r="J501" s="20"/>
      <c r="K501" s="15"/>
      <c r="L501" s="15"/>
      <c r="M501" s="20"/>
      <c r="N501" s="20"/>
      <c r="O501" s="22"/>
      <c r="P501" s="15">
        <f t="shared" si="72"/>
        <v>0</v>
      </c>
      <c r="Q501" s="15">
        <f t="shared" si="73"/>
        <v>525000</v>
      </c>
      <c r="R501" s="36"/>
    </row>
    <row r="502" spans="1:18" ht="16.5" x14ac:dyDescent="0.25">
      <c r="A502" s="12">
        <v>0</v>
      </c>
      <c r="B502" s="13" t="s">
        <v>43</v>
      </c>
      <c r="C502" s="13"/>
      <c r="D502" s="20">
        <v>270</v>
      </c>
      <c r="E502" s="16">
        <v>7500</v>
      </c>
      <c r="F502" s="16"/>
      <c r="G502" s="16"/>
      <c r="H502" s="15">
        <f t="shared" si="70"/>
        <v>7500</v>
      </c>
      <c r="I502" s="15">
        <f t="shared" si="71"/>
        <v>2025000</v>
      </c>
      <c r="J502" s="20"/>
      <c r="K502" s="15"/>
      <c r="L502" s="15"/>
      <c r="M502" s="20"/>
      <c r="N502" s="20"/>
      <c r="O502" s="22"/>
      <c r="P502" s="15">
        <f t="shared" si="72"/>
        <v>0</v>
      </c>
      <c r="Q502" s="15">
        <f t="shared" si="73"/>
        <v>2025000</v>
      </c>
      <c r="R502" s="36"/>
    </row>
    <row r="503" spans="1:18" ht="16.5" x14ac:dyDescent="0.25">
      <c r="A503" s="12">
        <v>0</v>
      </c>
      <c r="B503" s="13" t="s">
        <v>30</v>
      </c>
      <c r="C503" s="13"/>
      <c r="D503" s="20">
        <v>220</v>
      </c>
      <c r="E503" s="16">
        <v>7500</v>
      </c>
      <c r="F503" s="16"/>
      <c r="G503" s="16"/>
      <c r="H503" s="15">
        <f t="shared" si="70"/>
        <v>7500</v>
      </c>
      <c r="I503" s="15">
        <f t="shared" si="71"/>
        <v>1650000</v>
      </c>
      <c r="J503" s="20"/>
      <c r="K503" s="15"/>
      <c r="L503" s="15"/>
      <c r="M503" s="20"/>
      <c r="N503" s="20"/>
      <c r="O503" s="22"/>
      <c r="P503" s="15">
        <f t="shared" si="72"/>
        <v>0</v>
      </c>
      <c r="Q503" s="15">
        <f t="shared" si="73"/>
        <v>1650000</v>
      </c>
      <c r="R503" s="36"/>
    </row>
    <row r="504" spans="1:18" ht="16.5" x14ac:dyDescent="0.25">
      <c r="A504" s="12">
        <v>0</v>
      </c>
      <c r="B504" s="13" t="s">
        <v>54</v>
      </c>
      <c r="C504" s="13"/>
      <c r="D504" s="20">
        <v>60</v>
      </c>
      <c r="E504" s="16">
        <v>7500</v>
      </c>
      <c r="F504" s="16"/>
      <c r="G504" s="16"/>
      <c r="H504" s="15">
        <f t="shared" si="70"/>
        <v>7500</v>
      </c>
      <c r="I504" s="15">
        <f t="shared" si="71"/>
        <v>450000</v>
      </c>
      <c r="J504" s="20"/>
      <c r="K504" s="15"/>
      <c r="L504" s="15"/>
      <c r="M504" s="20"/>
      <c r="N504" s="20"/>
      <c r="O504" s="22"/>
      <c r="P504" s="15">
        <f t="shared" si="72"/>
        <v>0</v>
      </c>
      <c r="Q504" s="15">
        <f t="shared" si="73"/>
        <v>450000</v>
      </c>
      <c r="R504" s="36"/>
    </row>
    <row r="505" spans="1:18" ht="16.5" x14ac:dyDescent="0.25">
      <c r="A505" s="12">
        <v>0</v>
      </c>
      <c r="B505" s="13" t="s">
        <v>392</v>
      </c>
      <c r="C505" s="13"/>
      <c r="D505" s="20">
        <v>20</v>
      </c>
      <c r="E505" s="16">
        <v>7500</v>
      </c>
      <c r="F505" s="16"/>
      <c r="G505" s="16"/>
      <c r="H505" s="15">
        <f t="shared" si="70"/>
        <v>7500</v>
      </c>
      <c r="I505" s="15">
        <f t="shared" si="71"/>
        <v>150000</v>
      </c>
      <c r="J505" s="20"/>
      <c r="K505" s="15"/>
      <c r="L505" s="15"/>
      <c r="M505" s="20"/>
      <c r="N505" s="20"/>
      <c r="O505" s="22"/>
      <c r="P505" s="15">
        <f t="shared" si="72"/>
        <v>0</v>
      </c>
      <c r="Q505" s="15">
        <f t="shared" si="73"/>
        <v>150000</v>
      </c>
      <c r="R505" s="36"/>
    </row>
    <row r="506" spans="1:18" ht="16.5" x14ac:dyDescent="0.25">
      <c r="A506" s="12">
        <v>0</v>
      </c>
      <c r="B506" s="41" t="s">
        <v>19</v>
      </c>
      <c r="C506" s="13"/>
      <c r="D506" s="20"/>
      <c r="E506" s="16">
        <v>7500</v>
      </c>
      <c r="F506" s="16"/>
      <c r="G506" s="16"/>
      <c r="H506" s="15">
        <f t="shared" si="70"/>
        <v>7500</v>
      </c>
      <c r="I506" s="15">
        <f t="shared" si="71"/>
        <v>0</v>
      </c>
      <c r="J506" s="20"/>
      <c r="K506" s="15"/>
      <c r="L506" s="15"/>
      <c r="M506" s="20"/>
      <c r="N506" s="20"/>
      <c r="O506" s="22"/>
      <c r="P506" s="15">
        <f t="shared" si="72"/>
        <v>0</v>
      </c>
      <c r="Q506" s="15">
        <f t="shared" si="73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>H507-P507</f>
        <v>0</v>
      </c>
      <c r="R507" s="36"/>
    </row>
    <row r="508" spans="1:18" ht="16.5" x14ac:dyDescent="0.25">
      <c r="A508" s="44"/>
      <c r="B508" s="45" t="s">
        <v>393</v>
      </c>
      <c r="C508" s="46"/>
      <c r="D508" s="22">
        <f t="shared" ref="D508:Q508" si="74">SUM(D498:D507)</f>
        <v>859</v>
      </c>
      <c r="E508" s="22">
        <f t="shared" si="74"/>
        <v>67500</v>
      </c>
      <c r="F508" s="22">
        <f t="shared" ref="F508:G508" si="75">SUM(F498:F507)</f>
        <v>0</v>
      </c>
      <c r="G508" s="22">
        <f t="shared" si="75"/>
        <v>0</v>
      </c>
      <c r="H508" s="22">
        <f t="shared" si="74"/>
        <v>67500</v>
      </c>
      <c r="I508" s="22">
        <f t="shared" si="74"/>
        <v>6442500</v>
      </c>
      <c r="J508" s="22">
        <f t="shared" si="74"/>
        <v>0</v>
      </c>
      <c r="K508" s="22">
        <f t="shared" si="74"/>
        <v>0</v>
      </c>
      <c r="L508" s="22">
        <f t="shared" si="74"/>
        <v>0</v>
      </c>
      <c r="M508" s="22">
        <f t="shared" si="74"/>
        <v>0</v>
      </c>
      <c r="N508" s="22">
        <f t="shared" si="74"/>
        <v>0</v>
      </c>
      <c r="O508" s="22">
        <f t="shared" si="74"/>
        <v>0</v>
      </c>
      <c r="P508" s="22">
        <f t="shared" si="74"/>
        <v>0</v>
      </c>
      <c r="Q508" s="22">
        <f t="shared" si="74"/>
        <v>6442500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>
        <f>A496</f>
        <v>0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461</v>
      </c>
      <c r="E520" s="16">
        <v>7200</v>
      </c>
      <c r="F520" s="16"/>
      <c r="G520" s="16"/>
      <c r="H520" s="15">
        <f t="shared" ref="H520:H528" si="76">SUM(E520:G520)</f>
        <v>7200</v>
      </c>
      <c r="I520" s="15">
        <f t="shared" ref="I520:I528" si="77">D520*H520</f>
        <v>0</v>
      </c>
      <c r="J520" s="15"/>
      <c r="K520" s="15"/>
      <c r="L520" s="15"/>
      <c r="M520" s="15"/>
      <c r="N520" s="15"/>
      <c r="O520" s="15"/>
      <c r="P520" s="15">
        <f t="shared" ref="P520:P528" si="78">SUM(J520:O520)</f>
        <v>0</v>
      </c>
      <c r="Q520" s="15">
        <f t="shared" ref="Q520:Q528" si="79"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si="76"/>
        <v>8000</v>
      </c>
      <c r="I521" s="15">
        <f t="shared" si="77"/>
        <v>0</v>
      </c>
      <c r="J521" s="15"/>
      <c r="K521" s="15"/>
      <c r="L521" s="15"/>
      <c r="M521" s="15"/>
      <c r="N521" s="15"/>
      <c r="O521" s="15"/>
      <c r="P521" s="15">
        <f t="shared" si="78"/>
        <v>0</v>
      </c>
      <c r="Q521" s="15">
        <f t="shared" si="79"/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1160</v>
      </c>
      <c r="E522" s="16">
        <v>8000</v>
      </c>
      <c r="F522" s="16"/>
      <c r="G522" s="16"/>
      <c r="H522" s="15">
        <f t="shared" si="76"/>
        <v>8000</v>
      </c>
      <c r="I522" s="15">
        <f t="shared" si="77"/>
        <v>9280000</v>
      </c>
      <c r="J522" s="15"/>
      <c r="K522" s="15"/>
      <c r="L522" s="15"/>
      <c r="M522" s="15"/>
      <c r="N522" s="15"/>
      <c r="O522" s="15"/>
      <c r="P522" s="15">
        <f t="shared" si="78"/>
        <v>0</v>
      </c>
      <c r="Q522" s="15">
        <f t="shared" si="79"/>
        <v>9280000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340</v>
      </c>
      <c r="E523" s="16">
        <v>7400</v>
      </c>
      <c r="F523" s="16"/>
      <c r="G523" s="16"/>
      <c r="H523" s="15">
        <f t="shared" si="76"/>
        <v>7400</v>
      </c>
      <c r="I523" s="15">
        <f t="shared" si="77"/>
        <v>2516000</v>
      </c>
      <c r="J523" s="15"/>
      <c r="K523" s="15"/>
      <c r="L523" s="15"/>
      <c r="M523" s="15"/>
      <c r="N523" s="15"/>
      <c r="O523" s="15"/>
      <c r="P523" s="15">
        <f t="shared" si="78"/>
        <v>0</v>
      </c>
      <c r="Q523" s="15">
        <f t="shared" si="79"/>
        <v>2516000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335</v>
      </c>
      <c r="E524" s="16">
        <v>7400</v>
      </c>
      <c r="F524" s="16"/>
      <c r="G524" s="16"/>
      <c r="H524" s="15">
        <f t="shared" si="76"/>
        <v>7400</v>
      </c>
      <c r="I524" s="15">
        <f t="shared" si="77"/>
        <v>2479000</v>
      </c>
      <c r="J524" s="15"/>
      <c r="K524" s="15"/>
      <c r="L524" s="15"/>
      <c r="M524" s="15"/>
      <c r="N524" s="15"/>
      <c r="O524" s="15"/>
      <c r="P524" s="15">
        <f t="shared" si="78"/>
        <v>0</v>
      </c>
      <c r="Q524" s="15">
        <f t="shared" si="79"/>
        <v>2479000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2097</v>
      </c>
      <c r="E525" s="16">
        <v>8000</v>
      </c>
      <c r="F525" s="16"/>
      <c r="G525" s="16"/>
      <c r="H525" s="15">
        <f t="shared" si="76"/>
        <v>8000</v>
      </c>
      <c r="I525" s="15">
        <f t="shared" si="77"/>
        <v>16776000</v>
      </c>
      <c r="J525" s="15"/>
      <c r="K525" s="15"/>
      <c r="L525" s="15"/>
      <c r="M525" s="15"/>
      <c r="N525" s="15"/>
      <c r="O525" s="15"/>
      <c r="P525" s="15">
        <f t="shared" si="78"/>
        <v>0</v>
      </c>
      <c r="Q525" s="15">
        <f t="shared" si="79"/>
        <v>16776000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570</v>
      </c>
      <c r="E526" s="61">
        <v>7500</v>
      </c>
      <c r="F526" s="61"/>
      <c r="G526" s="61"/>
      <c r="H526" s="15">
        <f t="shared" si="76"/>
        <v>7500</v>
      </c>
      <c r="I526" s="15">
        <f t="shared" si="77"/>
        <v>4275000</v>
      </c>
      <c r="J526" s="15"/>
      <c r="K526" s="15"/>
      <c r="L526" s="15"/>
      <c r="M526" s="15"/>
      <c r="N526" s="15"/>
      <c r="O526" s="15"/>
      <c r="P526" s="15">
        <f t="shared" si="78"/>
        <v>0</v>
      </c>
      <c r="Q526" s="15">
        <f t="shared" si="79"/>
        <v>4275000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76"/>
        <v>7500</v>
      </c>
      <c r="I527" s="15">
        <f t="shared" si="77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78"/>
        <v>0</v>
      </c>
      <c r="Q527" s="15">
        <f t="shared" si="79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76"/>
        <v>0</v>
      </c>
      <c r="I528" s="15">
        <f t="shared" si="77"/>
        <v>0</v>
      </c>
      <c r="J528" s="15"/>
      <c r="K528" s="15"/>
      <c r="L528" s="15"/>
      <c r="M528" s="15"/>
      <c r="N528" s="15"/>
      <c r="O528" s="15"/>
      <c r="P528" s="15">
        <f t="shared" si="78"/>
        <v>0</v>
      </c>
      <c r="Q528" s="15">
        <f t="shared" si="79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 t="shared" ref="D529:Q529" si="80">SUM(D520:D528)</f>
        <v>4502</v>
      </c>
      <c r="E529" s="22">
        <f t="shared" si="80"/>
        <v>61000</v>
      </c>
      <c r="F529" s="22">
        <f t="shared" ref="F529:G529" si="81">SUM(F520:F528)</f>
        <v>0</v>
      </c>
      <c r="G529" s="22">
        <f t="shared" si="81"/>
        <v>0</v>
      </c>
      <c r="H529" s="22">
        <f t="shared" si="80"/>
        <v>61000</v>
      </c>
      <c r="I529" s="22">
        <f t="shared" si="80"/>
        <v>35326000</v>
      </c>
      <c r="J529" s="22">
        <f t="shared" si="80"/>
        <v>0</v>
      </c>
      <c r="K529" s="22">
        <f t="shared" si="80"/>
        <v>0</v>
      </c>
      <c r="L529" s="22">
        <f t="shared" si="80"/>
        <v>0</v>
      </c>
      <c r="M529" s="22">
        <f t="shared" si="80"/>
        <v>0</v>
      </c>
      <c r="N529" s="22">
        <f t="shared" si="80"/>
        <v>0</v>
      </c>
      <c r="O529" s="22">
        <f t="shared" si="80"/>
        <v>0</v>
      </c>
      <c r="P529" s="22">
        <f t="shared" si="80"/>
        <v>0</v>
      </c>
      <c r="Q529" s="22">
        <f t="shared" si="80"/>
        <v>35326000</v>
      </c>
      <c r="R529" s="47"/>
    </row>
    <row r="530" spans="1:18" ht="16.5" x14ac:dyDescent="0.25">
      <c r="A530" s="74" t="s">
        <v>398</v>
      </c>
      <c r="B530" s="75"/>
      <c r="C530" s="76"/>
      <c r="D530" s="22">
        <f t="shared" ref="D530:Q530" si="82">SUM(D508,D483,D529)</f>
        <v>37911</v>
      </c>
      <c r="E530" s="22">
        <f t="shared" si="82"/>
        <v>3515200</v>
      </c>
      <c r="F530" s="22">
        <f t="shared" si="82"/>
        <v>159300</v>
      </c>
      <c r="G530" s="22">
        <f t="shared" si="82"/>
        <v>186950</v>
      </c>
      <c r="H530" s="22">
        <f t="shared" si="82"/>
        <v>3852150</v>
      </c>
      <c r="I530" s="22">
        <f t="shared" si="82"/>
        <v>295707750</v>
      </c>
      <c r="J530" s="22">
        <f t="shared" si="82"/>
        <v>680000</v>
      </c>
      <c r="K530" s="22">
        <f t="shared" si="82"/>
        <v>54730000</v>
      </c>
      <c r="L530" s="22">
        <f t="shared" si="82"/>
        <v>651000</v>
      </c>
      <c r="M530" s="22">
        <f t="shared" si="82"/>
        <v>0</v>
      </c>
      <c r="N530" s="22">
        <f t="shared" si="82"/>
        <v>0</v>
      </c>
      <c r="O530" s="22">
        <f t="shared" si="82"/>
        <v>8137500</v>
      </c>
      <c r="P530" s="22">
        <f t="shared" si="82"/>
        <v>61274310</v>
      </c>
      <c r="Q530" s="22">
        <f t="shared" si="82"/>
        <v>214871640</v>
      </c>
      <c r="R530" s="47"/>
    </row>
    <row r="531" spans="1:18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466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18:R518"/>
    <mergeCell ref="A529:C529"/>
    <mergeCell ref="A530:C530"/>
    <mergeCell ref="A496:R496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zoomScale="110" zoomScaleNormal="110" workbookViewId="0">
      <pane xSplit="2" ySplit="3" topLeftCell="C479" activePane="bottomRight" state="frozen"/>
      <selection pane="topRight"/>
      <selection pane="bottomLeft"/>
      <selection pane="bottomRight" activeCell="E490" sqref="E490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449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/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0</v>
      </c>
      <c r="J5" s="16"/>
      <c r="K5" s="15">
        <v>800000</v>
      </c>
      <c r="L5" s="15">
        <f t="shared" si="0"/>
        <v>0</v>
      </c>
      <c r="M5" s="16"/>
      <c r="N5" s="16"/>
      <c r="O5" s="15">
        <f t="shared" si="1"/>
        <v>0</v>
      </c>
      <c r="P5" s="15">
        <f t="shared" si="2"/>
        <v>800000</v>
      </c>
      <c r="Q5" s="15">
        <f t="shared" ref="Q5:Q68" si="5">I5-P5</f>
        <v>-800000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/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0</v>
      </c>
      <c r="J6" s="16"/>
      <c r="K6" s="15">
        <v>600000</v>
      </c>
      <c r="L6" s="15">
        <f t="shared" si="0"/>
        <v>0</v>
      </c>
      <c r="M6" s="16"/>
      <c r="N6" s="16"/>
      <c r="O6" s="15">
        <f t="shared" si="1"/>
        <v>0</v>
      </c>
      <c r="P6" s="15">
        <f t="shared" si="2"/>
        <v>600000</v>
      </c>
      <c r="Q6" s="15">
        <f t="shared" si="5"/>
        <v>-600000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/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0</v>
      </c>
      <c r="J9" s="16"/>
      <c r="K9" s="15">
        <v>300000</v>
      </c>
      <c r="L9" s="15">
        <f t="shared" si="0"/>
        <v>0</v>
      </c>
      <c r="M9" s="16"/>
      <c r="N9" s="16"/>
      <c r="O9" s="15">
        <f t="shared" si="1"/>
        <v>0</v>
      </c>
      <c r="P9" s="15">
        <f t="shared" si="2"/>
        <v>300000</v>
      </c>
      <c r="Q9" s="15">
        <f t="shared" si="5"/>
        <v>-300000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7100</v>
      </c>
      <c r="F11" s="15">
        <v>350</v>
      </c>
      <c r="G11" s="15">
        <v>400</v>
      </c>
      <c r="H11" s="15">
        <f t="shared" si="3"/>
        <v>7850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/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0</v>
      </c>
      <c r="J18" s="16"/>
      <c r="K18" s="15">
        <v>200000</v>
      </c>
      <c r="L18" s="15">
        <f t="shared" si="0"/>
        <v>0</v>
      </c>
      <c r="M18" s="16"/>
      <c r="N18" s="16"/>
      <c r="O18" s="15">
        <f t="shared" si="1"/>
        <v>0</v>
      </c>
      <c r="P18" s="15">
        <f t="shared" si="2"/>
        <v>200000</v>
      </c>
      <c r="Q18" s="15">
        <f t="shared" si="5"/>
        <v>-200000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/>
      <c r="E27" s="15">
        <v>7100</v>
      </c>
      <c r="F27" s="15">
        <v>350</v>
      </c>
      <c r="G27" s="15">
        <v>200</v>
      </c>
      <c r="H27" s="15">
        <f t="shared" si="3"/>
        <v>7650</v>
      </c>
      <c r="I27" s="15">
        <f t="shared" si="4"/>
        <v>0</v>
      </c>
      <c r="J27" s="16"/>
      <c r="K27" s="15">
        <v>400000</v>
      </c>
      <c r="L27" s="15">
        <f t="shared" si="0"/>
        <v>0</v>
      </c>
      <c r="M27" s="16"/>
      <c r="N27" s="16"/>
      <c r="O27" s="15">
        <f t="shared" si="1"/>
        <v>0</v>
      </c>
      <c r="P27" s="15">
        <f t="shared" si="2"/>
        <v>400000</v>
      </c>
      <c r="Q27" s="15">
        <f t="shared" si="5"/>
        <v>-400000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/>
      <c r="E29" s="15">
        <v>7100</v>
      </c>
      <c r="F29" s="15">
        <v>350</v>
      </c>
      <c r="G29" s="15">
        <v>400</v>
      </c>
      <c r="H29" s="15">
        <f t="shared" si="3"/>
        <v>7850</v>
      </c>
      <c r="I29" s="15">
        <f t="shared" si="4"/>
        <v>0</v>
      </c>
      <c r="J29" s="16"/>
      <c r="K29" s="15">
        <v>200000</v>
      </c>
      <c r="L29" s="15">
        <f t="shared" si="0"/>
        <v>0</v>
      </c>
      <c r="M29" s="16"/>
      <c r="N29" s="16"/>
      <c r="O29" s="15">
        <f t="shared" si="1"/>
        <v>0</v>
      </c>
      <c r="P29" s="15">
        <f t="shared" si="2"/>
        <v>200000</v>
      </c>
      <c r="Q29" s="15">
        <f t="shared" si="5"/>
        <v>-200000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/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0</v>
      </c>
      <c r="J30" s="16"/>
      <c r="K30" s="15">
        <v>200000</v>
      </c>
      <c r="L30" s="15">
        <f t="shared" si="0"/>
        <v>0</v>
      </c>
      <c r="M30" s="16"/>
      <c r="N30" s="16"/>
      <c r="O30" s="15">
        <f t="shared" si="1"/>
        <v>0</v>
      </c>
      <c r="P30" s="15">
        <f t="shared" si="2"/>
        <v>200000</v>
      </c>
      <c r="Q30" s="15">
        <f t="shared" si="5"/>
        <v>-200000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/>
      <c r="E35" s="15">
        <v>7100</v>
      </c>
      <c r="F35" s="15">
        <v>200</v>
      </c>
      <c r="G35" s="15">
        <v>200</v>
      </c>
      <c r="H35" s="15">
        <f t="shared" si="3"/>
        <v>7500</v>
      </c>
      <c r="I35" s="15">
        <f t="shared" si="4"/>
        <v>0</v>
      </c>
      <c r="J35" s="16"/>
      <c r="K35" s="15"/>
      <c r="L35" s="15">
        <f t="shared" si="0"/>
        <v>0</v>
      </c>
      <c r="M35" s="16"/>
      <c r="N35" s="16"/>
      <c r="O35" s="15">
        <f t="shared" si="1"/>
        <v>0</v>
      </c>
      <c r="P35" s="15">
        <f t="shared" si="2"/>
        <v>0</v>
      </c>
      <c r="Q35" s="15">
        <f t="shared" si="5"/>
        <v>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/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0</v>
      </c>
      <c r="J37" s="16"/>
      <c r="K37" s="15">
        <v>1400000</v>
      </c>
      <c r="L37" s="15">
        <f t="shared" si="0"/>
        <v>0</v>
      </c>
      <c r="M37" s="20"/>
      <c r="N37" s="20"/>
      <c r="O37" s="15">
        <f t="shared" si="1"/>
        <v>0</v>
      </c>
      <c r="P37" s="15">
        <f t="shared" si="2"/>
        <v>1400000</v>
      </c>
      <c r="Q37" s="15">
        <f t="shared" si="5"/>
        <v>-1400000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/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0</v>
      </c>
      <c r="J40" s="16"/>
      <c r="K40" s="15"/>
      <c r="L40" s="15">
        <f t="shared" si="0"/>
        <v>0</v>
      </c>
      <c r="M40" s="20"/>
      <c r="N40" s="20"/>
      <c r="O40" s="15">
        <f t="shared" si="1"/>
        <v>0</v>
      </c>
      <c r="P40" s="15">
        <f t="shared" si="2"/>
        <v>0</v>
      </c>
      <c r="Q40" s="15">
        <f t="shared" si="5"/>
        <v>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/>
      <c r="E41" s="15">
        <v>7100</v>
      </c>
      <c r="F41" s="15">
        <v>250</v>
      </c>
      <c r="G41" s="15">
        <v>400</v>
      </c>
      <c r="H41" s="15">
        <f t="shared" si="3"/>
        <v>7750</v>
      </c>
      <c r="I41" s="15">
        <f t="shared" si="4"/>
        <v>0</v>
      </c>
      <c r="J41" s="20"/>
      <c r="K41" s="15"/>
      <c r="L41" s="15">
        <f t="shared" si="0"/>
        <v>0</v>
      </c>
      <c r="M41" s="20"/>
      <c r="N41" s="20"/>
      <c r="O41" s="15">
        <f t="shared" si="1"/>
        <v>0</v>
      </c>
      <c r="P41" s="15">
        <f t="shared" si="2"/>
        <v>0</v>
      </c>
      <c r="Q41" s="15">
        <f t="shared" si="5"/>
        <v>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/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0</v>
      </c>
      <c r="J43" s="16"/>
      <c r="K43" s="15"/>
      <c r="L43" s="15">
        <f t="shared" si="0"/>
        <v>0</v>
      </c>
      <c r="M43" s="16"/>
      <c r="N43" s="16"/>
      <c r="O43" s="15">
        <f t="shared" si="1"/>
        <v>0</v>
      </c>
      <c r="P43" s="15">
        <f t="shared" si="2"/>
        <v>0</v>
      </c>
      <c r="Q43" s="15">
        <f t="shared" si="5"/>
        <v>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/>
      <c r="E50" s="15">
        <v>7100</v>
      </c>
      <c r="F50" s="15">
        <v>350</v>
      </c>
      <c r="G50" s="15">
        <v>400</v>
      </c>
      <c r="H50" s="15">
        <f t="shared" si="3"/>
        <v>7850</v>
      </c>
      <c r="I50" s="15">
        <f t="shared" si="4"/>
        <v>0</v>
      </c>
      <c r="J50" s="16"/>
      <c r="K50" s="15">
        <v>1200000</v>
      </c>
      <c r="L50" s="15">
        <f t="shared" si="0"/>
        <v>0</v>
      </c>
      <c r="M50" s="16"/>
      <c r="N50" s="16"/>
      <c r="O50" s="15">
        <f t="shared" si="1"/>
        <v>0</v>
      </c>
      <c r="P50" s="15">
        <f t="shared" si="2"/>
        <v>1200000</v>
      </c>
      <c r="Q50" s="15">
        <f t="shared" si="5"/>
        <v>-1200000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/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0</v>
      </c>
      <c r="J51" s="16"/>
      <c r="K51" s="15">
        <v>600000</v>
      </c>
      <c r="L51" s="15">
        <f t="shared" si="0"/>
        <v>0</v>
      </c>
      <c r="M51" s="16"/>
      <c r="N51" s="16"/>
      <c r="O51" s="15">
        <f t="shared" si="1"/>
        <v>0</v>
      </c>
      <c r="P51" s="15">
        <f t="shared" si="2"/>
        <v>600000</v>
      </c>
      <c r="Q51" s="15">
        <f t="shared" si="5"/>
        <v>-600000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/>
      <c r="E52" s="15">
        <v>7100</v>
      </c>
      <c r="F52" s="15">
        <v>300</v>
      </c>
      <c r="G52" s="15">
        <v>300</v>
      </c>
      <c r="H52" s="15">
        <f t="shared" si="3"/>
        <v>7700</v>
      </c>
      <c r="I52" s="15">
        <f t="shared" si="4"/>
        <v>0</v>
      </c>
      <c r="J52" s="16"/>
      <c r="K52" s="15"/>
      <c r="L52" s="15">
        <f t="shared" si="0"/>
        <v>0</v>
      </c>
      <c r="M52" s="16"/>
      <c r="N52" s="16"/>
      <c r="O52" s="15">
        <f t="shared" si="1"/>
        <v>0</v>
      </c>
      <c r="P52" s="15">
        <f t="shared" si="2"/>
        <v>0</v>
      </c>
      <c r="Q52" s="15">
        <f t="shared" si="5"/>
        <v>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/>
      <c r="E53" s="15">
        <v>7100</v>
      </c>
      <c r="F53" s="15">
        <v>250</v>
      </c>
      <c r="G53" s="15">
        <v>400</v>
      </c>
      <c r="H53" s="15">
        <f t="shared" si="3"/>
        <v>7750</v>
      </c>
      <c r="I53" s="15">
        <f t="shared" si="4"/>
        <v>0</v>
      </c>
      <c r="J53" s="16"/>
      <c r="K53" s="15">
        <v>200000</v>
      </c>
      <c r="L53" s="15">
        <f t="shared" si="0"/>
        <v>0</v>
      </c>
      <c r="M53" s="16"/>
      <c r="N53" s="16"/>
      <c r="O53" s="15">
        <f t="shared" si="1"/>
        <v>0</v>
      </c>
      <c r="P53" s="15">
        <f t="shared" si="2"/>
        <v>200000</v>
      </c>
      <c r="Q53" s="15">
        <f t="shared" si="5"/>
        <v>-200000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/>
      <c r="E56" s="15">
        <v>7100</v>
      </c>
      <c r="F56" s="15">
        <v>500</v>
      </c>
      <c r="G56" s="15">
        <v>400</v>
      </c>
      <c r="H56" s="15">
        <f t="shared" si="3"/>
        <v>8000</v>
      </c>
      <c r="I56" s="15">
        <f t="shared" si="4"/>
        <v>0</v>
      </c>
      <c r="J56" s="16"/>
      <c r="K56" s="15">
        <v>400000</v>
      </c>
      <c r="L56" s="15">
        <f t="shared" si="0"/>
        <v>0</v>
      </c>
      <c r="M56" s="20"/>
      <c r="N56" s="20"/>
      <c r="O56" s="15">
        <f t="shared" si="1"/>
        <v>0</v>
      </c>
      <c r="P56" s="15">
        <f t="shared" si="2"/>
        <v>400000</v>
      </c>
      <c r="Q56" s="15">
        <f t="shared" si="5"/>
        <v>-400000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/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0</v>
      </c>
      <c r="J59" s="16"/>
      <c r="K59" s="15">
        <v>200000</v>
      </c>
      <c r="L59" s="15">
        <f t="shared" si="0"/>
        <v>0</v>
      </c>
      <c r="M59" s="16"/>
      <c r="N59" s="16"/>
      <c r="O59" s="15">
        <f t="shared" si="1"/>
        <v>0</v>
      </c>
      <c r="P59" s="15">
        <f t="shared" si="2"/>
        <v>200000</v>
      </c>
      <c r="Q59" s="15">
        <f t="shared" si="5"/>
        <v>-200000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/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0</v>
      </c>
      <c r="J62" s="16"/>
      <c r="K62" s="15"/>
      <c r="L62" s="15">
        <f t="shared" si="0"/>
        <v>0</v>
      </c>
      <c r="M62" s="20"/>
      <c r="N62" s="20"/>
      <c r="O62" s="15">
        <f t="shared" si="1"/>
        <v>0</v>
      </c>
      <c r="P62" s="15">
        <f t="shared" si="2"/>
        <v>0</v>
      </c>
      <c r="Q62" s="15">
        <f t="shared" si="5"/>
        <v>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/>
      <c r="E66" s="15">
        <v>7100</v>
      </c>
      <c r="F66" s="15">
        <v>350</v>
      </c>
      <c r="G66" s="15">
        <v>200</v>
      </c>
      <c r="H66" s="15">
        <f t="shared" si="3"/>
        <v>7650</v>
      </c>
      <c r="I66" s="15">
        <f t="shared" si="4"/>
        <v>0</v>
      </c>
      <c r="J66" s="20"/>
      <c r="K66" s="15">
        <v>600000</v>
      </c>
      <c r="L66" s="15">
        <f t="shared" si="0"/>
        <v>0</v>
      </c>
      <c r="M66" s="20"/>
      <c r="N66" s="20"/>
      <c r="O66" s="15">
        <f t="shared" si="1"/>
        <v>0</v>
      </c>
      <c r="P66" s="15">
        <f t="shared" si="2"/>
        <v>600000</v>
      </c>
      <c r="Q66" s="15">
        <f t="shared" si="5"/>
        <v>-600000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/>
      <c r="E69" s="15">
        <v>7100</v>
      </c>
      <c r="F69" s="15">
        <v>350</v>
      </c>
      <c r="G69" s="15">
        <v>400</v>
      </c>
      <c r="H69" s="15">
        <f t="shared" si="3"/>
        <v>7850</v>
      </c>
      <c r="I69" s="15">
        <f t="shared" si="4"/>
        <v>0</v>
      </c>
      <c r="J69" s="16"/>
      <c r="K69" s="15">
        <v>800000</v>
      </c>
      <c r="L69" s="15">
        <f t="shared" ref="L69:L132" si="6">D69*20</f>
        <v>0</v>
      </c>
      <c r="M69" s="20"/>
      <c r="N69" s="20"/>
      <c r="O69" s="15">
        <f t="shared" ref="O69:O132" si="7">250*D69</f>
        <v>0</v>
      </c>
      <c r="P69" s="15">
        <f t="shared" ref="P69:P132" si="8">SUM(J69:O69)</f>
        <v>800000</v>
      </c>
      <c r="Q69" s="15">
        <f t="shared" ref="Q69:Q132" si="9">I69-P69</f>
        <v>-800000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/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0</v>
      </c>
      <c r="J72" s="16"/>
      <c r="K72" s="15">
        <v>200000</v>
      </c>
      <c r="L72" s="15">
        <f t="shared" si="6"/>
        <v>0</v>
      </c>
      <c r="M72" s="20"/>
      <c r="N72" s="20"/>
      <c r="O72" s="15">
        <f t="shared" si="7"/>
        <v>0</v>
      </c>
      <c r="P72" s="15">
        <f t="shared" si="8"/>
        <v>200000</v>
      </c>
      <c r="Q72" s="15">
        <f t="shared" si="9"/>
        <v>-200000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/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0</v>
      </c>
      <c r="J76" s="20"/>
      <c r="K76" s="15"/>
      <c r="L76" s="15">
        <f t="shared" si="6"/>
        <v>0</v>
      </c>
      <c r="M76" s="20"/>
      <c r="N76" s="20"/>
      <c r="O76" s="15">
        <f t="shared" si="7"/>
        <v>0</v>
      </c>
      <c r="P76" s="15">
        <f t="shared" si="8"/>
        <v>0</v>
      </c>
      <c r="Q76" s="15">
        <f t="shared" si="9"/>
        <v>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/>
      <c r="E78" s="15">
        <v>7100</v>
      </c>
      <c r="F78" s="15">
        <v>500</v>
      </c>
      <c r="G78" s="15">
        <v>400</v>
      </c>
      <c r="H78" s="15">
        <f t="shared" si="10"/>
        <v>8000</v>
      </c>
      <c r="I78" s="15">
        <f t="shared" si="11"/>
        <v>0</v>
      </c>
      <c r="J78" s="16"/>
      <c r="K78" s="15">
        <v>1600000</v>
      </c>
      <c r="L78" s="15">
        <f t="shared" si="6"/>
        <v>0</v>
      </c>
      <c r="M78" s="20"/>
      <c r="N78" s="20"/>
      <c r="O78" s="15">
        <f t="shared" si="7"/>
        <v>0</v>
      </c>
      <c r="P78" s="15">
        <f t="shared" si="8"/>
        <v>1600000</v>
      </c>
      <c r="Q78" s="15">
        <f t="shared" si="9"/>
        <v>-1600000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/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0</v>
      </c>
      <c r="J83" s="16"/>
      <c r="K83" s="15">
        <v>400000</v>
      </c>
      <c r="L83" s="15">
        <f t="shared" si="6"/>
        <v>0</v>
      </c>
      <c r="M83" s="20"/>
      <c r="N83" s="20"/>
      <c r="O83" s="15">
        <f t="shared" si="7"/>
        <v>0</v>
      </c>
      <c r="P83" s="15">
        <f t="shared" si="8"/>
        <v>400000</v>
      </c>
      <c r="Q83" s="15">
        <f t="shared" si="9"/>
        <v>-400000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/>
      <c r="E85" s="15">
        <v>7100</v>
      </c>
      <c r="F85" s="15">
        <v>350</v>
      </c>
      <c r="G85" s="15">
        <v>400</v>
      </c>
      <c r="H85" s="15">
        <f t="shared" si="10"/>
        <v>7850</v>
      </c>
      <c r="I85" s="15">
        <f t="shared" si="11"/>
        <v>0</v>
      </c>
      <c r="J85" s="16"/>
      <c r="K85" s="15">
        <v>800000</v>
      </c>
      <c r="L85" s="15">
        <f t="shared" si="6"/>
        <v>0</v>
      </c>
      <c r="M85" s="20"/>
      <c r="N85" s="20"/>
      <c r="O85" s="15">
        <f t="shared" si="7"/>
        <v>0</v>
      </c>
      <c r="P85" s="15">
        <f t="shared" si="8"/>
        <v>800000</v>
      </c>
      <c r="Q85" s="15">
        <f t="shared" si="9"/>
        <v>-800000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7100</v>
      </c>
      <c r="F92" s="15">
        <v>350</v>
      </c>
      <c r="G92" s="15">
        <v>400</v>
      </c>
      <c r="H92" s="15">
        <f t="shared" si="10"/>
        <v>7850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/>
      <c r="E95" s="15">
        <v>7100</v>
      </c>
      <c r="F95" s="15">
        <v>350</v>
      </c>
      <c r="G95" s="15">
        <v>200</v>
      </c>
      <c r="H95" s="15">
        <f t="shared" si="10"/>
        <v>7650</v>
      </c>
      <c r="I95" s="15">
        <f t="shared" si="11"/>
        <v>0</v>
      </c>
      <c r="J95" s="16"/>
      <c r="K95" s="15"/>
      <c r="L95" s="15">
        <f t="shared" si="6"/>
        <v>0</v>
      </c>
      <c r="M95" s="20"/>
      <c r="N95" s="20"/>
      <c r="O95" s="15">
        <f t="shared" si="7"/>
        <v>0</v>
      </c>
      <c r="P95" s="15">
        <f t="shared" si="8"/>
        <v>0</v>
      </c>
      <c r="Q95" s="15">
        <f t="shared" si="9"/>
        <v>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/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0</v>
      </c>
      <c r="J102" s="16"/>
      <c r="K102" s="15"/>
      <c r="L102" s="15">
        <f t="shared" si="6"/>
        <v>0</v>
      </c>
      <c r="M102" s="20"/>
      <c r="N102" s="20"/>
      <c r="O102" s="15">
        <f t="shared" si="7"/>
        <v>0</v>
      </c>
      <c r="P102" s="15">
        <f t="shared" si="8"/>
        <v>0</v>
      </c>
      <c r="Q102" s="15">
        <f t="shared" si="9"/>
        <v>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/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0</v>
      </c>
      <c r="J114" s="16"/>
      <c r="K114" s="15"/>
      <c r="L114" s="15">
        <f t="shared" si="6"/>
        <v>0</v>
      </c>
      <c r="M114" s="16"/>
      <c r="N114" s="16"/>
      <c r="O114" s="15">
        <f t="shared" si="7"/>
        <v>0</v>
      </c>
      <c r="P114" s="15">
        <f t="shared" si="8"/>
        <v>0</v>
      </c>
      <c r="Q114" s="15">
        <f t="shared" si="9"/>
        <v>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/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0</v>
      </c>
      <c r="J118" s="20"/>
      <c r="K118" s="15">
        <v>420000</v>
      </c>
      <c r="L118" s="15">
        <f t="shared" si="6"/>
        <v>0</v>
      </c>
      <c r="M118" s="16"/>
      <c r="N118" s="16"/>
      <c r="O118" s="15">
        <f t="shared" si="7"/>
        <v>0</v>
      </c>
      <c r="P118" s="15">
        <f t="shared" si="8"/>
        <v>420000</v>
      </c>
      <c r="Q118" s="15">
        <f t="shared" si="9"/>
        <v>-420000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/>
      <c r="E119" s="15">
        <v>7100</v>
      </c>
      <c r="F119" s="15">
        <v>350</v>
      </c>
      <c r="G119" s="15">
        <v>400</v>
      </c>
      <c r="H119" s="15">
        <f t="shared" si="10"/>
        <v>7850</v>
      </c>
      <c r="I119" s="15">
        <f t="shared" si="11"/>
        <v>0</v>
      </c>
      <c r="J119" s="16"/>
      <c r="K119" s="15"/>
      <c r="L119" s="15">
        <f t="shared" si="6"/>
        <v>0</v>
      </c>
      <c r="M119" s="16"/>
      <c r="N119" s="16"/>
      <c r="O119" s="15">
        <f t="shared" si="7"/>
        <v>0</v>
      </c>
      <c r="P119" s="15">
        <f t="shared" si="8"/>
        <v>0</v>
      </c>
      <c r="Q119" s="15">
        <f t="shared" si="9"/>
        <v>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/>
      <c r="E120" s="15">
        <v>7100</v>
      </c>
      <c r="F120" s="15">
        <v>350</v>
      </c>
      <c r="G120" s="15">
        <v>400</v>
      </c>
      <c r="H120" s="15">
        <f t="shared" si="10"/>
        <v>7850</v>
      </c>
      <c r="I120" s="15">
        <f t="shared" si="11"/>
        <v>0</v>
      </c>
      <c r="J120" s="16"/>
      <c r="K120" s="15">
        <v>200000</v>
      </c>
      <c r="L120" s="15">
        <f t="shared" si="6"/>
        <v>0</v>
      </c>
      <c r="M120" s="16"/>
      <c r="N120" s="16"/>
      <c r="O120" s="15">
        <f t="shared" si="7"/>
        <v>0</v>
      </c>
      <c r="P120" s="15">
        <f t="shared" si="8"/>
        <v>200000</v>
      </c>
      <c r="Q120" s="15">
        <f t="shared" si="9"/>
        <v>-200000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0</v>
      </c>
      <c r="J121" s="16"/>
      <c r="K121" s="15">
        <v>600000</v>
      </c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600000</v>
      </c>
      <c r="Q121" s="15">
        <f t="shared" si="9"/>
        <v>-600000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/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0</v>
      </c>
      <c r="J123" s="20"/>
      <c r="K123" s="15">
        <v>200000</v>
      </c>
      <c r="L123" s="15">
        <f t="shared" si="6"/>
        <v>0</v>
      </c>
      <c r="M123" s="20"/>
      <c r="N123" s="20"/>
      <c r="O123" s="15">
        <f t="shared" si="7"/>
        <v>0</v>
      </c>
      <c r="P123" s="15">
        <f t="shared" si="8"/>
        <v>200000</v>
      </c>
      <c r="Q123" s="15">
        <f t="shared" si="9"/>
        <v>-200000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/>
      <c r="E126" s="15">
        <v>7100</v>
      </c>
      <c r="F126" s="15">
        <v>350</v>
      </c>
      <c r="G126" s="15">
        <v>400</v>
      </c>
      <c r="H126" s="15">
        <f t="shared" si="10"/>
        <v>7850</v>
      </c>
      <c r="I126" s="15">
        <f t="shared" si="11"/>
        <v>0</v>
      </c>
      <c r="J126" s="16"/>
      <c r="K126" s="15">
        <v>100000</v>
      </c>
      <c r="L126" s="15">
        <f t="shared" si="6"/>
        <v>0</v>
      </c>
      <c r="M126" s="20"/>
      <c r="N126" s="20"/>
      <c r="O126" s="15">
        <f t="shared" si="7"/>
        <v>0</v>
      </c>
      <c r="P126" s="15">
        <f t="shared" si="8"/>
        <v>100000</v>
      </c>
      <c r="Q126" s="15">
        <f t="shared" si="9"/>
        <v>-100000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/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0</v>
      </c>
      <c r="J127" s="20"/>
      <c r="K127" s="15"/>
      <c r="L127" s="15">
        <f t="shared" si="6"/>
        <v>0</v>
      </c>
      <c r="M127" s="16"/>
      <c r="N127" s="16"/>
      <c r="O127" s="15">
        <f t="shared" si="7"/>
        <v>0</v>
      </c>
      <c r="P127" s="15">
        <f t="shared" si="8"/>
        <v>0</v>
      </c>
      <c r="Q127" s="15">
        <f t="shared" si="9"/>
        <v>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/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0</v>
      </c>
      <c r="J128" s="16"/>
      <c r="K128" s="15"/>
      <c r="L128" s="15">
        <f t="shared" si="6"/>
        <v>0</v>
      </c>
      <c r="M128" s="16"/>
      <c r="N128" s="16"/>
      <c r="O128" s="15">
        <f t="shared" si="7"/>
        <v>0</v>
      </c>
      <c r="P128" s="15">
        <f t="shared" si="8"/>
        <v>0</v>
      </c>
      <c r="Q128" s="15">
        <f t="shared" si="9"/>
        <v>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/>
      <c r="E129" s="15">
        <v>7100</v>
      </c>
      <c r="F129" s="15">
        <v>250</v>
      </c>
      <c r="G129" s="15">
        <v>300</v>
      </c>
      <c r="H129" s="15">
        <f t="shared" si="10"/>
        <v>7650</v>
      </c>
      <c r="I129" s="15">
        <f t="shared" si="11"/>
        <v>0</v>
      </c>
      <c r="J129" s="16"/>
      <c r="K129" s="23">
        <v>600000</v>
      </c>
      <c r="L129" s="15">
        <f t="shared" si="6"/>
        <v>0</v>
      </c>
      <c r="M129" s="16"/>
      <c r="N129" s="16"/>
      <c r="O129" s="15">
        <f t="shared" si="7"/>
        <v>0</v>
      </c>
      <c r="P129" s="15">
        <f t="shared" si="8"/>
        <v>600000</v>
      </c>
      <c r="Q129" s="15">
        <f t="shared" si="9"/>
        <v>-600000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/>
      <c r="E130" s="15">
        <v>7100</v>
      </c>
      <c r="F130" s="15">
        <v>250</v>
      </c>
      <c r="G130" s="15">
        <v>300</v>
      </c>
      <c r="H130" s="15">
        <f t="shared" si="10"/>
        <v>7650</v>
      </c>
      <c r="I130" s="15">
        <f t="shared" si="11"/>
        <v>0</v>
      </c>
      <c r="J130" s="16"/>
      <c r="K130" s="15">
        <v>400000</v>
      </c>
      <c r="L130" s="15">
        <f t="shared" si="6"/>
        <v>0</v>
      </c>
      <c r="M130" s="20"/>
      <c r="N130" s="20"/>
      <c r="O130" s="15">
        <f t="shared" si="7"/>
        <v>0</v>
      </c>
      <c r="P130" s="15">
        <f t="shared" si="8"/>
        <v>400000</v>
      </c>
      <c r="Q130" s="15">
        <f t="shared" si="9"/>
        <v>-400000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/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0</v>
      </c>
      <c r="J133" s="16"/>
      <c r="K133" s="15"/>
      <c r="L133" s="15">
        <f t="shared" ref="L133:L196" si="12">D133*20</f>
        <v>0</v>
      </c>
      <c r="M133" s="20"/>
      <c r="N133" s="20"/>
      <c r="O133" s="15">
        <f t="shared" ref="O133:O196" si="13">250*D133</f>
        <v>0</v>
      </c>
      <c r="P133" s="15">
        <f t="shared" ref="P133:P196" si="14">SUM(J133:O133)</f>
        <v>0</v>
      </c>
      <c r="Q133" s="15">
        <f t="shared" ref="Q133:Q196" si="15">I133-P133</f>
        <v>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/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0</v>
      </c>
      <c r="J134" s="20"/>
      <c r="K134" s="15"/>
      <c r="L134" s="15">
        <f t="shared" si="12"/>
        <v>0</v>
      </c>
      <c r="M134" s="20"/>
      <c r="N134" s="20"/>
      <c r="O134" s="15">
        <f t="shared" si="13"/>
        <v>0</v>
      </c>
      <c r="P134" s="15">
        <f t="shared" si="14"/>
        <v>0</v>
      </c>
      <c r="Q134" s="15">
        <f t="shared" si="15"/>
        <v>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350</v>
      </c>
      <c r="G135" s="15">
        <v>400</v>
      </c>
      <c r="H135" s="15">
        <f t="shared" si="16"/>
        <v>7850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/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0</v>
      </c>
      <c r="J139" s="16"/>
      <c r="K139" s="15">
        <v>600000</v>
      </c>
      <c r="L139" s="15">
        <f t="shared" si="12"/>
        <v>0</v>
      </c>
      <c r="M139" s="16"/>
      <c r="N139" s="16"/>
      <c r="O139" s="15">
        <f t="shared" si="13"/>
        <v>0</v>
      </c>
      <c r="P139" s="15">
        <f t="shared" si="14"/>
        <v>600000</v>
      </c>
      <c r="Q139" s="15">
        <f t="shared" si="15"/>
        <v>-600000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/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0</v>
      </c>
      <c r="J145" s="16"/>
      <c r="K145" s="15"/>
      <c r="L145" s="15">
        <f t="shared" si="12"/>
        <v>0</v>
      </c>
      <c r="M145" s="16"/>
      <c r="N145" s="16"/>
      <c r="O145" s="15">
        <f t="shared" si="13"/>
        <v>0</v>
      </c>
      <c r="P145" s="15">
        <f t="shared" si="14"/>
        <v>0</v>
      </c>
      <c r="Q145" s="15">
        <f t="shared" si="15"/>
        <v>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/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0</v>
      </c>
      <c r="J146" s="16"/>
      <c r="K146" s="15"/>
      <c r="L146" s="15">
        <f t="shared" si="12"/>
        <v>0</v>
      </c>
      <c r="M146" s="16"/>
      <c r="N146" s="16"/>
      <c r="O146" s="15">
        <f t="shared" si="13"/>
        <v>0</v>
      </c>
      <c r="P146" s="15">
        <f t="shared" si="14"/>
        <v>0</v>
      </c>
      <c r="Q146" s="15">
        <f t="shared" si="15"/>
        <v>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/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0</v>
      </c>
      <c r="J149" s="16"/>
      <c r="K149" s="15"/>
      <c r="L149" s="15">
        <f t="shared" si="12"/>
        <v>0</v>
      </c>
      <c r="M149" s="16"/>
      <c r="N149" s="16"/>
      <c r="O149" s="15">
        <f t="shared" si="13"/>
        <v>0</v>
      </c>
      <c r="P149" s="15">
        <f t="shared" si="14"/>
        <v>0</v>
      </c>
      <c r="Q149" s="15">
        <f t="shared" si="15"/>
        <v>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/>
      <c r="E156" s="15">
        <v>7100</v>
      </c>
      <c r="F156" s="15">
        <v>250</v>
      </c>
      <c r="G156" s="15">
        <v>400</v>
      </c>
      <c r="H156" s="15">
        <f t="shared" si="16"/>
        <v>7750</v>
      </c>
      <c r="I156" s="15">
        <f t="shared" si="17"/>
        <v>0</v>
      </c>
      <c r="J156" s="16"/>
      <c r="K156" s="15">
        <v>400000</v>
      </c>
      <c r="L156" s="15">
        <f t="shared" si="12"/>
        <v>0</v>
      </c>
      <c r="M156" s="20"/>
      <c r="N156" s="20"/>
      <c r="O156" s="15">
        <f t="shared" si="13"/>
        <v>0</v>
      </c>
      <c r="P156" s="15">
        <f t="shared" si="14"/>
        <v>400000</v>
      </c>
      <c r="Q156" s="15">
        <f t="shared" si="15"/>
        <v>-400000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/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0</v>
      </c>
      <c r="J157" s="20"/>
      <c r="K157" s="15"/>
      <c r="L157" s="15">
        <f t="shared" si="12"/>
        <v>0</v>
      </c>
      <c r="M157" s="16"/>
      <c r="N157" s="16"/>
      <c r="O157" s="15">
        <f t="shared" si="13"/>
        <v>0</v>
      </c>
      <c r="P157" s="15">
        <f t="shared" si="14"/>
        <v>0</v>
      </c>
      <c r="Q157" s="15">
        <f t="shared" si="15"/>
        <v>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/>
      <c r="E165" s="15">
        <v>7100</v>
      </c>
      <c r="F165" s="15">
        <v>350</v>
      </c>
      <c r="G165" s="15">
        <v>400</v>
      </c>
      <c r="H165" s="15">
        <f t="shared" si="16"/>
        <v>7850</v>
      </c>
      <c r="I165" s="15">
        <f t="shared" si="17"/>
        <v>0</v>
      </c>
      <c r="J165" s="16"/>
      <c r="K165" s="15">
        <v>400000</v>
      </c>
      <c r="L165" s="15">
        <f t="shared" si="12"/>
        <v>0</v>
      </c>
      <c r="M165" s="20"/>
      <c r="N165" s="20"/>
      <c r="O165" s="15">
        <f t="shared" si="13"/>
        <v>0</v>
      </c>
      <c r="P165" s="15">
        <f t="shared" si="14"/>
        <v>400000</v>
      </c>
      <c r="Q165" s="15">
        <f t="shared" si="15"/>
        <v>-400000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/>
      <c r="E169" s="15">
        <v>7100</v>
      </c>
      <c r="F169" s="15">
        <v>250</v>
      </c>
      <c r="G169" s="15">
        <v>300</v>
      </c>
      <c r="H169" s="15">
        <f t="shared" si="16"/>
        <v>7650</v>
      </c>
      <c r="I169" s="15">
        <f t="shared" si="17"/>
        <v>0</v>
      </c>
      <c r="J169" s="16"/>
      <c r="K169" s="15">
        <v>800000</v>
      </c>
      <c r="L169" s="15">
        <f t="shared" si="12"/>
        <v>0</v>
      </c>
      <c r="M169" s="16"/>
      <c r="N169" s="16"/>
      <c r="O169" s="15">
        <f t="shared" si="13"/>
        <v>0</v>
      </c>
      <c r="P169" s="15">
        <f t="shared" si="14"/>
        <v>800000</v>
      </c>
      <c r="Q169" s="15">
        <f t="shared" si="15"/>
        <v>-800000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/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0</v>
      </c>
      <c r="J175" s="16"/>
      <c r="K175" s="15">
        <v>200000</v>
      </c>
      <c r="L175" s="15">
        <f t="shared" si="12"/>
        <v>0</v>
      </c>
      <c r="M175" s="16"/>
      <c r="N175" s="16"/>
      <c r="O175" s="15">
        <f t="shared" si="13"/>
        <v>0</v>
      </c>
      <c r="P175" s="15">
        <f t="shared" si="14"/>
        <v>200000</v>
      </c>
      <c r="Q175" s="15">
        <f t="shared" si="15"/>
        <v>-200000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>
        <v>400000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400000</v>
      </c>
      <c r="Q180" s="15">
        <f t="shared" si="15"/>
        <v>-400000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/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0</v>
      </c>
      <c r="J182" s="16"/>
      <c r="K182" s="15"/>
      <c r="L182" s="15">
        <f t="shared" si="12"/>
        <v>0</v>
      </c>
      <c r="M182" s="20"/>
      <c r="N182" s="20"/>
      <c r="O182" s="15">
        <f t="shared" si="13"/>
        <v>0</v>
      </c>
      <c r="P182" s="15">
        <f t="shared" si="14"/>
        <v>0</v>
      </c>
      <c r="Q182" s="15">
        <f t="shared" si="15"/>
        <v>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/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0</v>
      </c>
      <c r="J185" s="16"/>
      <c r="K185" s="15">
        <v>400000</v>
      </c>
      <c r="L185" s="15">
        <f t="shared" si="12"/>
        <v>0</v>
      </c>
      <c r="M185" s="20"/>
      <c r="N185" s="20"/>
      <c r="O185" s="15">
        <f t="shared" si="13"/>
        <v>0</v>
      </c>
      <c r="P185" s="15">
        <f t="shared" si="14"/>
        <v>400000</v>
      </c>
      <c r="Q185" s="15">
        <f t="shared" si="15"/>
        <v>-400000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/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0</v>
      </c>
      <c r="J187" s="16"/>
      <c r="K187" s="15">
        <v>400000</v>
      </c>
      <c r="L187" s="15">
        <f t="shared" si="12"/>
        <v>0</v>
      </c>
      <c r="M187" s="20"/>
      <c r="N187" s="20"/>
      <c r="O187" s="15">
        <f t="shared" si="13"/>
        <v>0</v>
      </c>
      <c r="P187" s="15">
        <f t="shared" si="14"/>
        <v>400000</v>
      </c>
      <c r="Q187" s="15">
        <f t="shared" si="15"/>
        <v>-400000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/>
      <c r="E189" s="15">
        <v>7100</v>
      </c>
      <c r="F189" s="15">
        <v>250</v>
      </c>
      <c r="G189" s="15">
        <v>300</v>
      </c>
      <c r="H189" s="15">
        <f t="shared" si="16"/>
        <v>7650</v>
      </c>
      <c r="I189" s="15">
        <f t="shared" si="17"/>
        <v>0</v>
      </c>
      <c r="J189" s="20"/>
      <c r="K189" s="15"/>
      <c r="L189" s="15">
        <f t="shared" si="12"/>
        <v>0</v>
      </c>
      <c r="M189" s="20"/>
      <c r="N189" s="20"/>
      <c r="O189" s="15">
        <f t="shared" si="13"/>
        <v>0</v>
      </c>
      <c r="P189" s="15">
        <f t="shared" si="14"/>
        <v>0</v>
      </c>
      <c r="Q189" s="15">
        <f t="shared" si="15"/>
        <v>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/>
      <c r="E193" s="15">
        <v>7100</v>
      </c>
      <c r="F193" s="15">
        <v>350</v>
      </c>
      <c r="G193" s="15">
        <v>300</v>
      </c>
      <c r="H193" s="15">
        <f t="shared" si="16"/>
        <v>7750</v>
      </c>
      <c r="I193" s="15">
        <f t="shared" si="17"/>
        <v>0</v>
      </c>
      <c r="J193" s="16"/>
      <c r="K193" s="15"/>
      <c r="L193" s="15">
        <f t="shared" si="12"/>
        <v>0</v>
      </c>
      <c r="M193" s="16"/>
      <c r="N193" s="16"/>
      <c r="O193" s="15">
        <f t="shared" si="13"/>
        <v>0</v>
      </c>
      <c r="P193" s="15">
        <f t="shared" si="14"/>
        <v>0</v>
      </c>
      <c r="Q193" s="15">
        <f t="shared" si="15"/>
        <v>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/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0</v>
      </c>
      <c r="J200" s="16"/>
      <c r="K200" s="15"/>
      <c r="L200" s="15">
        <f t="shared" si="18"/>
        <v>0</v>
      </c>
      <c r="M200" s="16"/>
      <c r="N200" s="16"/>
      <c r="O200" s="15">
        <f t="shared" si="19"/>
        <v>0</v>
      </c>
      <c r="P200" s="15">
        <f t="shared" si="20"/>
        <v>0</v>
      </c>
      <c r="Q200" s="15">
        <f t="shared" si="21"/>
        <v>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/>
      <c r="E203" s="15">
        <v>7100</v>
      </c>
      <c r="F203" s="15">
        <v>250</v>
      </c>
      <c r="G203" s="15">
        <v>400</v>
      </c>
      <c r="H203" s="15">
        <f t="shared" si="22"/>
        <v>7750</v>
      </c>
      <c r="I203" s="15">
        <f t="shared" si="23"/>
        <v>0</v>
      </c>
      <c r="J203" s="16"/>
      <c r="K203" s="15">
        <v>400000</v>
      </c>
      <c r="L203" s="15">
        <f t="shared" si="18"/>
        <v>0</v>
      </c>
      <c r="M203" s="20"/>
      <c r="N203" s="20"/>
      <c r="O203" s="15">
        <f t="shared" si="19"/>
        <v>0</v>
      </c>
      <c r="P203" s="15">
        <f t="shared" si="20"/>
        <v>400000</v>
      </c>
      <c r="Q203" s="15">
        <f t="shared" si="21"/>
        <v>-400000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/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0</v>
      </c>
      <c r="J211" s="16"/>
      <c r="K211" s="15">
        <v>200000</v>
      </c>
      <c r="L211" s="15">
        <f t="shared" si="18"/>
        <v>0</v>
      </c>
      <c r="M211" s="16"/>
      <c r="N211" s="16"/>
      <c r="O211" s="15">
        <f t="shared" si="19"/>
        <v>0</v>
      </c>
      <c r="P211" s="15">
        <f t="shared" si="20"/>
        <v>200000</v>
      </c>
      <c r="Q211" s="15">
        <f t="shared" si="21"/>
        <v>-200000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/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0</v>
      </c>
      <c r="J220" s="16"/>
      <c r="K220" s="15">
        <v>200000</v>
      </c>
      <c r="L220" s="15">
        <f t="shared" si="18"/>
        <v>0</v>
      </c>
      <c r="M220" s="16"/>
      <c r="N220" s="16"/>
      <c r="O220" s="15">
        <f t="shared" si="19"/>
        <v>0</v>
      </c>
      <c r="P220" s="15">
        <f t="shared" si="20"/>
        <v>200000</v>
      </c>
      <c r="Q220" s="15">
        <f t="shared" si="21"/>
        <v>-200000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/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0</v>
      </c>
      <c r="J222" s="16"/>
      <c r="K222" s="15">
        <v>200000</v>
      </c>
      <c r="L222" s="15">
        <f t="shared" si="18"/>
        <v>0</v>
      </c>
      <c r="M222" s="16"/>
      <c r="N222" s="16"/>
      <c r="O222" s="15">
        <f t="shared" si="19"/>
        <v>0</v>
      </c>
      <c r="P222" s="15">
        <f t="shared" si="20"/>
        <v>200000</v>
      </c>
      <c r="Q222" s="15">
        <f t="shared" si="21"/>
        <v>-200000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/>
      <c r="E225" s="15">
        <v>7100</v>
      </c>
      <c r="F225" s="15">
        <v>350</v>
      </c>
      <c r="G225" s="15">
        <v>400</v>
      </c>
      <c r="H225" s="15">
        <f t="shared" si="22"/>
        <v>7850</v>
      </c>
      <c r="I225" s="15">
        <f t="shared" si="23"/>
        <v>0</v>
      </c>
      <c r="J225" s="16"/>
      <c r="K225" s="15">
        <v>400000</v>
      </c>
      <c r="L225" s="15">
        <f t="shared" si="18"/>
        <v>0</v>
      </c>
      <c r="M225" s="20"/>
      <c r="N225" s="20"/>
      <c r="O225" s="15">
        <f t="shared" si="19"/>
        <v>0</v>
      </c>
      <c r="P225" s="15">
        <f t="shared" si="20"/>
        <v>400000</v>
      </c>
      <c r="Q225" s="15">
        <f t="shared" si="21"/>
        <v>-400000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/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0</v>
      </c>
      <c r="J228" s="16"/>
      <c r="K228" s="15">
        <v>400000</v>
      </c>
      <c r="L228" s="15">
        <f t="shared" si="18"/>
        <v>0</v>
      </c>
      <c r="M228" s="20"/>
      <c r="N228" s="20"/>
      <c r="O228" s="15">
        <f t="shared" si="19"/>
        <v>0</v>
      </c>
      <c r="P228" s="15">
        <f t="shared" si="20"/>
        <v>400000</v>
      </c>
      <c r="Q228" s="15">
        <f t="shared" si="21"/>
        <v>-400000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/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0</v>
      </c>
      <c r="J231" s="16"/>
      <c r="K231" s="15">
        <v>600000</v>
      </c>
      <c r="L231" s="15">
        <f t="shared" si="18"/>
        <v>0</v>
      </c>
      <c r="M231" s="16"/>
      <c r="N231" s="16"/>
      <c r="O231" s="15">
        <f t="shared" si="19"/>
        <v>0</v>
      </c>
      <c r="P231" s="15">
        <f t="shared" si="20"/>
        <v>600000</v>
      </c>
      <c r="Q231" s="15">
        <f t="shared" si="21"/>
        <v>-600000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/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0</v>
      </c>
      <c r="J237" s="16"/>
      <c r="K237" s="15">
        <v>400000</v>
      </c>
      <c r="L237" s="15">
        <f t="shared" si="18"/>
        <v>0</v>
      </c>
      <c r="M237" s="20"/>
      <c r="N237" s="20"/>
      <c r="O237" s="15">
        <f t="shared" si="19"/>
        <v>0</v>
      </c>
      <c r="P237" s="15">
        <f t="shared" si="20"/>
        <v>400000</v>
      </c>
      <c r="Q237" s="15">
        <f t="shared" si="21"/>
        <v>-400000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/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0</v>
      </c>
      <c r="J238" s="20"/>
      <c r="K238" s="15">
        <v>400000</v>
      </c>
      <c r="L238" s="15">
        <f t="shared" si="18"/>
        <v>0</v>
      </c>
      <c r="M238" s="20"/>
      <c r="N238" s="20"/>
      <c r="O238" s="15">
        <f t="shared" si="19"/>
        <v>0</v>
      </c>
      <c r="P238" s="15">
        <f t="shared" si="20"/>
        <v>400000</v>
      </c>
      <c r="Q238" s="15">
        <f t="shared" si="21"/>
        <v>-400000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/>
      <c r="E246" s="15">
        <v>7100</v>
      </c>
      <c r="F246" s="15">
        <v>500</v>
      </c>
      <c r="G246" s="15">
        <v>400</v>
      </c>
      <c r="H246" s="15">
        <f t="shared" si="22"/>
        <v>8000</v>
      </c>
      <c r="I246" s="15">
        <f t="shared" si="23"/>
        <v>0</v>
      </c>
      <c r="J246" s="16"/>
      <c r="K246" s="15">
        <v>600000</v>
      </c>
      <c r="L246" s="15">
        <f t="shared" si="18"/>
        <v>0</v>
      </c>
      <c r="M246" s="16"/>
      <c r="N246" s="16"/>
      <c r="O246" s="15">
        <f t="shared" si="19"/>
        <v>0</v>
      </c>
      <c r="P246" s="15">
        <f t="shared" si="20"/>
        <v>600000</v>
      </c>
      <c r="Q246" s="15">
        <f t="shared" si="21"/>
        <v>-600000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7100</v>
      </c>
      <c r="F247" s="15">
        <v>350</v>
      </c>
      <c r="G247" s="15">
        <v>400</v>
      </c>
      <c r="H247" s="15">
        <f t="shared" si="22"/>
        <v>7850</v>
      </c>
      <c r="I247" s="15">
        <f t="shared" si="23"/>
        <v>0</v>
      </c>
      <c r="J247" s="16"/>
      <c r="K247" s="15">
        <v>400000</v>
      </c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400000</v>
      </c>
      <c r="Q247" s="15">
        <f t="shared" si="21"/>
        <v>-400000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/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0</v>
      </c>
      <c r="J253" s="20"/>
      <c r="K253" s="15">
        <v>400000</v>
      </c>
      <c r="L253" s="15">
        <f t="shared" si="18"/>
        <v>0</v>
      </c>
      <c r="M253" s="20"/>
      <c r="N253" s="20"/>
      <c r="O253" s="15">
        <f t="shared" si="19"/>
        <v>0</v>
      </c>
      <c r="P253" s="15">
        <f t="shared" si="20"/>
        <v>400000</v>
      </c>
      <c r="Q253" s="15">
        <f t="shared" si="21"/>
        <v>-400000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/>
      <c r="E261" s="15">
        <v>7100</v>
      </c>
      <c r="F261" s="15">
        <v>350</v>
      </c>
      <c r="G261" s="15">
        <v>300</v>
      </c>
      <c r="H261" s="15">
        <f t="shared" si="22"/>
        <v>7750</v>
      </c>
      <c r="I261" s="15">
        <f t="shared" si="23"/>
        <v>0</v>
      </c>
      <c r="J261" s="16"/>
      <c r="K261" s="15">
        <v>200000</v>
      </c>
      <c r="L261" s="15">
        <f t="shared" ref="L261:L324" si="24">D261*20</f>
        <v>0</v>
      </c>
      <c r="M261" s="16"/>
      <c r="N261" s="16"/>
      <c r="O261" s="15">
        <f t="shared" ref="O261:O324" si="25">250*D261</f>
        <v>0</v>
      </c>
      <c r="P261" s="15">
        <f t="shared" ref="P261:P324" si="26">SUM(J261:O261)</f>
        <v>200000</v>
      </c>
      <c r="Q261" s="15">
        <f t="shared" ref="Q261:Q324" si="27">I261-P261</f>
        <v>-200000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/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0</v>
      </c>
      <c r="J267" s="20"/>
      <c r="K267" s="15"/>
      <c r="L267" s="15">
        <f t="shared" si="24"/>
        <v>0</v>
      </c>
      <c r="M267" s="16"/>
      <c r="N267" s="16"/>
      <c r="O267" s="15">
        <f t="shared" si="25"/>
        <v>0</v>
      </c>
      <c r="P267" s="15">
        <f t="shared" si="26"/>
        <v>0</v>
      </c>
      <c r="Q267" s="15">
        <f t="shared" si="27"/>
        <v>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/>
      <c r="E270" s="15">
        <v>7100</v>
      </c>
      <c r="F270" s="15">
        <v>350</v>
      </c>
      <c r="G270" s="15">
        <v>200</v>
      </c>
      <c r="H270" s="15">
        <f t="shared" si="28"/>
        <v>7650</v>
      </c>
      <c r="I270" s="15">
        <f t="shared" si="29"/>
        <v>0</v>
      </c>
      <c r="J270" s="20"/>
      <c r="K270" s="15"/>
      <c r="L270" s="15">
        <f t="shared" si="24"/>
        <v>0</v>
      </c>
      <c r="M270" s="16"/>
      <c r="N270" s="16"/>
      <c r="O270" s="15">
        <f t="shared" si="25"/>
        <v>0</v>
      </c>
      <c r="P270" s="15">
        <f t="shared" si="26"/>
        <v>0</v>
      </c>
      <c r="Q270" s="15">
        <f t="shared" si="27"/>
        <v>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/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0</v>
      </c>
      <c r="J275" s="16"/>
      <c r="K275" s="15"/>
      <c r="L275" s="15">
        <f t="shared" si="24"/>
        <v>0</v>
      </c>
      <c r="M275" s="16"/>
      <c r="N275" s="16"/>
      <c r="O275" s="15">
        <f t="shared" si="25"/>
        <v>0</v>
      </c>
      <c r="P275" s="15">
        <f t="shared" si="26"/>
        <v>0</v>
      </c>
      <c r="Q275" s="15">
        <f t="shared" si="27"/>
        <v>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/>
      <c r="E282" s="15">
        <v>7100</v>
      </c>
      <c r="F282" s="15">
        <v>500</v>
      </c>
      <c r="G282" s="15">
        <v>400</v>
      </c>
      <c r="H282" s="15">
        <f t="shared" si="28"/>
        <v>8000</v>
      </c>
      <c r="I282" s="15">
        <f t="shared" si="29"/>
        <v>0</v>
      </c>
      <c r="J282" s="16"/>
      <c r="K282" s="15"/>
      <c r="L282" s="15">
        <f t="shared" si="24"/>
        <v>0</v>
      </c>
      <c r="M282" s="16"/>
      <c r="N282" s="16"/>
      <c r="O282" s="15">
        <f t="shared" si="25"/>
        <v>0</v>
      </c>
      <c r="P282" s="15">
        <f t="shared" si="26"/>
        <v>0</v>
      </c>
      <c r="Q282" s="15">
        <f t="shared" si="27"/>
        <v>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/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0</v>
      </c>
      <c r="J286" s="16"/>
      <c r="K286" s="15">
        <v>200000</v>
      </c>
      <c r="L286" s="15">
        <f t="shared" si="24"/>
        <v>0</v>
      </c>
      <c r="M286" s="20"/>
      <c r="N286" s="20"/>
      <c r="O286" s="15">
        <f t="shared" si="25"/>
        <v>0</v>
      </c>
      <c r="P286" s="15">
        <f t="shared" si="26"/>
        <v>200000</v>
      </c>
      <c r="Q286" s="15">
        <f t="shared" si="27"/>
        <v>-200000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/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0</v>
      </c>
      <c r="J287" s="20"/>
      <c r="K287" s="15"/>
      <c r="L287" s="15">
        <f t="shared" si="24"/>
        <v>0</v>
      </c>
      <c r="M287" s="16"/>
      <c r="N287" s="16"/>
      <c r="O287" s="15">
        <f t="shared" si="25"/>
        <v>0</v>
      </c>
      <c r="P287" s="15">
        <f t="shared" si="26"/>
        <v>0</v>
      </c>
      <c r="Q287" s="15">
        <f t="shared" si="27"/>
        <v>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/>
      <c r="E290" s="15">
        <v>7100</v>
      </c>
      <c r="F290" s="15">
        <v>350</v>
      </c>
      <c r="G290" s="15">
        <v>400</v>
      </c>
      <c r="H290" s="15">
        <f t="shared" si="28"/>
        <v>7850</v>
      </c>
      <c r="I290" s="15">
        <f t="shared" si="29"/>
        <v>0</v>
      </c>
      <c r="J290" s="16"/>
      <c r="K290" s="15">
        <v>400000</v>
      </c>
      <c r="L290" s="15">
        <f t="shared" si="24"/>
        <v>0</v>
      </c>
      <c r="M290" s="16"/>
      <c r="N290" s="16"/>
      <c r="O290" s="15">
        <f t="shared" si="25"/>
        <v>0</v>
      </c>
      <c r="P290" s="15">
        <f t="shared" si="26"/>
        <v>400000</v>
      </c>
      <c r="Q290" s="15">
        <f t="shared" si="27"/>
        <v>-400000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/>
      <c r="E291" s="15">
        <v>7100</v>
      </c>
      <c r="F291" s="15">
        <v>250</v>
      </c>
      <c r="G291" s="15">
        <v>400</v>
      </c>
      <c r="H291" s="15">
        <f t="shared" si="28"/>
        <v>7750</v>
      </c>
      <c r="I291" s="15">
        <f t="shared" si="29"/>
        <v>0</v>
      </c>
      <c r="J291" s="20"/>
      <c r="K291" s="15">
        <v>600000</v>
      </c>
      <c r="L291" s="15">
        <f t="shared" si="24"/>
        <v>0</v>
      </c>
      <c r="M291" s="16"/>
      <c r="N291" s="16"/>
      <c r="O291" s="15">
        <f t="shared" si="25"/>
        <v>0</v>
      </c>
      <c r="P291" s="15">
        <f t="shared" si="26"/>
        <v>600000</v>
      </c>
      <c r="Q291" s="15">
        <f t="shared" si="27"/>
        <v>-600000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/>
      <c r="E294" s="15">
        <v>7100</v>
      </c>
      <c r="F294" s="15">
        <v>500</v>
      </c>
      <c r="G294" s="15">
        <v>400</v>
      </c>
      <c r="H294" s="15">
        <f t="shared" si="28"/>
        <v>8000</v>
      </c>
      <c r="I294" s="15">
        <f t="shared" si="29"/>
        <v>0</v>
      </c>
      <c r="J294" s="16"/>
      <c r="K294" s="15">
        <v>600000</v>
      </c>
      <c r="L294" s="15">
        <f t="shared" si="24"/>
        <v>0</v>
      </c>
      <c r="M294" s="20"/>
      <c r="N294" s="20"/>
      <c r="O294" s="15">
        <f t="shared" si="25"/>
        <v>0</v>
      </c>
      <c r="P294" s="15">
        <f t="shared" si="26"/>
        <v>600000</v>
      </c>
      <c r="Q294" s="15">
        <f t="shared" si="27"/>
        <v>-600000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/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0</v>
      </c>
      <c r="J295" s="16"/>
      <c r="K295" s="15"/>
      <c r="L295" s="15">
        <f t="shared" si="24"/>
        <v>0</v>
      </c>
      <c r="M295" s="16"/>
      <c r="N295" s="16"/>
      <c r="O295" s="15">
        <f t="shared" si="25"/>
        <v>0</v>
      </c>
      <c r="P295" s="15">
        <f t="shared" si="26"/>
        <v>0</v>
      </c>
      <c r="Q295" s="15">
        <f t="shared" si="27"/>
        <v>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/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0</v>
      </c>
      <c r="J296" s="20"/>
      <c r="K296" s="15">
        <v>400000</v>
      </c>
      <c r="L296" s="15">
        <f t="shared" si="24"/>
        <v>0</v>
      </c>
      <c r="M296" s="20"/>
      <c r="N296" s="20"/>
      <c r="O296" s="15">
        <f t="shared" si="25"/>
        <v>0</v>
      </c>
      <c r="P296" s="15">
        <f t="shared" si="26"/>
        <v>400000</v>
      </c>
      <c r="Q296" s="15">
        <f t="shared" si="27"/>
        <v>-400000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/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0</v>
      </c>
      <c r="J298" s="20"/>
      <c r="K298" s="15"/>
      <c r="L298" s="15">
        <f t="shared" si="24"/>
        <v>0</v>
      </c>
      <c r="M298" s="20"/>
      <c r="N298" s="20"/>
      <c r="O298" s="15">
        <f t="shared" si="25"/>
        <v>0</v>
      </c>
      <c r="P298" s="15">
        <f t="shared" si="26"/>
        <v>0</v>
      </c>
      <c r="Q298" s="15">
        <f t="shared" si="27"/>
        <v>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/>
      <c r="E315" s="15">
        <v>7100</v>
      </c>
      <c r="F315" s="15">
        <v>500</v>
      </c>
      <c r="G315" s="15">
        <v>400</v>
      </c>
      <c r="H315" s="15">
        <f t="shared" si="28"/>
        <v>8000</v>
      </c>
      <c r="I315" s="15">
        <f t="shared" si="29"/>
        <v>0</v>
      </c>
      <c r="J315" s="16"/>
      <c r="K315" s="15"/>
      <c r="L315" s="15">
        <f t="shared" si="24"/>
        <v>0</v>
      </c>
      <c r="M315" s="20"/>
      <c r="N315" s="20"/>
      <c r="O315" s="15">
        <f t="shared" si="25"/>
        <v>0</v>
      </c>
      <c r="P315" s="15">
        <f t="shared" si="26"/>
        <v>0</v>
      </c>
      <c r="Q315" s="15">
        <f t="shared" si="27"/>
        <v>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/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0</v>
      </c>
      <c r="J316" s="16"/>
      <c r="K316" s="15">
        <v>400000</v>
      </c>
      <c r="L316" s="15">
        <f t="shared" si="24"/>
        <v>0</v>
      </c>
      <c r="M316" s="16"/>
      <c r="N316" s="16"/>
      <c r="O316" s="15">
        <f t="shared" si="25"/>
        <v>0</v>
      </c>
      <c r="P316" s="15">
        <f t="shared" si="26"/>
        <v>400000</v>
      </c>
      <c r="Q316" s="15">
        <f t="shared" si="27"/>
        <v>-400000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/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0</v>
      </c>
      <c r="J319" s="20"/>
      <c r="K319" s="15"/>
      <c r="L319" s="15">
        <f t="shared" si="24"/>
        <v>0</v>
      </c>
      <c r="M319" s="20"/>
      <c r="N319" s="20"/>
      <c r="O319" s="15">
        <f t="shared" si="25"/>
        <v>0</v>
      </c>
      <c r="P319" s="15">
        <f t="shared" si="26"/>
        <v>0</v>
      </c>
      <c r="Q319" s="15">
        <f t="shared" si="27"/>
        <v>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/>
      <c r="E321" s="15">
        <v>7100</v>
      </c>
      <c r="F321" s="15">
        <v>250</v>
      </c>
      <c r="G321" s="15">
        <v>400</v>
      </c>
      <c r="H321" s="15">
        <f t="shared" si="28"/>
        <v>7750</v>
      </c>
      <c r="I321" s="15">
        <f t="shared" si="29"/>
        <v>0</v>
      </c>
      <c r="J321" s="20"/>
      <c r="K321" s="15">
        <v>200000</v>
      </c>
      <c r="L321" s="15">
        <f t="shared" si="24"/>
        <v>0</v>
      </c>
      <c r="M321" s="16"/>
      <c r="N321" s="16"/>
      <c r="O321" s="15">
        <f t="shared" si="25"/>
        <v>0</v>
      </c>
      <c r="P321" s="15">
        <f t="shared" si="26"/>
        <v>200000</v>
      </c>
      <c r="Q321" s="15">
        <f t="shared" si="27"/>
        <v>-200000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/>
      <c r="E325" s="15">
        <v>7100</v>
      </c>
      <c r="F325" s="15">
        <v>350</v>
      </c>
      <c r="G325" s="15">
        <v>400</v>
      </c>
      <c r="H325" s="15">
        <f t="shared" si="28"/>
        <v>7850</v>
      </c>
      <c r="I325" s="15">
        <f t="shared" si="29"/>
        <v>0</v>
      </c>
      <c r="J325" s="20"/>
      <c r="K325" s="15">
        <v>800000</v>
      </c>
      <c r="L325" s="15">
        <f t="shared" ref="L325:L388" si="30">D325*20</f>
        <v>0</v>
      </c>
      <c r="M325" s="16"/>
      <c r="N325" s="16"/>
      <c r="O325" s="15">
        <f t="shared" ref="O325:O388" si="31">250*D325</f>
        <v>0</v>
      </c>
      <c r="P325" s="15">
        <f t="shared" ref="P325:P388" si="32">SUM(J325:O325)</f>
        <v>800000</v>
      </c>
      <c r="Q325" s="15">
        <f t="shared" ref="Q325:Q388" si="33">I325-P325</f>
        <v>-800000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/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/>
      <c r="E339" s="15">
        <v>7100</v>
      </c>
      <c r="F339" s="15">
        <v>350</v>
      </c>
      <c r="G339" s="15">
        <v>400</v>
      </c>
      <c r="H339" s="15">
        <f t="shared" si="34"/>
        <v>7850</v>
      </c>
      <c r="I339" s="15">
        <f t="shared" si="35"/>
        <v>0</v>
      </c>
      <c r="J339" s="16"/>
      <c r="K339" s="15">
        <v>600000</v>
      </c>
      <c r="L339" s="15">
        <f t="shared" si="30"/>
        <v>0</v>
      </c>
      <c r="M339" s="20"/>
      <c r="N339" s="20"/>
      <c r="O339" s="15">
        <f t="shared" si="31"/>
        <v>0</v>
      </c>
      <c r="P339" s="15">
        <f t="shared" si="32"/>
        <v>600000</v>
      </c>
      <c r="Q339" s="15">
        <f t="shared" si="33"/>
        <v>-600000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/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0</v>
      </c>
      <c r="J344" s="20"/>
      <c r="K344" s="15"/>
      <c r="L344" s="15">
        <f t="shared" si="30"/>
        <v>0</v>
      </c>
      <c r="M344" s="16"/>
      <c r="N344" s="16"/>
      <c r="O344" s="15">
        <f t="shared" si="31"/>
        <v>0</v>
      </c>
      <c r="P344" s="15">
        <f t="shared" si="32"/>
        <v>0</v>
      </c>
      <c r="Q344" s="15">
        <f t="shared" si="33"/>
        <v>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/>
      <c r="E350" s="15">
        <v>7100</v>
      </c>
      <c r="F350" s="15">
        <v>350</v>
      </c>
      <c r="G350" s="15">
        <v>400</v>
      </c>
      <c r="H350" s="15">
        <f t="shared" si="34"/>
        <v>7850</v>
      </c>
      <c r="I350" s="15">
        <f t="shared" si="35"/>
        <v>0</v>
      </c>
      <c r="J350" s="16">
        <v>100000</v>
      </c>
      <c r="K350" s="15">
        <v>200000</v>
      </c>
      <c r="L350" s="15">
        <f t="shared" si="30"/>
        <v>0</v>
      </c>
      <c r="M350" s="16"/>
      <c r="N350" s="16"/>
      <c r="O350" s="15">
        <f t="shared" si="31"/>
        <v>0</v>
      </c>
      <c r="P350" s="15">
        <f t="shared" si="32"/>
        <v>300000</v>
      </c>
      <c r="Q350" s="15">
        <f t="shared" si="33"/>
        <v>-300000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/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0</v>
      </c>
      <c r="J353" s="20"/>
      <c r="K353" s="15"/>
      <c r="L353" s="15">
        <f t="shared" si="30"/>
        <v>0</v>
      </c>
      <c r="M353" s="20"/>
      <c r="N353" s="20"/>
      <c r="O353" s="15">
        <f t="shared" si="31"/>
        <v>0</v>
      </c>
      <c r="P353" s="15">
        <f t="shared" si="32"/>
        <v>0</v>
      </c>
      <c r="Q353" s="15">
        <f t="shared" si="33"/>
        <v>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7100</v>
      </c>
      <c r="F360" s="15">
        <v>250</v>
      </c>
      <c r="G360" s="15">
        <v>400</v>
      </c>
      <c r="H360" s="15">
        <f t="shared" si="34"/>
        <v>7750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/>
      <c r="E365" s="15">
        <v>7100</v>
      </c>
      <c r="F365" s="15">
        <v>350</v>
      </c>
      <c r="G365" s="15">
        <v>400</v>
      </c>
      <c r="H365" s="15">
        <f t="shared" si="34"/>
        <v>7850</v>
      </c>
      <c r="I365" s="15">
        <f t="shared" si="35"/>
        <v>0</v>
      </c>
      <c r="J365" s="16"/>
      <c r="K365" s="15"/>
      <c r="L365" s="15">
        <f t="shared" si="30"/>
        <v>0</v>
      </c>
      <c r="M365" s="20"/>
      <c r="N365" s="20"/>
      <c r="O365" s="15">
        <f t="shared" si="31"/>
        <v>0</v>
      </c>
      <c r="P365" s="15">
        <f t="shared" si="32"/>
        <v>0</v>
      </c>
      <c r="Q365" s="15">
        <f t="shared" si="33"/>
        <v>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/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0</v>
      </c>
      <c r="J368" s="16"/>
      <c r="K368" s="15"/>
      <c r="L368" s="15">
        <f t="shared" si="30"/>
        <v>0</v>
      </c>
      <c r="M368" s="16"/>
      <c r="N368" s="16"/>
      <c r="O368" s="15">
        <f t="shared" si="31"/>
        <v>0</v>
      </c>
      <c r="P368" s="15">
        <f t="shared" si="32"/>
        <v>0</v>
      </c>
      <c r="Q368" s="15">
        <f t="shared" si="33"/>
        <v>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/>
      <c r="E373" s="15">
        <v>7100</v>
      </c>
      <c r="F373" s="15">
        <v>250</v>
      </c>
      <c r="G373" s="15">
        <v>300</v>
      </c>
      <c r="H373" s="15">
        <f t="shared" si="34"/>
        <v>7650</v>
      </c>
      <c r="I373" s="15">
        <f t="shared" si="35"/>
        <v>0</v>
      </c>
      <c r="J373" s="16"/>
      <c r="K373" s="15">
        <v>200000</v>
      </c>
      <c r="L373" s="15">
        <f t="shared" si="30"/>
        <v>0</v>
      </c>
      <c r="M373" s="16"/>
      <c r="N373" s="16"/>
      <c r="O373" s="15">
        <f t="shared" si="31"/>
        <v>0</v>
      </c>
      <c r="P373" s="15">
        <f t="shared" si="32"/>
        <v>200000</v>
      </c>
      <c r="Q373" s="15">
        <f t="shared" si="33"/>
        <v>-200000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/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0</v>
      </c>
      <c r="J378" s="16"/>
      <c r="K378" s="15"/>
      <c r="L378" s="15">
        <f t="shared" si="30"/>
        <v>0</v>
      </c>
      <c r="M378" s="16"/>
      <c r="N378" s="16"/>
      <c r="O378" s="15">
        <f t="shared" si="31"/>
        <v>0</v>
      </c>
      <c r="P378" s="15">
        <f t="shared" si="32"/>
        <v>0</v>
      </c>
      <c r="Q378" s="15">
        <f t="shared" si="33"/>
        <v>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f t="shared" si="34"/>
        <v>7800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/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0</v>
      </c>
      <c r="J387" s="16"/>
      <c r="K387" s="15">
        <v>400000</v>
      </c>
      <c r="L387" s="15">
        <f t="shared" si="30"/>
        <v>0</v>
      </c>
      <c r="M387" s="16"/>
      <c r="N387" s="16"/>
      <c r="O387" s="15">
        <f t="shared" si="31"/>
        <v>0</v>
      </c>
      <c r="P387" s="15">
        <f t="shared" si="32"/>
        <v>400000</v>
      </c>
      <c r="Q387" s="15">
        <f t="shared" si="33"/>
        <v>-400000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/>
      <c r="E392" s="15">
        <v>7100</v>
      </c>
      <c r="F392" s="15">
        <v>350</v>
      </c>
      <c r="G392" s="15">
        <v>400</v>
      </c>
      <c r="H392" s="15">
        <f t="shared" si="40"/>
        <v>7850</v>
      </c>
      <c r="I392" s="15">
        <f t="shared" si="41"/>
        <v>0</v>
      </c>
      <c r="J392" s="16"/>
      <c r="K392" s="15">
        <v>600000</v>
      </c>
      <c r="L392" s="15">
        <f t="shared" si="36"/>
        <v>0</v>
      </c>
      <c r="M392" s="16"/>
      <c r="N392" s="16"/>
      <c r="O392" s="15">
        <f t="shared" si="37"/>
        <v>0</v>
      </c>
      <c r="P392" s="15">
        <f t="shared" si="38"/>
        <v>600000</v>
      </c>
      <c r="Q392" s="15">
        <f t="shared" si="39"/>
        <v>-600000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350</v>
      </c>
      <c r="G394" s="15">
        <v>400</v>
      </c>
      <c r="H394" s="15">
        <f t="shared" si="40"/>
        <v>7850</v>
      </c>
      <c r="I394" s="15">
        <f t="shared" si="41"/>
        <v>0</v>
      </c>
      <c r="J394" s="16"/>
      <c r="K394" s="15">
        <v>200000</v>
      </c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200000</v>
      </c>
      <c r="Q394" s="15">
        <f t="shared" si="39"/>
        <v>-200000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/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0</v>
      </c>
      <c r="J395" s="16">
        <v>200000</v>
      </c>
      <c r="K395" s="15">
        <v>400000</v>
      </c>
      <c r="L395" s="15">
        <f t="shared" si="36"/>
        <v>0</v>
      </c>
      <c r="M395" s="16"/>
      <c r="N395" s="16"/>
      <c r="O395" s="15">
        <f t="shared" si="37"/>
        <v>0</v>
      </c>
      <c r="P395" s="15">
        <f t="shared" si="38"/>
        <v>600000</v>
      </c>
      <c r="Q395" s="15">
        <f t="shared" si="39"/>
        <v>-600000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/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0</v>
      </c>
      <c r="J396" s="16"/>
      <c r="K396" s="15"/>
      <c r="L396" s="15">
        <f t="shared" si="36"/>
        <v>0</v>
      </c>
      <c r="M396" s="16"/>
      <c r="N396" s="16"/>
      <c r="O396" s="15">
        <f t="shared" si="37"/>
        <v>0</v>
      </c>
      <c r="P396" s="15">
        <f t="shared" si="38"/>
        <v>0</v>
      </c>
      <c r="Q396" s="15">
        <f t="shared" si="39"/>
        <v>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/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0</v>
      </c>
      <c r="J400" s="16"/>
      <c r="K400" s="15"/>
      <c r="L400" s="15">
        <f t="shared" si="36"/>
        <v>0</v>
      </c>
      <c r="M400" s="16"/>
      <c r="N400" s="16"/>
      <c r="O400" s="15">
        <f t="shared" si="37"/>
        <v>0</v>
      </c>
      <c r="P400" s="15">
        <f t="shared" si="38"/>
        <v>0</v>
      </c>
      <c r="Q400" s="15">
        <f t="shared" si="39"/>
        <v>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/>
      <c r="E405" s="15">
        <v>7100</v>
      </c>
      <c r="F405" s="15">
        <v>350</v>
      </c>
      <c r="G405" s="15">
        <v>400</v>
      </c>
      <c r="H405" s="15">
        <f t="shared" si="40"/>
        <v>7850</v>
      </c>
      <c r="I405" s="15">
        <f t="shared" si="41"/>
        <v>0</v>
      </c>
      <c r="J405" s="16"/>
      <c r="K405" s="15">
        <v>600000</v>
      </c>
      <c r="L405" s="15">
        <f t="shared" si="36"/>
        <v>0</v>
      </c>
      <c r="M405" s="16"/>
      <c r="N405" s="16"/>
      <c r="O405" s="15">
        <f t="shared" si="37"/>
        <v>0</v>
      </c>
      <c r="P405" s="15">
        <f t="shared" si="38"/>
        <v>600000</v>
      </c>
      <c r="Q405" s="15">
        <f t="shared" si="39"/>
        <v>-600000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/>
      <c r="E406" s="15">
        <v>7100</v>
      </c>
      <c r="F406" s="15">
        <v>350</v>
      </c>
      <c r="G406" s="15">
        <v>400</v>
      </c>
      <c r="H406" s="15">
        <f t="shared" si="40"/>
        <v>7850</v>
      </c>
      <c r="I406" s="15">
        <f t="shared" si="41"/>
        <v>0</v>
      </c>
      <c r="J406" s="16"/>
      <c r="K406" s="15"/>
      <c r="L406" s="15">
        <f t="shared" si="36"/>
        <v>0</v>
      </c>
      <c r="M406" s="16"/>
      <c r="N406" s="16"/>
      <c r="O406" s="15">
        <f t="shared" si="37"/>
        <v>0</v>
      </c>
      <c r="P406" s="15">
        <f t="shared" si="38"/>
        <v>0</v>
      </c>
      <c r="Q406" s="15">
        <f t="shared" si="39"/>
        <v>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/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0</v>
      </c>
      <c r="J409" s="16"/>
      <c r="K409" s="15">
        <v>200000</v>
      </c>
      <c r="L409" s="15">
        <f t="shared" si="36"/>
        <v>0</v>
      </c>
      <c r="M409" s="16"/>
      <c r="N409" s="16"/>
      <c r="O409" s="15">
        <f t="shared" si="37"/>
        <v>0</v>
      </c>
      <c r="P409" s="15">
        <f t="shared" si="38"/>
        <v>200000</v>
      </c>
      <c r="Q409" s="15">
        <f t="shared" si="39"/>
        <v>-200000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/>
      <c r="E410" s="15">
        <v>7100</v>
      </c>
      <c r="F410" s="15">
        <v>500</v>
      </c>
      <c r="G410" s="15">
        <v>400</v>
      </c>
      <c r="H410" s="15">
        <f t="shared" si="40"/>
        <v>8000</v>
      </c>
      <c r="I410" s="15">
        <f t="shared" si="41"/>
        <v>0</v>
      </c>
      <c r="J410" s="16"/>
      <c r="K410" s="15">
        <v>1000000</v>
      </c>
      <c r="L410" s="15">
        <f t="shared" si="36"/>
        <v>0</v>
      </c>
      <c r="M410" s="16"/>
      <c r="N410" s="16"/>
      <c r="O410" s="15">
        <f t="shared" si="37"/>
        <v>0</v>
      </c>
      <c r="P410" s="15">
        <f t="shared" si="38"/>
        <v>1000000</v>
      </c>
      <c r="Q410" s="15">
        <f t="shared" si="39"/>
        <v>-1000000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/>
      <c r="E419" s="15">
        <v>7100</v>
      </c>
      <c r="F419" s="15">
        <v>250</v>
      </c>
      <c r="G419" s="15">
        <v>400</v>
      </c>
      <c r="H419" s="15">
        <f t="shared" si="40"/>
        <v>7750</v>
      </c>
      <c r="I419" s="15">
        <f t="shared" si="41"/>
        <v>0</v>
      </c>
      <c r="J419" s="20"/>
      <c r="K419" s="20"/>
      <c r="L419" s="15">
        <f t="shared" si="36"/>
        <v>0</v>
      </c>
      <c r="M419" s="16"/>
      <c r="N419" s="16"/>
      <c r="O419" s="15">
        <f t="shared" si="37"/>
        <v>0</v>
      </c>
      <c r="P419" s="15">
        <f t="shared" si="38"/>
        <v>0</v>
      </c>
      <c r="Q419" s="15">
        <f t="shared" si="39"/>
        <v>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/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0</v>
      </c>
      <c r="J421" s="16"/>
      <c r="K421" s="15"/>
      <c r="L421" s="15">
        <f t="shared" si="36"/>
        <v>0</v>
      </c>
      <c r="M421" s="16"/>
      <c r="N421" s="16"/>
      <c r="O421" s="15">
        <f t="shared" si="37"/>
        <v>0</v>
      </c>
      <c r="P421" s="15">
        <f t="shared" si="38"/>
        <v>0</v>
      </c>
      <c r="Q421" s="15">
        <f t="shared" si="39"/>
        <v>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/>
      <c r="E425" s="15">
        <v>7100</v>
      </c>
      <c r="F425" s="15">
        <v>250</v>
      </c>
      <c r="G425" s="15">
        <v>400</v>
      </c>
      <c r="H425" s="15">
        <f t="shared" si="40"/>
        <v>7750</v>
      </c>
      <c r="I425" s="15">
        <f t="shared" si="41"/>
        <v>0</v>
      </c>
      <c r="J425" s="16"/>
      <c r="K425" s="15"/>
      <c r="L425" s="15">
        <f t="shared" si="36"/>
        <v>0</v>
      </c>
      <c r="M425" s="16"/>
      <c r="N425" s="16"/>
      <c r="O425" s="15">
        <f t="shared" si="37"/>
        <v>0</v>
      </c>
      <c r="P425" s="15">
        <f t="shared" si="38"/>
        <v>0</v>
      </c>
      <c r="Q425" s="15">
        <f t="shared" si="39"/>
        <v>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/>
      <c r="E427" s="15">
        <v>7100</v>
      </c>
      <c r="F427" s="15">
        <v>350</v>
      </c>
      <c r="G427" s="15">
        <v>300</v>
      </c>
      <c r="H427" s="15">
        <f t="shared" si="40"/>
        <v>7750</v>
      </c>
      <c r="I427" s="15">
        <f t="shared" si="41"/>
        <v>0</v>
      </c>
      <c r="J427" s="16"/>
      <c r="K427" s="15"/>
      <c r="L427" s="15">
        <f t="shared" si="36"/>
        <v>0</v>
      </c>
      <c r="M427" s="16"/>
      <c r="N427" s="16"/>
      <c r="O427" s="15">
        <f t="shared" si="37"/>
        <v>0</v>
      </c>
      <c r="P427" s="15">
        <f t="shared" si="38"/>
        <v>0</v>
      </c>
      <c r="Q427" s="15">
        <f t="shared" si="39"/>
        <v>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7100</v>
      </c>
      <c r="F433" s="15">
        <v>300</v>
      </c>
      <c r="G433" s="15">
        <v>400</v>
      </c>
      <c r="H433" s="15">
        <f t="shared" si="40"/>
        <v>7800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/>
      <c r="E434" s="15">
        <v>7100</v>
      </c>
      <c r="F434" s="15">
        <v>200</v>
      </c>
      <c r="G434" s="15">
        <v>200</v>
      </c>
      <c r="H434" s="15">
        <f t="shared" si="40"/>
        <v>7500</v>
      </c>
      <c r="I434" s="15">
        <f t="shared" si="41"/>
        <v>0</v>
      </c>
      <c r="J434" s="16"/>
      <c r="K434" s="15">
        <v>400000</v>
      </c>
      <c r="L434" s="15">
        <f t="shared" si="36"/>
        <v>0</v>
      </c>
      <c r="M434" s="16"/>
      <c r="N434" s="16"/>
      <c r="O434" s="15">
        <f t="shared" si="37"/>
        <v>0</v>
      </c>
      <c r="P434" s="15">
        <f t="shared" si="38"/>
        <v>400000</v>
      </c>
      <c r="Q434" s="15">
        <f t="shared" si="39"/>
        <v>-400000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/>
      <c r="E437" s="15">
        <v>7100</v>
      </c>
      <c r="F437" s="15">
        <v>250</v>
      </c>
      <c r="G437" s="15">
        <v>400</v>
      </c>
      <c r="H437" s="15">
        <f t="shared" si="40"/>
        <v>7750</v>
      </c>
      <c r="I437" s="15">
        <f t="shared" si="41"/>
        <v>0</v>
      </c>
      <c r="J437" s="16"/>
      <c r="K437" s="15">
        <v>100000</v>
      </c>
      <c r="L437" s="15">
        <f t="shared" si="36"/>
        <v>0</v>
      </c>
      <c r="M437" s="16"/>
      <c r="N437" s="16"/>
      <c r="O437" s="15">
        <f t="shared" si="37"/>
        <v>0</v>
      </c>
      <c r="P437" s="15">
        <f t="shared" si="38"/>
        <v>100000</v>
      </c>
      <c r="Q437" s="15">
        <f t="shared" si="39"/>
        <v>-100000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/>
      <c r="E444" s="15">
        <v>7100</v>
      </c>
      <c r="F444" s="15">
        <v>500</v>
      </c>
      <c r="G444" s="15">
        <v>400</v>
      </c>
      <c r="H444" s="15">
        <f t="shared" si="40"/>
        <v>8000</v>
      </c>
      <c r="I444" s="15">
        <f t="shared" si="41"/>
        <v>0</v>
      </c>
      <c r="J444" s="16">
        <v>200000</v>
      </c>
      <c r="K444" s="15">
        <v>400000</v>
      </c>
      <c r="L444" s="15">
        <f t="shared" si="36"/>
        <v>0</v>
      </c>
      <c r="M444" s="16"/>
      <c r="N444" s="16"/>
      <c r="O444" s="15">
        <f t="shared" si="37"/>
        <v>0</v>
      </c>
      <c r="P444" s="15">
        <f t="shared" si="38"/>
        <v>600000</v>
      </c>
      <c r="Q444" s="15">
        <f t="shared" si="39"/>
        <v>-600000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/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0</v>
      </c>
      <c r="J447" s="16"/>
      <c r="K447" s="15"/>
      <c r="L447" s="15">
        <f t="shared" si="36"/>
        <v>0</v>
      </c>
      <c r="M447" s="16"/>
      <c r="N447" s="16"/>
      <c r="O447" s="15">
        <f t="shared" si="37"/>
        <v>0</v>
      </c>
      <c r="P447" s="15">
        <f t="shared" si="38"/>
        <v>0</v>
      </c>
      <c r="Q447" s="15">
        <f t="shared" si="39"/>
        <v>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/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0</v>
      </c>
      <c r="J449" s="16"/>
      <c r="K449" s="15">
        <v>200000</v>
      </c>
      <c r="L449" s="15">
        <f t="shared" si="36"/>
        <v>0</v>
      </c>
      <c r="M449" s="16"/>
      <c r="N449" s="16"/>
      <c r="O449" s="15">
        <f t="shared" si="37"/>
        <v>0</v>
      </c>
      <c r="P449" s="15">
        <f t="shared" si="38"/>
        <v>200000</v>
      </c>
      <c r="Q449" s="15">
        <f t="shared" si="39"/>
        <v>-200000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/>
      <c r="E451" s="15">
        <v>7100</v>
      </c>
      <c r="F451" s="15">
        <v>500</v>
      </c>
      <c r="G451" s="15">
        <v>400</v>
      </c>
      <c r="H451" s="15">
        <f t="shared" si="40"/>
        <v>8000</v>
      </c>
      <c r="I451" s="15">
        <f t="shared" si="41"/>
        <v>0</v>
      </c>
      <c r="J451" s="16"/>
      <c r="K451" s="15">
        <v>400000</v>
      </c>
      <c r="L451" s="15">
        <f t="shared" si="36"/>
        <v>0</v>
      </c>
      <c r="M451" s="16"/>
      <c r="N451" s="16"/>
      <c r="O451" s="15">
        <f t="shared" si="37"/>
        <v>0</v>
      </c>
      <c r="P451" s="15">
        <f t="shared" si="38"/>
        <v>400000</v>
      </c>
      <c r="Q451" s="15">
        <f t="shared" si="39"/>
        <v>-400000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/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0</v>
      </c>
      <c r="J452" s="16"/>
      <c r="K452" s="15"/>
      <c r="L452" s="15">
        <f t="shared" si="36"/>
        <v>0</v>
      </c>
      <c r="M452" s="16"/>
      <c r="N452" s="16"/>
      <c r="O452" s="15">
        <f t="shared" si="37"/>
        <v>0</v>
      </c>
      <c r="P452" s="15">
        <f t="shared" si="38"/>
        <v>0</v>
      </c>
      <c r="Q452" s="15">
        <f t="shared" si="39"/>
        <v>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/>
      <c r="E454" s="15">
        <v>7100</v>
      </c>
      <c r="F454" s="15">
        <v>350</v>
      </c>
      <c r="G454" s="15">
        <v>400</v>
      </c>
      <c r="H454" s="15">
        <f t="shared" ref="H454:H473" si="46">SUM(E454:G454)</f>
        <v>7850</v>
      </c>
      <c r="I454" s="15">
        <f t="shared" ref="I454:I475" si="47">H454*D454</f>
        <v>0</v>
      </c>
      <c r="J454" s="16"/>
      <c r="K454" s="15"/>
      <c r="L454" s="15">
        <f t="shared" si="42"/>
        <v>0</v>
      </c>
      <c r="M454" s="16"/>
      <c r="N454" s="16"/>
      <c r="O454" s="15">
        <f t="shared" si="43"/>
        <v>0</v>
      </c>
      <c r="P454" s="15">
        <f t="shared" si="44"/>
        <v>0</v>
      </c>
      <c r="Q454" s="15">
        <f t="shared" si="45"/>
        <v>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46"/>
        <v>7900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46"/>
        <v>7800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/>
      <c r="E457" s="15">
        <v>7100</v>
      </c>
      <c r="F457" s="15">
        <v>350</v>
      </c>
      <c r="G457" s="15">
        <v>400</v>
      </c>
      <c r="H457" s="15">
        <f t="shared" si="46"/>
        <v>7850</v>
      </c>
      <c r="I457" s="15">
        <f t="shared" si="47"/>
        <v>0</v>
      </c>
      <c r="J457" s="16"/>
      <c r="K457" s="15"/>
      <c r="L457" s="15">
        <f t="shared" si="42"/>
        <v>0</v>
      </c>
      <c r="M457" s="16"/>
      <c r="N457" s="16"/>
      <c r="O457" s="15">
        <f t="shared" si="43"/>
        <v>0</v>
      </c>
      <c r="P457" s="15">
        <f t="shared" si="44"/>
        <v>0</v>
      </c>
      <c r="Q457" s="15">
        <f t="shared" si="45"/>
        <v>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46"/>
        <v>7800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/>
      <c r="E459" s="15">
        <v>7100</v>
      </c>
      <c r="F459" s="15">
        <v>350</v>
      </c>
      <c r="G459" s="15">
        <v>400</v>
      </c>
      <c r="H459" s="15">
        <f t="shared" si="46"/>
        <v>7850</v>
      </c>
      <c r="I459" s="15">
        <f t="shared" si="47"/>
        <v>0</v>
      </c>
      <c r="J459" s="16"/>
      <c r="K459" s="15">
        <v>200000</v>
      </c>
      <c r="L459" s="15">
        <f t="shared" si="42"/>
        <v>0</v>
      </c>
      <c r="M459" s="16"/>
      <c r="N459" s="16"/>
      <c r="O459" s="15">
        <f t="shared" si="43"/>
        <v>0</v>
      </c>
      <c r="P459" s="15">
        <f t="shared" si="44"/>
        <v>200000</v>
      </c>
      <c r="Q459" s="15">
        <f t="shared" si="45"/>
        <v>-200000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/>
      <c r="E460" s="15">
        <v>7100</v>
      </c>
      <c r="F460" s="15">
        <v>250</v>
      </c>
      <c r="G460" s="15">
        <v>400</v>
      </c>
      <c r="H460" s="15">
        <f t="shared" si="46"/>
        <v>7750</v>
      </c>
      <c r="I460" s="15">
        <f t="shared" si="47"/>
        <v>0</v>
      </c>
      <c r="J460" s="16"/>
      <c r="K460" s="15"/>
      <c r="L460" s="15">
        <f t="shared" si="42"/>
        <v>0</v>
      </c>
      <c r="M460" s="16"/>
      <c r="N460" s="16"/>
      <c r="O460" s="15">
        <f t="shared" si="43"/>
        <v>0</v>
      </c>
      <c r="P460" s="15">
        <f t="shared" si="44"/>
        <v>0</v>
      </c>
      <c r="Q460" s="15">
        <f t="shared" si="45"/>
        <v>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/>
      <c r="E461" s="15">
        <v>7100</v>
      </c>
      <c r="F461" s="15">
        <v>250</v>
      </c>
      <c r="G461" s="15">
        <v>400</v>
      </c>
      <c r="H461" s="15">
        <f t="shared" si="46"/>
        <v>7750</v>
      </c>
      <c r="I461" s="15">
        <f t="shared" si="47"/>
        <v>0</v>
      </c>
      <c r="J461" s="16"/>
      <c r="K461" s="15">
        <v>200000</v>
      </c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200000</v>
      </c>
      <c r="Q461" s="15">
        <f t="shared" si="45"/>
        <v>-200000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/>
      <c r="E462" s="15">
        <v>7100</v>
      </c>
      <c r="F462" s="15">
        <v>200</v>
      </c>
      <c r="G462" s="15">
        <v>300</v>
      </c>
      <c r="H462" s="15">
        <f t="shared" si="46"/>
        <v>7600</v>
      </c>
      <c r="I462" s="15">
        <f t="shared" si="47"/>
        <v>0</v>
      </c>
      <c r="J462" s="16"/>
      <c r="K462" s="15">
        <v>400000</v>
      </c>
      <c r="L462" s="15">
        <f t="shared" si="42"/>
        <v>0</v>
      </c>
      <c r="M462" s="16"/>
      <c r="N462" s="16"/>
      <c r="O462" s="15">
        <f t="shared" si="43"/>
        <v>0</v>
      </c>
      <c r="P462" s="15">
        <f t="shared" si="44"/>
        <v>400000</v>
      </c>
      <c r="Q462" s="15">
        <f t="shared" si="45"/>
        <v>-400000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/>
      <c r="E463" s="15">
        <v>7100</v>
      </c>
      <c r="F463" s="15">
        <v>250</v>
      </c>
      <c r="G463" s="15">
        <v>400</v>
      </c>
      <c r="H463" s="15">
        <f t="shared" si="46"/>
        <v>7750</v>
      </c>
      <c r="I463" s="15">
        <f t="shared" si="47"/>
        <v>0</v>
      </c>
      <c r="J463" s="16"/>
      <c r="K463" s="15">
        <v>200000</v>
      </c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200000</v>
      </c>
      <c r="Q463" s="15">
        <f t="shared" si="45"/>
        <v>-200000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/>
      <c r="E464" s="15">
        <v>7100</v>
      </c>
      <c r="F464" s="15">
        <v>200</v>
      </c>
      <c r="G464" s="15">
        <v>400</v>
      </c>
      <c r="H464" s="15">
        <f t="shared" si="46"/>
        <v>7700</v>
      </c>
      <c r="I464" s="15">
        <f t="shared" si="47"/>
        <v>0</v>
      </c>
      <c r="J464" s="16"/>
      <c r="K464" s="15"/>
      <c r="L464" s="15">
        <f t="shared" si="42"/>
        <v>0</v>
      </c>
      <c r="M464" s="16"/>
      <c r="N464" s="16"/>
      <c r="O464" s="15">
        <f t="shared" si="43"/>
        <v>0</v>
      </c>
      <c r="P464" s="15">
        <f t="shared" si="44"/>
        <v>0</v>
      </c>
      <c r="Q464" s="15">
        <f t="shared" si="45"/>
        <v>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/>
      <c r="E465" s="15">
        <v>7100</v>
      </c>
      <c r="F465" s="15">
        <v>250</v>
      </c>
      <c r="G465" s="15">
        <v>400</v>
      </c>
      <c r="H465" s="15">
        <f t="shared" si="46"/>
        <v>7750</v>
      </c>
      <c r="I465" s="15">
        <f t="shared" si="47"/>
        <v>0</v>
      </c>
      <c r="J465" s="16"/>
      <c r="K465" s="15">
        <v>200000</v>
      </c>
      <c r="L465" s="15">
        <f t="shared" si="42"/>
        <v>0</v>
      </c>
      <c r="M465" s="16"/>
      <c r="N465" s="16"/>
      <c r="O465" s="15">
        <f t="shared" si="43"/>
        <v>0</v>
      </c>
      <c r="P465" s="15">
        <f t="shared" si="44"/>
        <v>200000</v>
      </c>
      <c r="Q465" s="15">
        <f t="shared" si="45"/>
        <v>-200000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/>
      <c r="E466" s="15">
        <v>7100</v>
      </c>
      <c r="F466" s="15">
        <v>250</v>
      </c>
      <c r="G466" s="15">
        <v>400</v>
      </c>
      <c r="H466" s="15">
        <f t="shared" si="46"/>
        <v>7750</v>
      </c>
      <c r="I466" s="15">
        <f t="shared" si="47"/>
        <v>0</v>
      </c>
      <c r="J466" s="16"/>
      <c r="K466" s="15"/>
      <c r="L466" s="15">
        <f t="shared" si="42"/>
        <v>0</v>
      </c>
      <c r="M466" s="16"/>
      <c r="N466" s="16"/>
      <c r="O466" s="15">
        <f t="shared" si="43"/>
        <v>0</v>
      </c>
      <c r="P466" s="15">
        <f t="shared" si="44"/>
        <v>0</v>
      </c>
      <c r="Q466" s="15">
        <f t="shared" si="45"/>
        <v>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46"/>
        <v>7900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46"/>
        <v>7900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46"/>
        <v>7900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46"/>
        <v>8000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/>
      <c r="E471" s="15">
        <v>7100</v>
      </c>
      <c r="F471" s="15">
        <v>250</v>
      </c>
      <c r="G471" s="15">
        <v>300</v>
      </c>
      <c r="H471" s="15">
        <f t="shared" si="46"/>
        <v>7650</v>
      </c>
      <c r="I471" s="15">
        <f t="shared" si="47"/>
        <v>0</v>
      </c>
      <c r="J471" s="16"/>
      <c r="K471" s="15"/>
      <c r="L471" s="15">
        <f t="shared" si="42"/>
        <v>0</v>
      </c>
      <c r="M471" s="16"/>
      <c r="N471" s="16"/>
      <c r="O471" s="15">
        <f t="shared" si="43"/>
        <v>0</v>
      </c>
      <c r="P471" s="15">
        <f t="shared" si="44"/>
        <v>0</v>
      </c>
      <c r="Q471" s="15">
        <f t="shared" si="45"/>
        <v>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46"/>
        <v>7900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46"/>
        <v>7900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7100</v>
      </c>
      <c r="F474" s="15">
        <v>350</v>
      </c>
      <c r="G474" s="15">
        <v>400</v>
      </c>
      <c r="H474" s="15">
        <f t="shared" ref="H474" si="48">SUM(E474:G474)</f>
        <v>7850</v>
      </c>
      <c r="I474" s="15">
        <f t="shared" si="47"/>
        <v>0</v>
      </c>
      <c r="J474" s="16"/>
      <c r="K474" s="15"/>
      <c r="L474" s="15">
        <f t="shared" si="42"/>
        <v>0</v>
      </c>
      <c r="M474" s="16"/>
      <c r="N474" s="16"/>
      <c r="O474" s="15">
        <f>250*D474</f>
        <v>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/>
      <c r="E475" s="15">
        <v>7100</v>
      </c>
      <c r="F475" s="15">
        <v>350</v>
      </c>
      <c r="G475" s="15">
        <v>400</v>
      </c>
      <c r="H475" s="15">
        <f t="shared" ref="H475" si="49">SUM(E475:G475)</f>
        <v>7850</v>
      </c>
      <c r="I475" s="15">
        <f t="shared" si="47"/>
        <v>0</v>
      </c>
      <c r="J475" s="16"/>
      <c r="K475" s="15"/>
      <c r="L475" s="15">
        <f t="shared" ref="L475" si="50">D475*20</f>
        <v>0</v>
      </c>
      <c r="M475" s="16"/>
      <c r="N475" s="16"/>
      <c r="O475" s="15">
        <f t="shared" ref="O475" si="51">250*D475</f>
        <v>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7100</v>
      </c>
      <c r="F476" s="15">
        <v>300</v>
      </c>
      <c r="G476" s="15">
        <v>400</v>
      </c>
      <c r="H476" s="15">
        <f t="shared" ref="H476:H480" si="52">SUM(E476:G476)</f>
        <v>7800</v>
      </c>
      <c r="I476" s="15">
        <f t="shared" ref="I476:I479" si="53">H476*D476</f>
        <v>0</v>
      </c>
      <c r="J476" s="16"/>
      <c r="K476" s="15"/>
      <c r="L476" s="15">
        <f t="shared" ref="L476:L479" si="54">D476*20</f>
        <v>0</v>
      </c>
      <c r="M476" s="16"/>
      <c r="N476" s="16"/>
      <c r="O476" s="15">
        <f t="shared" ref="O476:O479" si="55">250*D476</f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/>
      <c r="E477" s="15">
        <v>7100</v>
      </c>
      <c r="F477" s="15">
        <v>350</v>
      </c>
      <c r="G477" s="15">
        <v>400</v>
      </c>
      <c r="H477" s="15">
        <f t="shared" si="52"/>
        <v>7850</v>
      </c>
      <c r="I477" s="15">
        <f t="shared" si="53"/>
        <v>0</v>
      </c>
      <c r="J477" s="16"/>
      <c r="K477" s="15"/>
      <c r="L477" s="15">
        <f t="shared" si="54"/>
        <v>0</v>
      </c>
      <c r="M477" s="16"/>
      <c r="N477" s="16"/>
      <c r="O477" s="15">
        <f t="shared" si="55"/>
        <v>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/>
      <c r="E478" s="15">
        <v>7100</v>
      </c>
      <c r="F478" s="15">
        <v>350</v>
      </c>
      <c r="G478" s="15">
        <v>400</v>
      </c>
      <c r="H478" s="15">
        <f t="shared" si="52"/>
        <v>7850</v>
      </c>
      <c r="I478" s="15">
        <f t="shared" si="53"/>
        <v>0</v>
      </c>
      <c r="J478" s="16"/>
      <c r="K478" s="15"/>
      <c r="L478" s="15">
        <f t="shared" si="54"/>
        <v>0</v>
      </c>
      <c r="M478" s="16"/>
      <c r="N478" s="16"/>
      <c r="O478" s="15">
        <f t="shared" si="55"/>
        <v>0</v>
      </c>
      <c r="P478" s="15"/>
      <c r="Q478" s="15"/>
      <c r="R478" s="17"/>
    </row>
    <row r="479" spans="1:18" ht="16.5" x14ac:dyDescent="0.25">
      <c r="A479" s="12">
        <v>1672</v>
      </c>
      <c r="B479" s="13" t="s">
        <v>474</v>
      </c>
      <c r="C479" s="13" t="s">
        <v>30</v>
      </c>
      <c r="D479" s="20"/>
      <c r="E479" s="15">
        <v>7100</v>
      </c>
      <c r="F479" s="15">
        <v>200</v>
      </c>
      <c r="G479" s="15">
        <v>400</v>
      </c>
      <c r="H479" s="15">
        <f t="shared" si="52"/>
        <v>7700</v>
      </c>
      <c r="I479" s="15">
        <f t="shared" si="53"/>
        <v>0</v>
      </c>
      <c r="J479" s="16"/>
      <c r="K479" s="15"/>
      <c r="L479" s="15">
        <f t="shared" si="54"/>
        <v>0</v>
      </c>
      <c r="M479" s="16"/>
      <c r="N479" s="16"/>
      <c r="O479" s="15">
        <f t="shared" si="55"/>
        <v>0</v>
      </c>
      <c r="P479" s="15"/>
      <c r="Q479" s="15"/>
      <c r="R479" s="17"/>
    </row>
    <row r="480" spans="1:18" ht="16.5" x14ac:dyDescent="0.25">
      <c r="A480" s="12">
        <v>1673</v>
      </c>
      <c r="B480" s="13" t="s">
        <v>475</v>
      </c>
      <c r="C480" s="13" t="s">
        <v>25</v>
      </c>
      <c r="D480" s="20"/>
      <c r="E480" s="15">
        <v>7100</v>
      </c>
      <c r="F480" s="15">
        <v>300</v>
      </c>
      <c r="G480" s="15">
        <v>400</v>
      </c>
      <c r="H480" s="15">
        <f t="shared" si="52"/>
        <v>7800</v>
      </c>
      <c r="I480" s="15">
        <f t="shared" ref="I480" si="56">H480*D480</f>
        <v>0</v>
      </c>
      <c r="J480" s="16"/>
      <c r="K480" s="15"/>
      <c r="L480" s="15">
        <f t="shared" ref="L480" si="57">D480*20</f>
        <v>0</v>
      </c>
      <c r="M480" s="16"/>
      <c r="N480" s="16"/>
      <c r="O480" s="15">
        <f t="shared" ref="O480" si="58">250*D480</f>
        <v>0</v>
      </c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0</v>
      </c>
      <c r="E483" s="20">
        <f t="shared" ref="E483:R483" si="59">SUM(E4:E482)</f>
        <v>3386700</v>
      </c>
      <c r="F483" s="20">
        <f t="shared" si="59"/>
        <v>159300</v>
      </c>
      <c r="G483" s="20">
        <f t="shared" si="59"/>
        <v>186950</v>
      </c>
      <c r="H483" s="20">
        <f t="shared" si="59"/>
        <v>3732950</v>
      </c>
      <c r="I483" s="20">
        <f t="shared" si="59"/>
        <v>0</v>
      </c>
      <c r="J483" s="20">
        <f t="shared" si="59"/>
        <v>600000</v>
      </c>
      <c r="K483" s="20">
        <f t="shared" si="59"/>
        <v>36176000</v>
      </c>
      <c r="L483" s="20">
        <f t="shared" si="59"/>
        <v>0</v>
      </c>
      <c r="M483" s="20">
        <f t="shared" si="59"/>
        <v>0</v>
      </c>
      <c r="N483" s="20">
        <f>SUM(N4:N482)</f>
        <v>0</v>
      </c>
      <c r="O483" s="20">
        <f t="shared" si="59"/>
        <v>0</v>
      </c>
      <c r="P483" s="20">
        <f t="shared" si="59"/>
        <v>36776000</v>
      </c>
      <c r="Q483" s="20">
        <f t="shared" si="59"/>
        <v>-36776000</v>
      </c>
      <c r="R483" s="20">
        <f t="shared" si="59"/>
        <v>540127</v>
      </c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 t="str">
        <f>A1</f>
        <v>PEMBAYARAN SETORAN SUSU  PADA PETERNAK BAGIAN TANGGAL :  21 S / D 31 AGUSTUS 2026</v>
      </c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>
        <v>0</v>
      </c>
      <c r="D498" s="40"/>
      <c r="E498" s="16">
        <v>7500</v>
      </c>
      <c r="F498" s="16"/>
      <c r="G498" s="16"/>
      <c r="H498" s="15">
        <f>SUM(E498:G498)</f>
        <v>7500</v>
      </c>
      <c r="I498" s="15">
        <f>D498*H498</f>
        <v>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0</v>
      </c>
      <c r="R498" s="36"/>
    </row>
    <row r="499" spans="1:18" ht="16.5" x14ac:dyDescent="0.25">
      <c r="A499" s="12">
        <v>0</v>
      </c>
      <c r="B499" s="13" t="s">
        <v>25</v>
      </c>
      <c r="C499" s="13">
        <v>0</v>
      </c>
      <c r="D499" s="20"/>
      <c r="E499" s="16">
        <v>7500</v>
      </c>
      <c r="F499" s="16"/>
      <c r="G499" s="16"/>
      <c r="H499" s="15">
        <f t="shared" ref="H499:H506" si="60">SUM(E499:G499)</f>
        <v>7500</v>
      </c>
      <c r="I499" s="15">
        <f t="shared" ref="I499:I506" si="61">D499*H499</f>
        <v>0</v>
      </c>
      <c r="J499" s="20"/>
      <c r="K499" s="15"/>
      <c r="L499" s="15"/>
      <c r="M499" s="20"/>
      <c r="N499" s="20"/>
      <c r="O499" s="22"/>
      <c r="P499" s="15">
        <f t="shared" ref="P499:P506" si="62">SUM(J499:O499)</f>
        <v>0</v>
      </c>
      <c r="Q499" s="15">
        <f t="shared" ref="Q499:Q506" si="63">I499-P499</f>
        <v>0</v>
      </c>
      <c r="R499" s="36"/>
    </row>
    <row r="500" spans="1:18" ht="16.5" x14ac:dyDescent="0.25">
      <c r="A500" s="12">
        <v>0</v>
      </c>
      <c r="B500" s="13" t="s">
        <v>21</v>
      </c>
      <c r="C500" s="13">
        <v>0</v>
      </c>
      <c r="D500" s="20"/>
      <c r="E500" s="16">
        <v>7500</v>
      </c>
      <c r="F500" s="16"/>
      <c r="G500" s="16"/>
      <c r="H500" s="15">
        <f t="shared" si="60"/>
        <v>7500</v>
      </c>
      <c r="I500" s="15">
        <f t="shared" si="61"/>
        <v>0</v>
      </c>
      <c r="J500" s="20"/>
      <c r="K500" s="15"/>
      <c r="L500" s="15"/>
      <c r="M500" s="20"/>
      <c r="N500" s="20"/>
      <c r="O500" s="22"/>
      <c r="P500" s="15">
        <f t="shared" si="62"/>
        <v>0</v>
      </c>
      <c r="Q500" s="15">
        <f t="shared" si="63"/>
        <v>0</v>
      </c>
      <c r="R500" s="36"/>
    </row>
    <row r="501" spans="1:18" ht="16.5" x14ac:dyDescent="0.25">
      <c r="A501" s="12">
        <v>0</v>
      </c>
      <c r="B501" s="13" t="s">
        <v>47</v>
      </c>
      <c r="C501" s="13">
        <v>0</v>
      </c>
      <c r="D501" s="20"/>
      <c r="E501" s="16">
        <v>7500</v>
      </c>
      <c r="F501" s="16"/>
      <c r="G501" s="16"/>
      <c r="H501" s="15">
        <f t="shared" si="60"/>
        <v>7500</v>
      </c>
      <c r="I501" s="15">
        <f t="shared" si="61"/>
        <v>0</v>
      </c>
      <c r="J501" s="20"/>
      <c r="K501" s="15"/>
      <c r="L501" s="15"/>
      <c r="M501" s="20"/>
      <c r="N501" s="20"/>
      <c r="O501" s="22"/>
      <c r="P501" s="15">
        <f t="shared" si="62"/>
        <v>0</v>
      </c>
      <c r="Q501" s="15">
        <f t="shared" si="63"/>
        <v>0</v>
      </c>
      <c r="R501" s="36"/>
    </row>
    <row r="502" spans="1:18" ht="16.5" x14ac:dyDescent="0.25">
      <c r="A502" s="12">
        <v>0</v>
      </c>
      <c r="B502" s="13" t="s">
        <v>43</v>
      </c>
      <c r="C502" s="13">
        <v>0</v>
      </c>
      <c r="D502" s="20"/>
      <c r="E502" s="16">
        <v>7500</v>
      </c>
      <c r="F502" s="16"/>
      <c r="G502" s="16"/>
      <c r="H502" s="15">
        <f t="shared" si="60"/>
        <v>7500</v>
      </c>
      <c r="I502" s="15">
        <f t="shared" si="61"/>
        <v>0</v>
      </c>
      <c r="J502" s="20"/>
      <c r="K502" s="15"/>
      <c r="L502" s="15"/>
      <c r="M502" s="20"/>
      <c r="N502" s="20"/>
      <c r="O502" s="22"/>
      <c r="P502" s="15">
        <f t="shared" si="62"/>
        <v>0</v>
      </c>
      <c r="Q502" s="15">
        <f t="shared" si="63"/>
        <v>0</v>
      </c>
      <c r="R502" s="36"/>
    </row>
    <row r="503" spans="1:18" ht="16.5" x14ac:dyDescent="0.25">
      <c r="A503" s="12">
        <v>0</v>
      </c>
      <c r="B503" s="13" t="s">
        <v>30</v>
      </c>
      <c r="C503" s="13">
        <v>0</v>
      </c>
      <c r="D503" s="20"/>
      <c r="E503" s="16">
        <v>7500</v>
      </c>
      <c r="F503" s="16"/>
      <c r="G503" s="16"/>
      <c r="H503" s="15">
        <f t="shared" si="60"/>
        <v>7500</v>
      </c>
      <c r="I503" s="15">
        <f t="shared" si="61"/>
        <v>0</v>
      </c>
      <c r="J503" s="20"/>
      <c r="K503" s="15"/>
      <c r="L503" s="15"/>
      <c r="M503" s="20"/>
      <c r="N503" s="20"/>
      <c r="O503" s="22"/>
      <c r="P503" s="15">
        <f t="shared" si="62"/>
        <v>0</v>
      </c>
      <c r="Q503" s="15">
        <f t="shared" si="63"/>
        <v>0</v>
      </c>
      <c r="R503" s="36"/>
    </row>
    <row r="504" spans="1:18" ht="16.5" x14ac:dyDescent="0.25">
      <c r="A504" s="12">
        <v>0</v>
      </c>
      <c r="B504" s="13" t="s">
        <v>54</v>
      </c>
      <c r="C504" s="13">
        <v>0</v>
      </c>
      <c r="D504" s="20"/>
      <c r="E504" s="16">
        <v>7500</v>
      </c>
      <c r="F504" s="16"/>
      <c r="G504" s="16"/>
      <c r="H504" s="15">
        <f t="shared" si="60"/>
        <v>7500</v>
      </c>
      <c r="I504" s="15">
        <f t="shared" si="61"/>
        <v>0</v>
      </c>
      <c r="J504" s="20"/>
      <c r="K504" s="15"/>
      <c r="L504" s="15"/>
      <c r="M504" s="20"/>
      <c r="N504" s="20"/>
      <c r="O504" s="22"/>
      <c r="P504" s="15">
        <f t="shared" si="62"/>
        <v>0</v>
      </c>
      <c r="Q504" s="15">
        <f t="shared" si="63"/>
        <v>0</v>
      </c>
      <c r="R504" s="36"/>
    </row>
    <row r="505" spans="1:18" ht="16.5" x14ac:dyDescent="0.25">
      <c r="A505" s="12">
        <v>0</v>
      </c>
      <c r="B505" s="13" t="s">
        <v>392</v>
      </c>
      <c r="C505" s="13">
        <v>0</v>
      </c>
      <c r="D505" s="20"/>
      <c r="E505" s="16">
        <v>7500</v>
      </c>
      <c r="F505" s="16"/>
      <c r="G505" s="16"/>
      <c r="H505" s="15">
        <f t="shared" si="60"/>
        <v>7500</v>
      </c>
      <c r="I505" s="15">
        <f t="shared" si="61"/>
        <v>0</v>
      </c>
      <c r="J505" s="20"/>
      <c r="K505" s="15"/>
      <c r="L505" s="15"/>
      <c r="M505" s="20"/>
      <c r="N505" s="20"/>
      <c r="O505" s="22"/>
      <c r="P505" s="15">
        <f t="shared" si="62"/>
        <v>0</v>
      </c>
      <c r="Q505" s="15">
        <f t="shared" si="63"/>
        <v>0</v>
      </c>
      <c r="R505" s="36"/>
    </row>
    <row r="506" spans="1:18" ht="16.5" x14ac:dyDescent="0.25">
      <c r="A506" s="12">
        <v>0</v>
      </c>
      <c r="B506" s="41" t="s">
        <v>19</v>
      </c>
      <c r="C506" s="13">
        <v>0</v>
      </c>
      <c r="D506" s="20"/>
      <c r="E506" s="16">
        <v>7500</v>
      </c>
      <c r="F506" s="16"/>
      <c r="G506" s="16"/>
      <c r="H506" s="15">
        <f t="shared" si="60"/>
        <v>7500</v>
      </c>
      <c r="I506" s="15">
        <f t="shared" si="61"/>
        <v>0</v>
      </c>
      <c r="J506" s="20"/>
      <c r="K506" s="15"/>
      <c r="L506" s="15"/>
      <c r="M506" s="20"/>
      <c r="N506" s="20"/>
      <c r="O506" s="22"/>
      <c r="P506" s="15">
        <f t="shared" si="62"/>
        <v>0</v>
      </c>
      <c r="Q506" s="15">
        <f t="shared" si="63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64">H507-P507</f>
        <v>0</v>
      </c>
      <c r="R507" s="36"/>
    </row>
    <row r="508" spans="1:18" ht="16.5" x14ac:dyDescent="0.25">
      <c r="A508" s="44"/>
      <c r="B508" s="68" t="s">
        <v>393</v>
      </c>
      <c r="C508" s="69"/>
      <c r="D508" s="22">
        <f>SUM(D498:D507)</f>
        <v>0</v>
      </c>
      <c r="E508" s="22">
        <f t="shared" ref="E508:Q508" si="65">SUM(E498:E507)</f>
        <v>67500</v>
      </c>
      <c r="F508" s="22">
        <f t="shared" ref="F508:G508" si="66">SUM(F498:F507)</f>
        <v>0</v>
      </c>
      <c r="G508" s="22">
        <f t="shared" si="66"/>
        <v>0</v>
      </c>
      <c r="H508" s="22">
        <f t="shared" si="65"/>
        <v>67500</v>
      </c>
      <c r="I508" s="22">
        <f t="shared" si="65"/>
        <v>0</v>
      </c>
      <c r="J508" s="22">
        <f t="shared" si="65"/>
        <v>0</v>
      </c>
      <c r="K508" s="22">
        <f t="shared" si="65"/>
        <v>0</v>
      </c>
      <c r="L508" s="22">
        <f t="shared" si="65"/>
        <v>0</v>
      </c>
      <c r="M508" s="22">
        <f t="shared" si="65"/>
        <v>0</v>
      </c>
      <c r="N508" s="22">
        <f t="shared" si="65"/>
        <v>0</v>
      </c>
      <c r="O508" s="22">
        <f t="shared" si="65"/>
        <v>0</v>
      </c>
      <c r="P508" s="22">
        <f t="shared" si="65"/>
        <v>0</v>
      </c>
      <c r="Q508" s="22">
        <f t="shared" si="65"/>
        <v>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 t="str">
        <f>A496</f>
        <v>PEMBAYARAN SETORAN SUSU  PADA PETERNAK BAGIAN TANGGAL :  21 S / D 31 AGUSTUS 2026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461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ref="H521:H528" si="67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68">SUM(J521:O521)</f>
        <v>0</v>
      </c>
      <c r="Q521" s="15">
        <f t="shared" ref="Q521:Q528" si="69">I521-P521</f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/>
      <c r="E522" s="16">
        <v>8000</v>
      </c>
      <c r="F522" s="16"/>
      <c r="G522" s="16"/>
      <c r="H522" s="15">
        <f t="shared" si="67"/>
        <v>8000</v>
      </c>
      <c r="I522" s="15">
        <f t="shared" ref="I522:I528" si="70">D522*H522</f>
        <v>0</v>
      </c>
      <c r="J522" s="15"/>
      <c r="K522" s="15"/>
      <c r="L522" s="15"/>
      <c r="M522" s="15"/>
      <c r="N522" s="15"/>
      <c r="O522" s="15"/>
      <c r="P522" s="15">
        <f t="shared" si="68"/>
        <v>0</v>
      </c>
      <c r="Q522" s="15">
        <f t="shared" si="69"/>
        <v>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/>
      <c r="E523" s="16">
        <v>7400</v>
      </c>
      <c r="F523" s="16"/>
      <c r="G523" s="16"/>
      <c r="H523" s="15">
        <f t="shared" si="67"/>
        <v>7400</v>
      </c>
      <c r="I523" s="15">
        <f t="shared" si="70"/>
        <v>0</v>
      </c>
      <c r="J523" s="15"/>
      <c r="K523" s="15"/>
      <c r="L523" s="15"/>
      <c r="M523" s="15"/>
      <c r="N523" s="15"/>
      <c r="O523" s="15"/>
      <c r="P523" s="15">
        <f t="shared" si="68"/>
        <v>0</v>
      </c>
      <c r="Q523" s="15">
        <f t="shared" si="69"/>
        <v>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/>
      <c r="E524" s="16">
        <v>7400</v>
      </c>
      <c r="F524" s="16"/>
      <c r="G524" s="16"/>
      <c r="H524" s="15">
        <f t="shared" si="67"/>
        <v>7400</v>
      </c>
      <c r="I524" s="15">
        <f t="shared" si="70"/>
        <v>0</v>
      </c>
      <c r="J524" s="15"/>
      <c r="K524" s="15"/>
      <c r="L524" s="15"/>
      <c r="M524" s="15"/>
      <c r="N524" s="15"/>
      <c r="O524" s="15"/>
      <c r="P524" s="15">
        <f t="shared" si="68"/>
        <v>0</v>
      </c>
      <c r="Q524" s="15">
        <f t="shared" si="69"/>
        <v>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/>
      <c r="E525" s="16">
        <v>8000</v>
      </c>
      <c r="F525" s="16"/>
      <c r="G525" s="16"/>
      <c r="H525" s="15">
        <f t="shared" si="67"/>
        <v>8000</v>
      </c>
      <c r="I525" s="15">
        <f t="shared" si="70"/>
        <v>0</v>
      </c>
      <c r="J525" s="15"/>
      <c r="K525" s="15"/>
      <c r="L525" s="15"/>
      <c r="M525" s="15"/>
      <c r="N525" s="15"/>
      <c r="O525" s="15"/>
      <c r="P525" s="15">
        <f t="shared" si="68"/>
        <v>0</v>
      </c>
      <c r="Q525" s="15">
        <f t="shared" si="69"/>
        <v>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/>
      <c r="E526" s="61">
        <v>7500</v>
      </c>
      <c r="F526" s="61"/>
      <c r="G526" s="61"/>
      <c r="H526" s="15">
        <f t="shared" si="67"/>
        <v>7500</v>
      </c>
      <c r="I526" s="15">
        <f t="shared" si="70"/>
        <v>0</v>
      </c>
      <c r="J526" s="15"/>
      <c r="K526" s="15"/>
      <c r="L526" s="15"/>
      <c r="M526" s="15"/>
      <c r="N526" s="15"/>
      <c r="O526" s="15"/>
      <c r="P526" s="15">
        <f t="shared" si="68"/>
        <v>0</v>
      </c>
      <c r="Q526" s="15">
        <f t="shared" si="69"/>
        <v>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67"/>
        <v>7500</v>
      </c>
      <c r="I527" s="15">
        <f t="shared" si="70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68"/>
        <v>0</v>
      </c>
      <c r="Q527" s="15">
        <f t="shared" si="69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67"/>
        <v>0</v>
      </c>
      <c r="I528" s="15">
        <f t="shared" si="70"/>
        <v>0</v>
      </c>
      <c r="J528" s="15"/>
      <c r="K528" s="15"/>
      <c r="L528" s="15"/>
      <c r="M528" s="15"/>
      <c r="N528" s="15"/>
      <c r="O528" s="15"/>
      <c r="P528" s="15">
        <f t="shared" si="68"/>
        <v>0</v>
      </c>
      <c r="Q528" s="15">
        <f t="shared" si="69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>SUM(D520:D528)</f>
        <v>0</v>
      </c>
      <c r="E529" s="22">
        <f>SUM(E520:E528)</f>
        <v>61000</v>
      </c>
      <c r="F529" s="22">
        <f t="shared" ref="F529:G529" si="71">SUM(F520:F528)</f>
        <v>0</v>
      </c>
      <c r="G529" s="22">
        <f t="shared" si="71"/>
        <v>0</v>
      </c>
      <c r="H529" s="22">
        <f t="shared" ref="H529:Q529" si="72">SUM(H520:H528)</f>
        <v>60800</v>
      </c>
      <c r="I529" s="22">
        <f t="shared" si="72"/>
        <v>0</v>
      </c>
      <c r="J529" s="22">
        <f t="shared" si="72"/>
        <v>0</v>
      </c>
      <c r="K529" s="22">
        <f t="shared" si="72"/>
        <v>0</v>
      </c>
      <c r="L529" s="22">
        <f t="shared" si="72"/>
        <v>0</v>
      </c>
      <c r="M529" s="22">
        <f t="shared" si="72"/>
        <v>0</v>
      </c>
      <c r="N529" s="22">
        <f t="shared" si="72"/>
        <v>0</v>
      </c>
      <c r="O529" s="22">
        <f t="shared" si="72"/>
        <v>0</v>
      </c>
      <c r="P529" s="22">
        <f t="shared" si="72"/>
        <v>0</v>
      </c>
      <c r="Q529" s="22">
        <f t="shared" si="72"/>
        <v>0</v>
      </c>
      <c r="R529" s="47"/>
    </row>
    <row r="530" spans="1:18" ht="16.5" x14ac:dyDescent="0.25">
      <c r="A530" s="74" t="s">
        <v>398</v>
      </c>
      <c r="B530" s="75"/>
      <c r="C530" s="76"/>
      <c r="D530" s="22">
        <f>SUM(D508,D483,D529)</f>
        <v>0</v>
      </c>
      <c r="E530" s="22">
        <f t="shared" ref="E530:Q530" si="73">SUM(E508,E483,E529)</f>
        <v>3515200</v>
      </c>
      <c r="F530" s="22">
        <f t="shared" si="73"/>
        <v>159300</v>
      </c>
      <c r="G530" s="22">
        <f t="shared" si="73"/>
        <v>186950</v>
      </c>
      <c r="H530" s="22">
        <f t="shared" si="73"/>
        <v>3861250</v>
      </c>
      <c r="I530" s="22">
        <f t="shared" si="73"/>
        <v>0</v>
      </c>
      <c r="J530" s="22">
        <f t="shared" si="73"/>
        <v>600000</v>
      </c>
      <c r="K530" s="22">
        <f t="shared" si="73"/>
        <v>36176000</v>
      </c>
      <c r="L530" s="22">
        <f t="shared" si="73"/>
        <v>0</v>
      </c>
      <c r="M530" s="22">
        <f t="shared" si="73"/>
        <v>0</v>
      </c>
      <c r="N530" s="22">
        <f t="shared" si="73"/>
        <v>0</v>
      </c>
      <c r="O530" s="22">
        <f t="shared" si="73"/>
        <v>0</v>
      </c>
      <c r="P530" s="22">
        <f t="shared" si="73"/>
        <v>36776000</v>
      </c>
      <c r="Q530" s="22">
        <f t="shared" si="73"/>
        <v>-36776000</v>
      </c>
      <c r="R530" s="47"/>
    </row>
    <row r="531" spans="1:18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467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72" t="s">
        <v>476</v>
      </c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30:C530"/>
    <mergeCell ref="A529:C529"/>
    <mergeCell ref="A496:R496"/>
    <mergeCell ref="A518:R518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ismail - [2010]</cp:lastModifiedBy>
  <dcterms:created xsi:type="dcterms:W3CDTF">2016-09-20T21:29:33Z</dcterms:created>
  <dcterms:modified xsi:type="dcterms:W3CDTF">2026-09-01T04:01:58Z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