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G525" i="3" l="1"/>
  <c r="G504" i="3"/>
  <c r="G526" i="3" s="1"/>
  <c r="G479" i="3"/>
  <c r="G525" i="2"/>
  <c r="G504" i="2"/>
  <c r="G526" i="2" s="1"/>
  <c r="G479" i="2"/>
  <c r="F525" i="3"/>
  <c r="F504" i="3"/>
  <c r="F479" i="3"/>
  <c r="F525" i="2"/>
  <c r="F504" i="2"/>
  <c r="F479" i="2"/>
  <c r="F526" i="2" s="1"/>
  <c r="F526" i="3" l="1"/>
  <c r="E479" i="1"/>
  <c r="L456" i="2" l="1"/>
  <c r="O525" i="1" l="1"/>
  <c r="N525" i="1"/>
  <c r="M525" i="1"/>
  <c r="L525" i="1"/>
  <c r="K525" i="1"/>
  <c r="J525" i="1"/>
  <c r="G525" i="1"/>
  <c r="F525" i="1"/>
  <c r="E525" i="1"/>
  <c r="D525" i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H520" i="1"/>
  <c r="I520" i="1" s="1"/>
  <c r="P519" i="1"/>
  <c r="H519" i="1"/>
  <c r="I519" i="1" s="1"/>
  <c r="Q519" i="1" s="1"/>
  <c r="P518" i="1"/>
  <c r="I518" i="1"/>
  <c r="Q518" i="1" s="1"/>
  <c r="H518" i="1"/>
  <c r="P517" i="1"/>
  <c r="H517" i="1"/>
  <c r="I517" i="1" s="1"/>
  <c r="P516" i="1"/>
  <c r="P525" i="1" s="1"/>
  <c r="I516" i="1"/>
  <c r="O504" i="1"/>
  <c r="N504" i="1"/>
  <c r="M504" i="1"/>
  <c r="L504" i="1"/>
  <c r="K504" i="1"/>
  <c r="J504" i="1"/>
  <c r="G504" i="1"/>
  <c r="F504" i="1"/>
  <c r="E504" i="1"/>
  <c r="D504" i="1"/>
  <c r="Q503" i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H498" i="1"/>
  <c r="I498" i="1" s="1"/>
  <c r="Q498" i="1" s="1"/>
  <c r="P497" i="1"/>
  <c r="H497" i="1"/>
  <c r="I497" i="1" s="1"/>
  <c r="Q497" i="1" s="1"/>
  <c r="P496" i="1"/>
  <c r="H496" i="1"/>
  <c r="I496" i="1" s="1"/>
  <c r="Q496" i="1" s="1"/>
  <c r="P495" i="1"/>
  <c r="H495" i="1"/>
  <c r="I495" i="1" s="1"/>
  <c r="P494" i="1"/>
  <c r="P504" i="1" s="1"/>
  <c r="H494" i="1"/>
  <c r="A492" i="1"/>
  <c r="A514" i="1" s="1"/>
  <c r="N479" i="1"/>
  <c r="M479" i="1"/>
  <c r="K479" i="1"/>
  <c r="J479" i="1"/>
  <c r="G479" i="1"/>
  <c r="G526" i="1" s="1"/>
  <c r="F479" i="1"/>
  <c r="D479" i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I390" i="1"/>
  <c r="H390" i="1"/>
  <c r="O389" i="1"/>
  <c r="L389" i="1"/>
  <c r="I389" i="1"/>
  <c r="H389" i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499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H479" i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26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5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26" i="1"/>
  <c r="Q520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26" i="1"/>
  <c r="F526" i="1"/>
  <c r="Q516" i="1"/>
  <c r="Q521" i="1"/>
  <c r="Q524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26" i="1"/>
  <c r="L479" i="1"/>
  <c r="L526" i="1" s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479" i="1"/>
  <c r="O526" i="1" s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17" i="1"/>
  <c r="I525" i="1"/>
  <c r="H525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26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4" i="1"/>
  <c r="I494" i="1"/>
  <c r="D526" i="1"/>
  <c r="E479" i="3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E479" i="2"/>
  <c r="Q525" i="1" l="1"/>
  <c r="H526" i="1"/>
  <c r="P479" i="1"/>
  <c r="P526" i="1" s="1"/>
  <c r="I479" i="1"/>
  <c r="Q4" i="1"/>
  <c r="Q479" i="1" s="1"/>
  <c r="I504" i="1"/>
  <c r="Q494" i="1"/>
  <c r="Q504" i="1" s="1"/>
  <c r="O474" i="3"/>
  <c r="O475" i="3"/>
  <c r="L475" i="3"/>
  <c r="H475" i="3"/>
  <c r="I475" i="3" s="1"/>
  <c r="I526" i="1" l="1"/>
  <c r="Q526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5" i="3"/>
  <c r="N525" i="3"/>
  <c r="M525" i="3"/>
  <c r="L525" i="3"/>
  <c r="K525" i="3"/>
  <c r="J525" i="3"/>
  <c r="E525" i="3"/>
  <c r="D525" i="3"/>
  <c r="P524" i="3"/>
  <c r="H524" i="3"/>
  <c r="I524" i="3" s="1"/>
  <c r="P523" i="3"/>
  <c r="H523" i="3"/>
  <c r="I523" i="3" s="1"/>
  <c r="Q523" i="3" s="1"/>
  <c r="P522" i="3"/>
  <c r="H522" i="3"/>
  <c r="I522" i="3" s="1"/>
  <c r="P521" i="3"/>
  <c r="H521" i="3"/>
  <c r="I521" i="3" s="1"/>
  <c r="P520" i="3"/>
  <c r="H520" i="3"/>
  <c r="I520" i="3" s="1"/>
  <c r="P519" i="3"/>
  <c r="H519" i="3"/>
  <c r="I519" i="3" s="1"/>
  <c r="P518" i="3"/>
  <c r="H518" i="3"/>
  <c r="I518" i="3" s="1"/>
  <c r="P517" i="3"/>
  <c r="H517" i="3"/>
  <c r="I517" i="3" s="1"/>
  <c r="P516" i="3"/>
  <c r="I516" i="3"/>
  <c r="O504" i="3"/>
  <c r="N504" i="3"/>
  <c r="M504" i="3"/>
  <c r="L504" i="3"/>
  <c r="K504" i="3"/>
  <c r="J504" i="3"/>
  <c r="E504" i="3"/>
  <c r="D504" i="3"/>
  <c r="Q503" i="3"/>
  <c r="P502" i="3"/>
  <c r="H502" i="3"/>
  <c r="I502" i="3" s="1"/>
  <c r="Q502" i="3" s="1"/>
  <c r="P501" i="3"/>
  <c r="H501" i="3"/>
  <c r="I501" i="3" s="1"/>
  <c r="P500" i="3"/>
  <c r="H500" i="3"/>
  <c r="I500" i="3" s="1"/>
  <c r="Q500" i="3" s="1"/>
  <c r="P499" i="3"/>
  <c r="H499" i="3"/>
  <c r="I499" i="3" s="1"/>
  <c r="Q499" i="3" s="1"/>
  <c r="P498" i="3"/>
  <c r="H498" i="3"/>
  <c r="I498" i="3" s="1"/>
  <c r="P497" i="3"/>
  <c r="H497" i="3"/>
  <c r="I497" i="3" s="1"/>
  <c r="P496" i="3"/>
  <c r="H496" i="3"/>
  <c r="I496" i="3" s="1"/>
  <c r="P495" i="3"/>
  <c r="H495" i="3"/>
  <c r="I495" i="3" s="1"/>
  <c r="P494" i="3"/>
  <c r="H494" i="3"/>
  <c r="I494" i="3" s="1"/>
  <c r="Q494" i="3" s="1"/>
  <c r="A492" i="3"/>
  <c r="A514" i="3" s="1"/>
  <c r="N479" i="3"/>
  <c r="M479" i="3"/>
  <c r="K479" i="3"/>
  <c r="J479" i="3"/>
  <c r="D479" i="3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5" i="2"/>
  <c r="N525" i="2"/>
  <c r="M525" i="2"/>
  <c r="L525" i="2"/>
  <c r="K525" i="2"/>
  <c r="J525" i="2"/>
  <c r="E525" i="2"/>
  <c r="D525" i="2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P519" i="2"/>
  <c r="H519" i="2"/>
  <c r="I519" i="2" s="1"/>
  <c r="P518" i="2"/>
  <c r="H518" i="2"/>
  <c r="I518" i="2" s="1"/>
  <c r="P517" i="2"/>
  <c r="H517" i="2"/>
  <c r="I517" i="2" s="1"/>
  <c r="P516" i="2"/>
  <c r="H516" i="2"/>
  <c r="I516" i="2" s="1"/>
  <c r="O504" i="2"/>
  <c r="N504" i="2"/>
  <c r="M504" i="2"/>
  <c r="L504" i="2"/>
  <c r="K504" i="2"/>
  <c r="J504" i="2"/>
  <c r="E504" i="2"/>
  <c r="D504" i="2"/>
  <c r="Q503" i="2"/>
  <c r="P502" i="2"/>
  <c r="H502" i="2"/>
  <c r="I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I498" i="2" s="1"/>
  <c r="Q498" i="2" s="1"/>
  <c r="P497" i="2"/>
  <c r="H497" i="2"/>
  <c r="I497" i="2" s="1"/>
  <c r="P496" i="2"/>
  <c r="H496" i="2"/>
  <c r="I496" i="2" s="1"/>
  <c r="P495" i="2"/>
  <c r="H495" i="2"/>
  <c r="I495" i="2" s="1"/>
  <c r="P494" i="2"/>
  <c r="H494" i="2"/>
  <c r="A514" i="2"/>
  <c r="N479" i="2"/>
  <c r="M479" i="2"/>
  <c r="K479" i="2"/>
  <c r="J479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E526" i="2" l="1"/>
  <c r="Q522" i="3"/>
  <c r="P504" i="2"/>
  <c r="Q502" i="2"/>
  <c r="P525" i="2"/>
  <c r="Q501" i="3"/>
  <c r="I479" i="3"/>
  <c r="P338" i="2"/>
  <c r="Q338" i="2" s="1"/>
  <c r="P58" i="2"/>
  <c r="Q58" i="2" s="1"/>
  <c r="P468" i="3"/>
  <c r="Q468" i="3" s="1"/>
  <c r="P472" i="3"/>
  <c r="Q472" i="3" s="1"/>
  <c r="Q519" i="2"/>
  <c r="P372" i="2"/>
  <c r="Q372" i="2" s="1"/>
  <c r="K526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496" i="2"/>
  <c r="Q501" i="2"/>
  <c r="Q518" i="2"/>
  <c r="Q522" i="2"/>
  <c r="Q524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26" i="2"/>
  <c r="Q497" i="2"/>
  <c r="Q500" i="2"/>
  <c r="Q517" i="2"/>
  <c r="Q521" i="2"/>
  <c r="Q523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5" i="3"/>
  <c r="Q496" i="3"/>
  <c r="Q517" i="3"/>
  <c r="Q519" i="3"/>
  <c r="Q521" i="3"/>
  <c r="K526" i="2"/>
  <c r="J526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5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5" i="2"/>
  <c r="Q520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4" i="2"/>
  <c r="I494" i="2"/>
  <c r="Q494" i="2" s="1"/>
  <c r="Q499" i="2"/>
  <c r="Q516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26" i="3"/>
  <c r="N526" i="3"/>
  <c r="P383" i="2"/>
  <c r="Q383" i="2" s="1"/>
  <c r="M526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498" i="3"/>
  <c r="Q518" i="3"/>
  <c r="Q520" i="3"/>
  <c r="Q524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5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26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Q4" i="3" s="1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H479" i="3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5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4" i="3"/>
  <c r="H504" i="3"/>
  <c r="M526" i="3"/>
  <c r="P451" i="3"/>
  <c r="Q451" i="3" s="1"/>
  <c r="P454" i="3"/>
  <c r="Q454" i="3" s="1"/>
  <c r="P457" i="3"/>
  <c r="Q457" i="3" s="1"/>
  <c r="P473" i="3"/>
  <c r="Q473" i="3" s="1"/>
  <c r="Q497" i="3"/>
  <c r="H525" i="3"/>
  <c r="P423" i="3"/>
  <c r="Q423" i="3" s="1"/>
  <c r="P424" i="3"/>
  <c r="Q424" i="3" s="1"/>
  <c r="P425" i="3"/>
  <c r="Q425" i="3" s="1"/>
  <c r="P460" i="3"/>
  <c r="Q460" i="3" s="1"/>
  <c r="P461" i="3"/>
  <c r="Q461" i="3" s="1"/>
  <c r="I504" i="3"/>
  <c r="I525" i="3"/>
  <c r="D526" i="3"/>
  <c r="Q516" i="3"/>
  <c r="O479" i="3"/>
  <c r="O526" i="3" s="1"/>
  <c r="L479" i="3"/>
  <c r="L526" i="3" s="1"/>
  <c r="P6" i="3"/>
  <c r="Q525" i="2" l="1"/>
  <c r="Q504" i="2"/>
  <c r="Q504" i="3"/>
  <c r="Q525" i="3"/>
  <c r="I504" i="2"/>
  <c r="P479" i="3"/>
  <c r="P526" i="3" s="1"/>
  <c r="H526" i="3"/>
  <c r="I526" i="3"/>
  <c r="Q6" i="3"/>
  <c r="Q479" i="3" s="1"/>
  <c r="Q526" i="3" l="1"/>
  <c r="O4" i="2"/>
  <c r="O479" i="2" s="1"/>
  <c r="O526" i="2" s="1"/>
  <c r="L4" i="2"/>
  <c r="L479" i="2" s="1"/>
  <c r="L526" i="2" s="1"/>
  <c r="D479" i="2"/>
  <c r="D526" i="2" s="1"/>
  <c r="P4" i="2" l="1"/>
  <c r="P479" i="2" s="1"/>
  <c r="P526" i="2" s="1"/>
  <c r="H4" i="2"/>
  <c r="I4" i="2" s="1"/>
  <c r="H479" i="2" l="1"/>
  <c r="H526" i="2" s="1"/>
  <c r="I479" i="2"/>
  <c r="I526" i="2" s="1"/>
  <c r="Q4" i="2"/>
  <c r="Q479" i="2" s="1"/>
  <c r="Q526" i="2" s="1"/>
</calcChain>
</file>

<file path=xl/sharedStrings.xml><?xml version="1.0" encoding="utf-8"?>
<sst xmlns="http://schemas.openxmlformats.org/spreadsheetml/2006/main" count="3091" uniqueCount="477">
  <si>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</si>
  <si>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</si>
  <si>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</si>
  <si>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</si>
  <si>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</si>
  <si>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</si>
  <si>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</si>
  <si>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</si>
  <si>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</si>
  <si>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</si>
  <si>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</si>
  <si>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</si>
  <si>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</si>
  <si>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</si>
  <si>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</si>
  <si>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</si>
  <si>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</si>
  <si>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</si>
  <si>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</si>
  <si>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</si>
  <si>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</si>
  <si>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</si>
  <si>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</si>
  <si>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</si>
  <si>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</si>
  <si>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</si>
  <si>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</si>
  <si>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</si>
  <si>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</si>
  <si>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</si>
  <si>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</si>
  <si>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</si>
  <si>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</si>
  <si>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</si>
  <si>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</si>
  <si>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</si>
  <si>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</si>
  <si>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</si>
  <si>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</si>
  <si>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</si>
  <si>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</si>
  <si>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</si>
  <si>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</si>
  <si>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</si>
  <si>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</si>
  <si>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</si>
  <si>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</si>
  <si>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</si>
  <si>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</si>
  <si>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</si>
  <si>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</si>
  <si>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</si>
  <si>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</si>
  <si>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</si>
  <si>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</si>
  <si>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</si>
  <si>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</si>
  <si>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</si>
  <si>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</si>
  <si>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</si>
  <si>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</si>
  <si>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</si>
  <si>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</si>
  <si>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</si>
  <si>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</si>
  <si>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</si>
  <si>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</si>
  <si>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</si>
  <si>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</si>
  <si>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</si>
  <si>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</si>
  <si>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</si>
  <si>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</si>
  <si>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</si>
  <si>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</si>
  <si>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</si>
  <si>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</si>
  <si>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</si>
  <si>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</si>
  <si>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</si>
  <si>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</si>
  <si>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</si>
  <si>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</si>
  <si>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</si>
  <si>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</si>
  <si>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</si>
  <si>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</si>
  <si>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</si>
  <si>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</si>
  <si>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</si>
  <si>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</si>
  <si>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</si>
  <si>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</si>
  <si>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</si>
  <si>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</si>
  <si>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</si>
  <si>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</si>
  <si>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</si>
  <si>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</si>
  <si>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</si>
  <si>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</si>
  <si>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</si>
  <si>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</si>
  <si>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</si>
  <si>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</si>
  <si>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</si>
  <si>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</si>
  <si>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</si>
  <si>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</si>
  <si>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</si>
  <si>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</si>
  <si>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</si>
  <si>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</si>
  <si>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</si>
  <si>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</si>
  <si>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</si>
  <si>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</si>
  <si>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</si>
  <si>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</si>
  <si>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</si>
  <si>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</si>
  <si>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</si>
  <si>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</si>
  <si>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</si>
  <si>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</si>
  <si>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</si>
  <si>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</si>
  <si>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</si>
  <si>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</si>
  <si>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</si>
  <si>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</si>
  <si>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</si>
  <si>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</si>
  <si>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</si>
  <si>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</si>
  <si>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</si>
  <si>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</si>
  <si>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</si>
  <si>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</si>
  <si>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</si>
  <si>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</si>
  <si>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</si>
  <si>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</si>
  <si>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</si>
  <si>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</si>
  <si>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</si>
  <si>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</si>
  <si>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</si>
  <si>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</si>
  <si>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</si>
  <si>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</si>
  <si>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</si>
  <si>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</si>
  <si>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</si>
  <si>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</si>
  <si>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</si>
  <si>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</si>
  <si>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</si>
  <si>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</si>
  <si>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</si>
  <si>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</si>
  <si>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</si>
  <si>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</si>
  <si>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</si>
  <si>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</si>
  <si>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</si>
  <si>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</si>
  <si>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</si>
  <si>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</si>
  <si>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</si>
  <si>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</si>
  <si>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</si>
  <si>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</si>
  <si>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</si>
  <si>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</si>
  <si>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</si>
  <si>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</si>
  <si>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</si>
  <si>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</si>
  <si>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</si>
  <si>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</si>
  <si>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</si>
  <si>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</si>
  <si>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</si>
  <si>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</si>
  <si>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</si>
  <si>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</si>
  <si>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</si>
  <si>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</si>
  <si>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</si>
  <si>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</si>
  <si>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</si>
  <si>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</si>
  <si>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</si>
  <si>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</si>
  <si>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</si>
  <si>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</si>
  <si>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</si>
  <si>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</si>
  <si>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</si>
  <si>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</si>
  <si>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</si>
  <si>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</si>
  <si>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</si>
  <si>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</si>
  <si>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</si>
  <si>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</si>
  <si>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</si>
  <si>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</si>
  <si>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</si>
  <si>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</si>
  <si>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</si>
  <si>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</si>
  <si>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</si>
  <si>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</si>
  <si>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</si>
  <si>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</si>
  <si>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</si>
  <si>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</si>
  <si>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</si>
  <si>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</si>
  <si>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</si>
  <si>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</si>
  <si>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</si>
  <si>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</si>
  <si>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</si>
  <si>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</si>
  <si>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</si>
  <si>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</si>
  <si>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</si>
  <si>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</si>
  <si>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</si>
  <si>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</si>
  <si>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</si>
  <si>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</si>
  <si>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</si>
  <si>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</si>
  <si>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</si>
  <si>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</si>
  <si>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</si>
  <si>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</si>
  <si>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</si>
  <si>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</si>
  <si>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</si>
  <si>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</si>
  <si>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</si>
  <si>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</si>
  <si>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</si>
  <si>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</si>
  <si>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</si>
  <si>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</si>
  <si>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</si>
  <si>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</si>
  <si>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</si>
  <si>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</si>
  <si>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</si>
  <si>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</si>
  <si>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</si>
  <si>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</si>
  <si>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</si>
  <si>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</si>
  <si>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</si>
  <si>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</si>
  <si>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</si>
  <si>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</si>
  <si>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</si>
  <si>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</si>
  <si>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</si>
  <si>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</si>
  <si>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</si>
  <si>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</si>
  <si>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</si>
  <si>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</si>
  <si>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</si>
  <si>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</si>
  <si>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</si>
  <si>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</si>
  <si>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</si>
  <si>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</si>
  <si>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</si>
  <si>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</si>
  <si>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</si>
  <si>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</si>
  <si>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</si>
  <si>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</si>
  <si>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</si>
  <si>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</si>
  <si>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</si>
  <si>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</si>
  <si>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</si>
  <si>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</si>
  <si>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</si>
  <si>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</si>
  <si>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</si>
  <si>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</si>
  <si>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</si>
  <si>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</si>
  <si>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</si>
  <si>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</si>
  <si>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</si>
  <si>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</si>
  <si>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</si>
  <si>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</si>
  <si>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</si>
  <si>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</si>
  <si>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</si>
  <si>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</si>
  <si>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</si>
  <si>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</si>
  <si>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</si>
  <si>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</si>
  <si>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</si>
  <si>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</si>
  <si>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</si>
  <si>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</si>
  <si>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</si>
  <si>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</si>
  <si>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</si>
  <si>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</si>
  <si>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</si>
  <si>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</si>
  <si>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</si>
  <si>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</si>
  <si>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</si>
  <si>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</si>
  <si>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</si>
  <si>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</si>
  <si>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</si>
  <si>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</si>
  <si>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</si>
  <si>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</si>
  <si>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</si>
  <si>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</si>
  <si>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</si>
  <si>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</si>
  <si>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</si>
  <si>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</si>
  <si>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</si>
  <si>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</si>
  <si>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</si>
  <si>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</si>
  <si>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</si>
  <si>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</si>
  <si>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</si>
  <si>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</si>
  <si>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</si>
  <si>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</si>
  <si>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</si>
  <si>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</si>
  <si>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</si>
  <si>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</si>
  <si>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</si>
  <si>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</si>
  <si>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</si>
  <si>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</si>
  <si>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</si>
  <si>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</si>
  <si>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</si>
  <si>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</si>
  <si>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</si>
  <si>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</si>
  <si>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</si>
  <si>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</si>
  <si>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</si>
  <si>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</si>
  <si>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</si>
  <si>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</si>
  <si>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</si>
  <si>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</si>
  <si>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</si>
  <si>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</si>
  <si>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</si>
  <si>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</si>
  <si>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</si>
  <si>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</si>
  <si>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</si>
  <si>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</si>
  <si>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</si>
  <si>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</si>
  <si>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</si>
  <si>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</si>
  <si>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</si>
  <si>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</si>
  <si>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</si>
  <si>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</si>
  <si>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</si>
  <si>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</si>
  <si>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</si>
  <si>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</si>
  <si>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</si>
  <si>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</si>
  <si>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</si>
  <si>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</si>
  <si>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</si>
  <si>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</si>
  <si>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</si>
  <si>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</si>
  <si>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</si>
  <si>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</si>
  <si>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</si>
  <si>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</si>
  <si>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</si>
  <si>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</si>
  <si>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</si>
  <si>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</si>
  <si>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</si>
  <si>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</si>
  <si>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</si>
  <si>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</si>
  <si>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</si>
  <si>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</si>
  <si>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</si>
  <si>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</si>
  <si>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</si>
  <si>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</si>
  <si>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</si>
  <si>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</si>
  <si>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</si>
  <si>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</si>
  <si>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</si>
  <si>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</si>
  <si>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</si>
  <si>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</si>
  <si>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</si>
  <si>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</si>
  <si>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</si>
  <si>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</si>
  <si>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</si>
  <si>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</si>
  <si>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</si>
  <si>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</si>
  <si>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</si>
  <si>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</si>
  <si>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</si>
  <si>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</si>
  <si>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</si>
  <si>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</si>
  <si>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</si>
  <si>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</si>
  <si>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</si>
  <si>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</si>
  <si>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</si>
  <si>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</si>
  <si>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</si>
  <si>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</si>
  <si>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</si>
  <si>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</si>
  <si>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</si>
  <si>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</si>
  <si>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</si>
  <si>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</si>
  <si>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</si>
  <si>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</si>
  <si>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</si>
  <si>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</si>
  <si>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</si>
  <si>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</si>
  <si>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</si>
  <si>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</si>
  <si>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</si>
  <si>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</si>
  <si>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</si>
  <si>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</si>
  <si>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</si>
  <si>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</si>
  <si>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</si>
  <si>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</si>
  <si>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</si>
  <si>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ANIP</t>
  </si>
  <si>
    <t>MOJOSARI</t>
  </si>
  <si>
    <t>TANEN</t>
  </si>
  <si>
    <t>POHJEJER</t>
  </si>
  <si>
    <t>PEMBAYARAN SETORAN SUSU  PADA PETERNAK BAGIAN TANGGAL :  01 S / D 10 MEI 2026</t>
  </si>
  <si>
    <t>PEMBAYARAN SETORAN SUSU  PADA PETERNAK BAGIAN TANGGAL :  11 S / D 20 MEI 2026</t>
  </si>
  <si>
    <t>PEMBAYARAN SETORAN SUSU  PADA PETERNAK BAGIAN TANGGAL :  21 S / D 31 MEI 2026</t>
  </si>
  <si>
    <t>BAMBANG</t>
  </si>
  <si>
    <t>BRANGAL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</si>
</sst>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164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164" fontId="6" fillId="0" borderId="6" xfId="3" applyFont="1" applyFill="1" applyBorder="1" applyAlignment="1">
      <alignment vertical="center"/>
      <protection locked="0"/>
    </xf>
    <xf numFmtId="164" fontId="7" fillId="0" borderId="6" xfId="3" applyFont="1" applyFill="1" applyBorder="1" applyAlignment="1" applyProtection="1">
      <alignment vertical="center"/>
    </xf>
    <xf numFmtId="164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164" fontId="6" fillId="9" borderId="6" xfId="3" applyFont="1" applyFill="1" applyBorder="1" applyAlignment="1">
      <alignment vertical="center"/>
      <protection locked="0"/>
    </xf>
    <xf numFmtId="164" fontId="6" fillId="0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>
      <alignment horizontal="center" vertical="center"/>
      <protection locked="0"/>
    </xf>
    <xf numFmtId="164" fontId="6" fillId="9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>
      <alignment horizontal="center" vertical="center"/>
      <protection locked="0"/>
    </xf>
    <xf numFmtId="164" fontId="9" fillId="0" borderId="6" xfId="3" applyFont="1" applyFill="1" applyBorder="1" applyAlignment="1" applyProtection="1">
      <alignment vertical="center"/>
    </xf>
    <xf numFmtId="164" fontId="7" fillId="0" borderId="6" xfId="3" quotePrefix="1" applyFont="1" applyFill="1" applyBorder="1" applyAlignment="1">
      <alignment horizontal="center" vertical="center"/>
      <protection locked="0"/>
    </xf>
    <xf numFmtId="164" fontId="6" fillId="0" borderId="6" xfId="3" quotePrefix="1" applyFont="1" applyFill="1" applyBorder="1" applyAlignment="1">
      <alignment horizontal="center" vertical="center"/>
      <protection locked="0"/>
    </xf>
    <xf numFmtId="164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164" fontId="7" fillId="0" borderId="6" xfId="3" quotePrefix="1" applyFont="1" applyFill="1" applyBorder="1" applyAlignment="1">
      <alignment vertical="center"/>
      <protection locked="0"/>
    </xf>
    <xf numFmtId="164" fontId="12" fillId="0" borderId="6" xfId="3" applyFont="1" applyFill="1" applyBorder="1" applyAlignment="1">
      <alignment horizontal="center" vertical="center"/>
      <protection locked="0"/>
    </xf>
    <xf numFmtId="164" fontId="7" fillId="0" borderId="0" xfId="3" applyFont="1" applyFill="1" applyBorder="1" applyAlignment="1" applyProtection="1">
      <alignment vertical="center"/>
    </xf>
    <xf numFmtId="164" fontId="7" fillId="2" borderId="6" xfId="3" applyFont="1" applyFill="1" applyBorder="1" applyAlignment="1">
      <alignment vertical="center"/>
      <protection locked="0"/>
    </xf>
    <xf numFmtId="164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164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164" fontId="7" fillId="0" borderId="6" xfId="3" applyFont="1" applyFill="1" applyBorder="1" applyAlignment="1">
      <protection locked="0"/>
    </xf>
    <xf numFmtId="164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532</xdr:row>
      <xdr:rowOff>57150</xdr:rowOff>
    </xdr:from>
    <xdr:to>
      <xdr:col>12</xdr:col>
      <xdr:colOff>546100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532</xdr:row>
      <xdr:rowOff>19050</xdr:rowOff>
    </xdr:from>
    <xdr:to>
      <xdr:col>12</xdr:col>
      <xdr:colOff>660400</xdr:colOff>
      <xdr:row>534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0" activePane="bottomRight" state="frozen"/>
      <selection pane="topRight"/>
      <selection pane="bottomLeft"/>
      <selection pane="bottomRight" activeCell="K481" sqref="K481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255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1836000</v>
      </c>
      <c r="J5" s="16"/>
      <c r="K5" s="15">
        <v>800000</v>
      </c>
      <c r="L5" s="15">
        <f t="shared" si="0"/>
        <v>5100</v>
      </c>
      <c r="M5" s="16"/>
      <c r="N5" s="16"/>
      <c r="O5" s="15">
        <f t="shared" si="1"/>
        <v>63750</v>
      </c>
      <c r="P5" s="15">
        <f t="shared" si="2"/>
        <v>868850</v>
      </c>
      <c r="Q5" s="15">
        <f t="shared" ref="Q5:Q68" si="5">I5-P5</f>
        <v>967150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356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2670000</v>
      </c>
      <c r="J6" s="16"/>
      <c r="K6" s="15">
        <v>600000</v>
      </c>
      <c r="L6" s="15">
        <f t="shared" si="0"/>
        <v>7120</v>
      </c>
      <c r="M6" s="16"/>
      <c r="N6" s="16"/>
      <c r="O6" s="15">
        <f t="shared" si="1"/>
        <v>89000</v>
      </c>
      <c r="P6" s="15">
        <f t="shared" si="2"/>
        <v>696120</v>
      </c>
      <c r="Q6" s="15">
        <f t="shared" si="5"/>
        <v>1973880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463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3426200</v>
      </c>
      <c r="J9" s="16"/>
      <c r="K9" s="15">
        <v>300000</v>
      </c>
      <c r="L9" s="15">
        <f t="shared" si="0"/>
        <v>9260</v>
      </c>
      <c r="M9" s="16"/>
      <c r="N9" s="16"/>
      <c r="O9" s="15">
        <f t="shared" si="1"/>
        <v>115750</v>
      </c>
      <c r="P9" s="15">
        <f t="shared" si="2"/>
        <v>425010</v>
      </c>
      <c r="Q9" s="15">
        <f t="shared" si="5"/>
        <v>3001190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6500</v>
      </c>
      <c r="F11" s="15">
        <v>400</v>
      </c>
      <c r="G11" s="15">
        <v>400</v>
      </c>
      <c r="H11" s="15">
        <f t="shared" si="3"/>
        <v>7300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219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1620600</v>
      </c>
      <c r="J18" s="16"/>
      <c r="K18" s="15">
        <v>200000</v>
      </c>
      <c r="L18" s="15">
        <f t="shared" si="0"/>
        <v>4380</v>
      </c>
      <c r="M18" s="16"/>
      <c r="N18" s="16"/>
      <c r="O18" s="15">
        <f t="shared" si="1"/>
        <v>54750</v>
      </c>
      <c r="P18" s="15">
        <f t="shared" si="2"/>
        <v>259130</v>
      </c>
      <c r="Q18" s="15">
        <f t="shared" si="5"/>
        <v>1361470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197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1457800</v>
      </c>
      <c r="J27" s="16"/>
      <c r="K27" s="15">
        <v>400000</v>
      </c>
      <c r="L27" s="15">
        <f t="shared" si="0"/>
        <v>3940</v>
      </c>
      <c r="M27" s="16"/>
      <c r="N27" s="16"/>
      <c r="O27" s="15">
        <f t="shared" si="1"/>
        <v>49250</v>
      </c>
      <c r="P27" s="15">
        <f t="shared" si="2"/>
        <v>453190</v>
      </c>
      <c r="Q27" s="15">
        <f t="shared" si="5"/>
        <v>1004610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86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636400</v>
      </c>
      <c r="J29" s="16"/>
      <c r="K29" s="15">
        <v>200000</v>
      </c>
      <c r="L29" s="15">
        <f t="shared" si="0"/>
        <v>1720</v>
      </c>
      <c r="M29" s="16"/>
      <c r="N29" s="16"/>
      <c r="O29" s="15">
        <f t="shared" si="1"/>
        <v>21500</v>
      </c>
      <c r="P29" s="15">
        <f t="shared" si="2"/>
        <v>223220</v>
      </c>
      <c r="Q29" s="15">
        <f t="shared" si="5"/>
        <v>413180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70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497000</v>
      </c>
      <c r="J30" s="16"/>
      <c r="K30" s="15">
        <v>200000</v>
      </c>
      <c r="L30" s="15">
        <f t="shared" si="0"/>
        <v>1400</v>
      </c>
      <c r="M30" s="16"/>
      <c r="N30" s="16"/>
      <c r="O30" s="15">
        <f t="shared" si="1"/>
        <v>17500</v>
      </c>
      <c r="P30" s="15">
        <f t="shared" si="2"/>
        <v>218900</v>
      </c>
      <c r="Q30" s="15">
        <f t="shared" si="5"/>
        <v>278100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250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1800000</v>
      </c>
      <c r="J35" s="16"/>
      <c r="K35" s="15"/>
      <c r="L35" s="15">
        <f t="shared" si="0"/>
        <v>5000</v>
      </c>
      <c r="M35" s="16"/>
      <c r="N35" s="16"/>
      <c r="O35" s="15">
        <f t="shared" si="1"/>
        <v>62500</v>
      </c>
      <c r="P35" s="15">
        <f t="shared" si="2"/>
        <v>67500</v>
      </c>
      <c r="Q35" s="15">
        <f t="shared" si="5"/>
        <v>1732500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616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4496800</v>
      </c>
      <c r="J37" s="16"/>
      <c r="K37" s="15">
        <v>1400000</v>
      </c>
      <c r="L37" s="15">
        <f t="shared" si="0"/>
        <v>12320</v>
      </c>
      <c r="M37" s="20"/>
      <c r="N37" s="20"/>
      <c r="O37" s="15">
        <f t="shared" si="1"/>
        <v>154000</v>
      </c>
      <c r="P37" s="15">
        <f t="shared" si="2"/>
        <v>1566320</v>
      </c>
      <c r="Q37" s="15">
        <f t="shared" si="5"/>
        <v>2930480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241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1807500</v>
      </c>
      <c r="J40" s="16"/>
      <c r="K40" s="15"/>
      <c r="L40" s="15">
        <f t="shared" si="0"/>
        <v>4820</v>
      </c>
      <c r="M40" s="20"/>
      <c r="N40" s="20"/>
      <c r="O40" s="15">
        <f t="shared" si="1"/>
        <v>60250</v>
      </c>
      <c r="P40" s="15">
        <f t="shared" si="2"/>
        <v>65070</v>
      </c>
      <c r="Q40" s="15">
        <f t="shared" si="5"/>
        <v>1742430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239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1768600</v>
      </c>
      <c r="J41" s="20"/>
      <c r="K41" s="15"/>
      <c r="L41" s="15">
        <f t="shared" si="0"/>
        <v>4780</v>
      </c>
      <c r="M41" s="20"/>
      <c r="N41" s="20"/>
      <c r="O41" s="15">
        <f t="shared" si="1"/>
        <v>59750</v>
      </c>
      <c r="P41" s="15">
        <f t="shared" si="2"/>
        <v>64530</v>
      </c>
      <c r="Q41" s="15">
        <f t="shared" si="5"/>
        <v>1704070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197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1477500</v>
      </c>
      <c r="J43" s="16"/>
      <c r="K43" s="15"/>
      <c r="L43" s="15">
        <f t="shared" si="0"/>
        <v>3940</v>
      </c>
      <c r="M43" s="16"/>
      <c r="N43" s="16"/>
      <c r="O43" s="15">
        <f t="shared" si="1"/>
        <v>49250</v>
      </c>
      <c r="P43" s="15">
        <f t="shared" si="2"/>
        <v>53190</v>
      </c>
      <c r="Q43" s="15">
        <f t="shared" si="5"/>
        <v>1424310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348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2540400</v>
      </c>
      <c r="J50" s="16"/>
      <c r="K50" s="15">
        <v>1200000</v>
      </c>
      <c r="L50" s="15">
        <f t="shared" si="0"/>
        <v>6960</v>
      </c>
      <c r="M50" s="16"/>
      <c r="N50" s="16"/>
      <c r="O50" s="15">
        <f t="shared" si="1"/>
        <v>87000</v>
      </c>
      <c r="P50" s="15">
        <f t="shared" si="2"/>
        <v>1293960</v>
      </c>
      <c r="Q50" s="15">
        <f t="shared" si="5"/>
        <v>1246440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224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1635200</v>
      </c>
      <c r="J51" s="16"/>
      <c r="K51" s="15">
        <v>600000</v>
      </c>
      <c r="L51" s="15">
        <f t="shared" si="0"/>
        <v>4480</v>
      </c>
      <c r="M51" s="16"/>
      <c r="N51" s="16"/>
      <c r="O51" s="15">
        <f t="shared" si="1"/>
        <v>56000</v>
      </c>
      <c r="P51" s="15">
        <f t="shared" si="2"/>
        <v>660480</v>
      </c>
      <c r="Q51" s="15">
        <f t="shared" si="5"/>
        <v>974720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114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843600</v>
      </c>
      <c r="J52" s="16"/>
      <c r="K52" s="15"/>
      <c r="L52" s="15">
        <f t="shared" si="0"/>
        <v>2280</v>
      </c>
      <c r="M52" s="16"/>
      <c r="N52" s="16"/>
      <c r="O52" s="15">
        <f t="shared" si="1"/>
        <v>28500</v>
      </c>
      <c r="P52" s="15">
        <f t="shared" si="2"/>
        <v>30780</v>
      </c>
      <c r="Q52" s="15">
        <f t="shared" si="5"/>
        <v>812820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80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592000</v>
      </c>
      <c r="J53" s="16"/>
      <c r="K53" s="15">
        <v>200000</v>
      </c>
      <c r="L53" s="15">
        <f t="shared" si="0"/>
        <v>1600</v>
      </c>
      <c r="M53" s="16"/>
      <c r="N53" s="16"/>
      <c r="O53" s="15">
        <f t="shared" si="1"/>
        <v>20000</v>
      </c>
      <c r="P53" s="15">
        <f t="shared" si="2"/>
        <v>221600</v>
      </c>
      <c r="Q53" s="15">
        <f t="shared" si="5"/>
        <v>370400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222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1642800</v>
      </c>
      <c r="J56" s="16"/>
      <c r="K56" s="15">
        <v>400000</v>
      </c>
      <c r="L56" s="15">
        <f t="shared" si="0"/>
        <v>4440</v>
      </c>
      <c r="M56" s="20"/>
      <c r="N56" s="20"/>
      <c r="O56" s="15">
        <f t="shared" si="1"/>
        <v>55500</v>
      </c>
      <c r="P56" s="15">
        <f t="shared" si="2"/>
        <v>459940</v>
      </c>
      <c r="Q56" s="15">
        <f t="shared" si="5"/>
        <v>1182860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92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690000</v>
      </c>
      <c r="J59" s="16"/>
      <c r="K59" s="15">
        <v>200000</v>
      </c>
      <c r="L59" s="15">
        <f t="shared" si="0"/>
        <v>1840</v>
      </c>
      <c r="M59" s="16"/>
      <c r="N59" s="16"/>
      <c r="O59" s="15">
        <f t="shared" si="1"/>
        <v>23000</v>
      </c>
      <c r="P59" s="15">
        <f t="shared" si="2"/>
        <v>224840</v>
      </c>
      <c r="Q59" s="15">
        <f t="shared" si="5"/>
        <v>465160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926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6945000</v>
      </c>
      <c r="J62" s="16"/>
      <c r="K62" s="15"/>
      <c r="L62" s="15">
        <f t="shared" si="0"/>
        <v>18520</v>
      </c>
      <c r="M62" s="20"/>
      <c r="N62" s="20"/>
      <c r="O62" s="15">
        <f t="shared" si="1"/>
        <v>231500</v>
      </c>
      <c r="P62" s="15">
        <f t="shared" si="2"/>
        <v>250020</v>
      </c>
      <c r="Q62" s="15">
        <f t="shared" si="5"/>
        <v>6694980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315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2331000</v>
      </c>
      <c r="J66" s="20"/>
      <c r="K66" s="15">
        <v>600000</v>
      </c>
      <c r="L66" s="15">
        <f t="shared" si="0"/>
        <v>6300</v>
      </c>
      <c r="M66" s="20"/>
      <c r="N66" s="20"/>
      <c r="O66" s="15">
        <f t="shared" si="1"/>
        <v>78750</v>
      </c>
      <c r="P66" s="15">
        <f t="shared" si="2"/>
        <v>685050</v>
      </c>
      <c r="Q66" s="15">
        <f t="shared" si="5"/>
        <v>1645950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146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1095000</v>
      </c>
      <c r="J69" s="16"/>
      <c r="K69" s="15">
        <v>800000</v>
      </c>
      <c r="L69" s="15">
        <f t="shared" ref="L69:L132" si="6">D69*20</f>
        <v>2920</v>
      </c>
      <c r="M69" s="20"/>
      <c r="N69" s="20"/>
      <c r="O69" s="15">
        <f t="shared" ref="O69:O132" si="7">250*D69</f>
        <v>36500</v>
      </c>
      <c r="P69" s="15">
        <f t="shared" ref="P69:P132" si="8">SUM(J69:O69)</f>
        <v>839420</v>
      </c>
      <c r="Q69" s="15">
        <f t="shared" ref="Q69:Q132" si="9">I69-P69</f>
        <v>255580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52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379600</v>
      </c>
      <c r="J72" s="16"/>
      <c r="K72" s="15">
        <v>200000</v>
      </c>
      <c r="L72" s="15">
        <f t="shared" si="6"/>
        <v>1040</v>
      </c>
      <c r="M72" s="20"/>
      <c r="N72" s="20"/>
      <c r="O72" s="15">
        <f t="shared" si="7"/>
        <v>13000</v>
      </c>
      <c r="P72" s="15">
        <f t="shared" si="8"/>
        <v>214040</v>
      </c>
      <c r="Q72" s="15">
        <f t="shared" si="9"/>
        <v>165560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210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1554000</v>
      </c>
      <c r="J76" s="20"/>
      <c r="K76" s="15"/>
      <c r="L76" s="15">
        <f t="shared" si="6"/>
        <v>4200</v>
      </c>
      <c r="M76" s="20"/>
      <c r="N76" s="20"/>
      <c r="O76" s="15">
        <f t="shared" si="7"/>
        <v>52500</v>
      </c>
      <c r="P76" s="15">
        <f t="shared" si="8"/>
        <v>56700</v>
      </c>
      <c r="Q76" s="15">
        <f t="shared" si="9"/>
        <v>1497300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566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4245000</v>
      </c>
      <c r="J78" s="16"/>
      <c r="K78" s="15">
        <v>1600000</v>
      </c>
      <c r="L78" s="15">
        <f t="shared" si="6"/>
        <v>11320</v>
      </c>
      <c r="M78" s="20"/>
      <c r="N78" s="20"/>
      <c r="O78" s="15">
        <f t="shared" si="7"/>
        <v>141500</v>
      </c>
      <c r="P78" s="15">
        <f t="shared" si="8"/>
        <v>1752820</v>
      </c>
      <c r="Q78" s="15">
        <f t="shared" si="9"/>
        <v>2492180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131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982500</v>
      </c>
      <c r="J83" s="16"/>
      <c r="K83" s="15">
        <v>400000</v>
      </c>
      <c r="L83" s="15">
        <f t="shared" si="6"/>
        <v>2620</v>
      </c>
      <c r="M83" s="20"/>
      <c r="N83" s="20"/>
      <c r="O83" s="15">
        <f t="shared" si="7"/>
        <v>32750</v>
      </c>
      <c r="P83" s="15">
        <f t="shared" si="8"/>
        <v>435370</v>
      </c>
      <c r="Q83" s="15">
        <f t="shared" si="9"/>
        <v>547130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151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1102300</v>
      </c>
      <c r="J85" s="16"/>
      <c r="K85" s="15">
        <v>800000</v>
      </c>
      <c r="L85" s="15">
        <f t="shared" si="6"/>
        <v>3020</v>
      </c>
      <c r="M85" s="20"/>
      <c r="N85" s="20"/>
      <c r="O85" s="15">
        <f t="shared" si="7"/>
        <v>37750</v>
      </c>
      <c r="P85" s="15">
        <f t="shared" si="8"/>
        <v>840770</v>
      </c>
      <c r="Q85" s="15">
        <f t="shared" si="9"/>
        <v>261530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94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695600</v>
      </c>
      <c r="J92" s="16"/>
      <c r="K92" s="15"/>
      <c r="L92" s="15">
        <f t="shared" si="6"/>
        <v>1880</v>
      </c>
      <c r="M92" s="16"/>
      <c r="N92" s="16"/>
      <c r="O92" s="15">
        <f t="shared" si="7"/>
        <v>23500</v>
      </c>
      <c r="P92" s="15">
        <f t="shared" si="8"/>
        <v>25380</v>
      </c>
      <c r="Q92" s="15">
        <f t="shared" si="9"/>
        <v>670220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195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1443000</v>
      </c>
      <c r="J95" s="16"/>
      <c r="K95" s="15"/>
      <c r="L95" s="15">
        <f t="shared" si="6"/>
        <v>3900</v>
      </c>
      <c r="M95" s="20"/>
      <c r="N95" s="20"/>
      <c r="O95" s="15">
        <f t="shared" si="7"/>
        <v>48750</v>
      </c>
      <c r="P95" s="15">
        <f t="shared" si="8"/>
        <v>52650</v>
      </c>
      <c r="Q95" s="15">
        <f t="shared" si="9"/>
        <v>1390350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199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1412900</v>
      </c>
      <c r="J102" s="16"/>
      <c r="K102" s="15"/>
      <c r="L102" s="15">
        <f t="shared" si="6"/>
        <v>3980</v>
      </c>
      <c r="M102" s="20"/>
      <c r="N102" s="20"/>
      <c r="O102" s="15">
        <f t="shared" si="7"/>
        <v>49750</v>
      </c>
      <c r="P102" s="15">
        <f t="shared" si="8"/>
        <v>53730</v>
      </c>
      <c r="Q102" s="15">
        <f t="shared" si="9"/>
        <v>1359170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942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7065000</v>
      </c>
      <c r="J114" s="16"/>
      <c r="K114" s="15"/>
      <c r="L114" s="15">
        <f t="shared" si="6"/>
        <v>18840</v>
      </c>
      <c r="M114" s="16"/>
      <c r="N114" s="16"/>
      <c r="O114" s="15">
        <f t="shared" si="7"/>
        <v>235500</v>
      </c>
      <c r="P114" s="15">
        <f t="shared" si="8"/>
        <v>254340</v>
      </c>
      <c r="Q114" s="15">
        <f t="shared" si="9"/>
        <v>6810660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74</v>
      </c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547600</v>
      </c>
      <c r="J118" s="20"/>
      <c r="K118" s="15">
        <v>420000</v>
      </c>
      <c r="L118" s="15">
        <f t="shared" si="6"/>
        <v>1480</v>
      </c>
      <c r="M118" s="16"/>
      <c r="N118" s="16"/>
      <c r="O118" s="15">
        <f t="shared" si="7"/>
        <v>18500</v>
      </c>
      <c r="P118" s="15">
        <f t="shared" si="8"/>
        <v>439980</v>
      </c>
      <c r="Q118" s="15">
        <f t="shared" si="9"/>
        <v>107620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271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2005400</v>
      </c>
      <c r="J119" s="16"/>
      <c r="K119" s="15"/>
      <c r="L119" s="15">
        <f t="shared" si="6"/>
        <v>5420</v>
      </c>
      <c r="M119" s="16"/>
      <c r="N119" s="16"/>
      <c r="O119" s="15">
        <f t="shared" si="7"/>
        <v>67750</v>
      </c>
      <c r="P119" s="15">
        <f t="shared" si="8"/>
        <v>73170</v>
      </c>
      <c r="Q119" s="15">
        <f t="shared" si="9"/>
        <v>1932230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45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337500</v>
      </c>
      <c r="J120" s="16"/>
      <c r="K120" s="15">
        <v>200000</v>
      </c>
      <c r="L120" s="15">
        <f t="shared" si="6"/>
        <v>900</v>
      </c>
      <c r="M120" s="16"/>
      <c r="N120" s="16"/>
      <c r="O120" s="15">
        <f t="shared" si="7"/>
        <v>11250</v>
      </c>
      <c r="P120" s="15">
        <f t="shared" si="8"/>
        <v>212150</v>
      </c>
      <c r="Q120" s="15">
        <f t="shared" si="9"/>
        <v>125350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80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584000</v>
      </c>
      <c r="J123" s="20"/>
      <c r="K123" s="15">
        <v>200000</v>
      </c>
      <c r="L123" s="15">
        <f t="shared" si="6"/>
        <v>1600</v>
      </c>
      <c r="M123" s="20"/>
      <c r="N123" s="20"/>
      <c r="O123" s="15">
        <f t="shared" si="7"/>
        <v>20000</v>
      </c>
      <c r="P123" s="15">
        <f t="shared" si="8"/>
        <v>221600</v>
      </c>
      <c r="Q123" s="15">
        <f t="shared" si="9"/>
        <v>362400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85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620500</v>
      </c>
      <c r="J126" s="16"/>
      <c r="K126" s="15">
        <v>100000</v>
      </c>
      <c r="L126" s="15">
        <f t="shared" si="6"/>
        <v>1700</v>
      </c>
      <c r="M126" s="20"/>
      <c r="N126" s="20"/>
      <c r="O126" s="15">
        <f t="shared" si="7"/>
        <v>21250</v>
      </c>
      <c r="P126" s="15">
        <f t="shared" si="8"/>
        <v>122950</v>
      </c>
      <c r="Q126" s="15">
        <f t="shared" si="9"/>
        <v>497550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237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1753800</v>
      </c>
      <c r="J127" s="20"/>
      <c r="K127" s="15"/>
      <c r="L127" s="15">
        <f t="shared" si="6"/>
        <v>4740</v>
      </c>
      <c r="M127" s="16"/>
      <c r="N127" s="16"/>
      <c r="O127" s="15">
        <f t="shared" si="7"/>
        <v>59250</v>
      </c>
      <c r="P127" s="15">
        <f t="shared" si="8"/>
        <v>63990</v>
      </c>
      <c r="Q127" s="15">
        <f t="shared" si="9"/>
        <v>1689810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137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1027500</v>
      </c>
      <c r="J128" s="16"/>
      <c r="K128" s="15"/>
      <c r="L128" s="15">
        <f t="shared" si="6"/>
        <v>2740</v>
      </c>
      <c r="M128" s="16"/>
      <c r="N128" s="16"/>
      <c r="O128" s="15">
        <f t="shared" si="7"/>
        <v>34250</v>
      </c>
      <c r="P128" s="15">
        <f t="shared" si="8"/>
        <v>36990</v>
      </c>
      <c r="Q128" s="15">
        <f t="shared" si="9"/>
        <v>990510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37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277500</v>
      </c>
      <c r="J129" s="16"/>
      <c r="K129" s="23">
        <v>600000</v>
      </c>
      <c r="L129" s="15">
        <f t="shared" si="6"/>
        <v>740</v>
      </c>
      <c r="M129" s="16"/>
      <c r="N129" s="16"/>
      <c r="O129" s="15">
        <f t="shared" si="7"/>
        <v>9250</v>
      </c>
      <c r="P129" s="15">
        <f t="shared" si="8"/>
        <v>609990</v>
      </c>
      <c r="Q129" s="15">
        <f t="shared" si="9"/>
        <v>-332490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778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5757200</v>
      </c>
      <c r="J130" s="16"/>
      <c r="K130" s="15">
        <v>400000</v>
      </c>
      <c r="L130" s="15">
        <f t="shared" si="6"/>
        <v>15560</v>
      </c>
      <c r="M130" s="20"/>
      <c r="N130" s="20"/>
      <c r="O130" s="15">
        <f t="shared" si="7"/>
        <v>194500</v>
      </c>
      <c r="P130" s="15">
        <f t="shared" si="8"/>
        <v>610060</v>
      </c>
      <c r="Q130" s="15">
        <f t="shared" si="9"/>
        <v>5147140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194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1435600</v>
      </c>
      <c r="J133" s="16"/>
      <c r="K133" s="15"/>
      <c r="L133" s="15">
        <f t="shared" ref="L133:L196" si="12">D133*20</f>
        <v>3880</v>
      </c>
      <c r="M133" s="20"/>
      <c r="N133" s="20"/>
      <c r="O133" s="15">
        <f t="shared" ref="O133:O196" si="13">250*D133</f>
        <v>48500</v>
      </c>
      <c r="P133" s="15">
        <f t="shared" ref="P133:P196" si="14">SUM(J133:O133)</f>
        <v>52380</v>
      </c>
      <c r="Q133" s="15">
        <f t="shared" ref="Q133:Q196" si="15">I133-P133</f>
        <v>1383220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66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481800</v>
      </c>
      <c r="J134" s="20"/>
      <c r="K134" s="15"/>
      <c r="L134" s="15">
        <f t="shared" si="12"/>
        <v>1320</v>
      </c>
      <c r="M134" s="20"/>
      <c r="N134" s="20"/>
      <c r="O134" s="15">
        <f t="shared" si="13"/>
        <v>16500</v>
      </c>
      <c r="P134" s="15">
        <f t="shared" si="14"/>
        <v>17820</v>
      </c>
      <c r="Q134" s="15">
        <f t="shared" si="15"/>
        <v>463980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203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1502200</v>
      </c>
      <c r="J139" s="16"/>
      <c r="K139" s="15">
        <v>600000</v>
      </c>
      <c r="L139" s="15">
        <f t="shared" si="12"/>
        <v>4060</v>
      </c>
      <c r="M139" s="16"/>
      <c r="N139" s="16"/>
      <c r="O139" s="15">
        <f t="shared" si="13"/>
        <v>50750</v>
      </c>
      <c r="P139" s="15">
        <f t="shared" si="14"/>
        <v>654810</v>
      </c>
      <c r="Q139" s="15">
        <f t="shared" si="15"/>
        <v>847390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77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562100</v>
      </c>
      <c r="J145" s="16"/>
      <c r="K145" s="15"/>
      <c r="L145" s="15">
        <f t="shared" si="12"/>
        <v>1540</v>
      </c>
      <c r="M145" s="16"/>
      <c r="N145" s="16"/>
      <c r="O145" s="15">
        <f t="shared" si="13"/>
        <v>19250</v>
      </c>
      <c r="P145" s="15">
        <f t="shared" si="14"/>
        <v>20790</v>
      </c>
      <c r="Q145" s="15">
        <f t="shared" si="15"/>
        <v>541310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105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766500</v>
      </c>
      <c r="J146" s="16"/>
      <c r="K146" s="15"/>
      <c r="L146" s="15">
        <f t="shared" si="12"/>
        <v>2100</v>
      </c>
      <c r="M146" s="16"/>
      <c r="N146" s="16"/>
      <c r="O146" s="15">
        <f t="shared" si="13"/>
        <v>26250</v>
      </c>
      <c r="P146" s="15">
        <f t="shared" si="14"/>
        <v>28350</v>
      </c>
      <c r="Q146" s="15">
        <f t="shared" si="15"/>
        <v>738150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250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1875000</v>
      </c>
      <c r="J149" s="16"/>
      <c r="K149" s="15"/>
      <c r="L149" s="15">
        <f t="shared" si="12"/>
        <v>5000</v>
      </c>
      <c r="M149" s="16"/>
      <c r="N149" s="16"/>
      <c r="O149" s="15">
        <f t="shared" si="13"/>
        <v>62500</v>
      </c>
      <c r="P149" s="15">
        <f t="shared" si="14"/>
        <v>67500</v>
      </c>
      <c r="Q149" s="15">
        <f t="shared" si="15"/>
        <v>1807500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111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810300</v>
      </c>
      <c r="J156" s="16"/>
      <c r="K156" s="15">
        <v>400000</v>
      </c>
      <c r="L156" s="15">
        <f t="shared" si="12"/>
        <v>2220</v>
      </c>
      <c r="M156" s="20"/>
      <c r="N156" s="20"/>
      <c r="O156" s="15">
        <f t="shared" si="13"/>
        <v>27750</v>
      </c>
      <c r="P156" s="15">
        <f t="shared" si="14"/>
        <v>429970</v>
      </c>
      <c r="Q156" s="15">
        <f t="shared" si="15"/>
        <v>380330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84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621600</v>
      </c>
      <c r="J157" s="20"/>
      <c r="K157" s="15"/>
      <c r="L157" s="15">
        <f t="shared" si="12"/>
        <v>1680</v>
      </c>
      <c r="M157" s="16"/>
      <c r="N157" s="16"/>
      <c r="O157" s="15">
        <f t="shared" si="13"/>
        <v>21000</v>
      </c>
      <c r="P157" s="15">
        <f t="shared" si="14"/>
        <v>22680</v>
      </c>
      <c r="Q157" s="15">
        <f t="shared" si="15"/>
        <v>598920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199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1472600</v>
      </c>
      <c r="J165" s="16"/>
      <c r="K165" s="15">
        <v>400000</v>
      </c>
      <c r="L165" s="15">
        <f t="shared" si="12"/>
        <v>3980</v>
      </c>
      <c r="M165" s="20"/>
      <c r="N165" s="20"/>
      <c r="O165" s="15">
        <f t="shared" si="13"/>
        <v>49750</v>
      </c>
      <c r="P165" s="15">
        <f t="shared" si="14"/>
        <v>453730</v>
      </c>
      <c r="Q165" s="15">
        <f t="shared" si="15"/>
        <v>1018870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38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281200</v>
      </c>
      <c r="J169" s="16"/>
      <c r="K169" s="15">
        <v>800000</v>
      </c>
      <c r="L169" s="15">
        <f t="shared" si="12"/>
        <v>760</v>
      </c>
      <c r="M169" s="16"/>
      <c r="N169" s="16"/>
      <c r="O169" s="15">
        <f t="shared" si="13"/>
        <v>9500</v>
      </c>
      <c r="P169" s="15">
        <f t="shared" si="14"/>
        <v>810260</v>
      </c>
      <c r="Q169" s="15">
        <f t="shared" si="15"/>
        <v>-529060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289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2167500</v>
      </c>
      <c r="J175" s="16"/>
      <c r="K175" s="15">
        <v>200000</v>
      </c>
      <c r="L175" s="15">
        <f t="shared" si="12"/>
        <v>5780</v>
      </c>
      <c r="M175" s="16"/>
      <c r="N175" s="16"/>
      <c r="O175" s="15">
        <f t="shared" si="13"/>
        <v>72250</v>
      </c>
      <c r="P175" s="15">
        <f t="shared" si="14"/>
        <v>278030</v>
      </c>
      <c r="Q175" s="15">
        <f t="shared" si="15"/>
        <v>1889470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51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382500</v>
      </c>
      <c r="J182" s="16"/>
      <c r="K182" s="15"/>
      <c r="L182" s="15">
        <f t="shared" si="12"/>
        <v>1020</v>
      </c>
      <c r="M182" s="20"/>
      <c r="N182" s="20"/>
      <c r="O182" s="15">
        <f t="shared" si="13"/>
        <v>12750</v>
      </c>
      <c r="P182" s="15">
        <f t="shared" si="14"/>
        <v>13770</v>
      </c>
      <c r="Q182" s="15">
        <f t="shared" si="15"/>
        <v>368730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205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1537500</v>
      </c>
      <c r="J185" s="16"/>
      <c r="K185" s="15">
        <v>400000</v>
      </c>
      <c r="L185" s="15">
        <f t="shared" si="12"/>
        <v>4100</v>
      </c>
      <c r="M185" s="20"/>
      <c r="N185" s="20"/>
      <c r="O185" s="15">
        <f t="shared" si="13"/>
        <v>51250</v>
      </c>
      <c r="P185" s="15">
        <f t="shared" si="14"/>
        <v>455350</v>
      </c>
      <c r="Q185" s="15">
        <f t="shared" si="15"/>
        <v>1082150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161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1159200</v>
      </c>
      <c r="J187" s="16"/>
      <c r="K187" s="15">
        <v>400000</v>
      </c>
      <c r="L187" s="15">
        <f t="shared" si="12"/>
        <v>3220</v>
      </c>
      <c r="M187" s="20"/>
      <c r="N187" s="20"/>
      <c r="O187" s="15">
        <f t="shared" si="13"/>
        <v>40250</v>
      </c>
      <c r="P187" s="15">
        <f t="shared" si="14"/>
        <v>443470</v>
      </c>
      <c r="Q187" s="15">
        <f t="shared" si="15"/>
        <v>715730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193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1370300</v>
      </c>
      <c r="J189" s="20"/>
      <c r="K189" s="15"/>
      <c r="L189" s="15">
        <f t="shared" si="12"/>
        <v>3860</v>
      </c>
      <c r="M189" s="20"/>
      <c r="N189" s="20"/>
      <c r="O189" s="15">
        <f t="shared" si="13"/>
        <v>48250</v>
      </c>
      <c r="P189" s="15">
        <f t="shared" si="14"/>
        <v>52110</v>
      </c>
      <c r="Q189" s="15">
        <f t="shared" si="15"/>
        <v>1318190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182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1346800</v>
      </c>
      <c r="J193" s="16"/>
      <c r="K193" s="15"/>
      <c r="L193" s="15">
        <f t="shared" si="12"/>
        <v>3640</v>
      </c>
      <c r="M193" s="16"/>
      <c r="N193" s="16"/>
      <c r="O193" s="15">
        <f t="shared" si="13"/>
        <v>45500</v>
      </c>
      <c r="P193" s="15">
        <f t="shared" si="14"/>
        <v>49140</v>
      </c>
      <c r="Q193" s="15">
        <f t="shared" si="15"/>
        <v>1297660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12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87600</v>
      </c>
      <c r="J200" s="16"/>
      <c r="K200" s="15"/>
      <c r="L200" s="15">
        <f t="shared" si="18"/>
        <v>240</v>
      </c>
      <c r="M200" s="16"/>
      <c r="N200" s="16"/>
      <c r="O200" s="15">
        <f t="shared" si="19"/>
        <v>3000</v>
      </c>
      <c r="P200" s="15">
        <f t="shared" si="20"/>
        <v>3240</v>
      </c>
      <c r="Q200" s="15">
        <f t="shared" si="21"/>
        <v>84360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67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502500</v>
      </c>
      <c r="J203" s="16"/>
      <c r="K203" s="15">
        <v>400000</v>
      </c>
      <c r="L203" s="15">
        <f t="shared" si="18"/>
        <v>1340</v>
      </c>
      <c r="M203" s="20"/>
      <c r="N203" s="20"/>
      <c r="O203" s="15">
        <f t="shared" si="19"/>
        <v>16750</v>
      </c>
      <c r="P203" s="15">
        <f t="shared" si="20"/>
        <v>418090</v>
      </c>
      <c r="Q203" s="15">
        <f t="shared" si="21"/>
        <v>84410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150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1125000</v>
      </c>
      <c r="J211" s="16"/>
      <c r="K211" s="15">
        <v>200000</v>
      </c>
      <c r="L211" s="15">
        <f t="shared" si="18"/>
        <v>3000</v>
      </c>
      <c r="M211" s="16"/>
      <c r="N211" s="16"/>
      <c r="O211" s="15">
        <f t="shared" si="19"/>
        <v>37500</v>
      </c>
      <c r="P211" s="15">
        <f t="shared" si="20"/>
        <v>240500</v>
      </c>
      <c r="Q211" s="15">
        <f t="shared" si="21"/>
        <v>884500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154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1155000</v>
      </c>
      <c r="J220" s="16"/>
      <c r="K220" s="15">
        <v>200000</v>
      </c>
      <c r="L220" s="15">
        <f t="shared" si="18"/>
        <v>3080</v>
      </c>
      <c r="M220" s="16"/>
      <c r="N220" s="16"/>
      <c r="O220" s="15">
        <f t="shared" si="19"/>
        <v>38500</v>
      </c>
      <c r="P220" s="15">
        <f t="shared" si="20"/>
        <v>241580</v>
      </c>
      <c r="Q220" s="15">
        <f t="shared" si="21"/>
        <v>913420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/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0</v>
      </c>
      <c r="J222" s="16"/>
      <c r="K222" s="15">
        <v>200000</v>
      </c>
      <c r="L222" s="15">
        <f t="shared" si="18"/>
        <v>0</v>
      </c>
      <c r="M222" s="16"/>
      <c r="N222" s="16"/>
      <c r="O222" s="15">
        <f t="shared" si="19"/>
        <v>0</v>
      </c>
      <c r="P222" s="15">
        <f t="shared" si="20"/>
        <v>200000</v>
      </c>
      <c r="Q222" s="15">
        <f t="shared" si="21"/>
        <v>-200000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59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442500</v>
      </c>
      <c r="J225" s="16"/>
      <c r="K225" s="15">
        <v>400000</v>
      </c>
      <c r="L225" s="15">
        <f t="shared" si="18"/>
        <v>1180</v>
      </c>
      <c r="M225" s="20"/>
      <c r="N225" s="20"/>
      <c r="O225" s="15">
        <f t="shared" si="19"/>
        <v>14750</v>
      </c>
      <c r="P225" s="15">
        <f t="shared" si="20"/>
        <v>415930</v>
      </c>
      <c r="Q225" s="15">
        <f t="shared" si="21"/>
        <v>26570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154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1139600</v>
      </c>
      <c r="J228" s="16"/>
      <c r="K228" s="15">
        <v>400000</v>
      </c>
      <c r="L228" s="15">
        <f t="shared" si="18"/>
        <v>3080</v>
      </c>
      <c r="M228" s="20"/>
      <c r="N228" s="20"/>
      <c r="O228" s="15">
        <f t="shared" si="19"/>
        <v>38500</v>
      </c>
      <c r="P228" s="15">
        <f t="shared" si="20"/>
        <v>441580</v>
      </c>
      <c r="Q228" s="15">
        <f t="shared" si="21"/>
        <v>698020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360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2700000</v>
      </c>
      <c r="J231" s="16"/>
      <c r="K231" s="15">
        <v>600000</v>
      </c>
      <c r="L231" s="15">
        <f t="shared" si="18"/>
        <v>7200</v>
      </c>
      <c r="M231" s="16"/>
      <c r="N231" s="16"/>
      <c r="O231" s="15">
        <f t="shared" si="19"/>
        <v>90000</v>
      </c>
      <c r="P231" s="15">
        <f t="shared" si="20"/>
        <v>697200</v>
      </c>
      <c r="Q231" s="15">
        <f t="shared" si="21"/>
        <v>2002800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138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979800</v>
      </c>
      <c r="J237" s="16"/>
      <c r="K237" s="15">
        <v>400000</v>
      </c>
      <c r="L237" s="15">
        <f t="shared" si="18"/>
        <v>2760</v>
      </c>
      <c r="M237" s="20"/>
      <c r="N237" s="20"/>
      <c r="O237" s="15">
        <f t="shared" si="19"/>
        <v>34500</v>
      </c>
      <c r="P237" s="15">
        <f t="shared" si="20"/>
        <v>437260</v>
      </c>
      <c r="Q237" s="15">
        <f t="shared" si="21"/>
        <v>542540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95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693500</v>
      </c>
      <c r="J238" s="20"/>
      <c r="K238" s="15">
        <v>400000</v>
      </c>
      <c r="L238" s="15">
        <f t="shared" si="18"/>
        <v>1900</v>
      </c>
      <c r="M238" s="20"/>
      <c r="N238" s="20"/>
      <c r="O238" s="15">
        <f t="shared" si="19"/>
        <v>23750</v>
      </c>
      <c r="P238" s="15">
        <f t="shared" si="20"/>
        <v>425650</v>
      </c>
      <c r="Q238" s="15">
        <f t="shared" si="21"/>
        <v>267850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256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1920000</v>
      </c>
      <c r="J246" s="16"/>
      <c r="K246" s="15">
        <v>600000</v>
      </c>
      <c r="L246" s="15">
        <f t="shared" si="18"/>
        <v>5120</v>
      </c>
      <c r="M246" s="16"/>
      <c r="N246" s="16"/>
      <c r="O246" s="15">
        <f t="shared" si="19"/>
        <v>64000</v>
      </c>
      <c r="P246" s="15">
        <f t="shared" si="20"/>
        <v>669120</v>
      </c>
      <c r="Q246" s="15">
        <f t="shared" si="21"/>
        <v>1250880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168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1243200</v>
      </c>
      <c r="J247" s="16"/>
      <c r="K247" s="15">
        <v>400000</v>
      </c>
      <c r="L247" s="15">
        <f t="shared" si="18"/>
        <v>3360</v>
      </c>
      <c r="M247" s="20"/>
      <c r="N247" s="20"/>
      <c r="O247" s="15">
        <f t="shared" si="19"/>
        <v>42000</v>
      </c>
      <c r="P247" s="15">
        <f t="shared" si="20"/>
        <v>445360</v>
      </c>
      <c r="Q247" s="15">
        <f t="shared" si="21"/>
        <v>797840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165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1221000</v>
      </c>
      <c r="J253" s="20"/>
      <c r="K253" s="15">
        <v>400000</v>
      </c>
      <c r="L253" s="15">
        <f t="shared" si="18"/>
        <v>3300</v>
      </c>
      <c r="M253" s="20"/>
      <c r="N253" s="20"/>
      <c r="O253" s="15">
        <f t="shared" si="19"/>
        <v>41250</v>
      </c>
      <c r="P253" s="15">
        <f t="shared" si="20"/>
        <v>444550</v>
      </c>
      <c r="Q253" s="15">
        <f t="shared" si="21"/>
        <v>776450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171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1282500</v>
      </c>
      <c r="J261" s="16"/>
      <c r="K261" s="15">
        <v>200000</v>
      </c>
      <c r="L261" s="15">
        <f t="shared" ref="L261:L324" si="24">D261*20</f>
        <v>3420</v>
      </c>
      <c r="M261" s="16"/>
      <c r="N261" s="16"/>
      <c r="O261" s="15">
        <f t="shared" ref="O261:O324" si="25">250*D261</f>
        <v>42750</v>
      </c>
      <c r="P261" s="15">
        <f t="shared" ref="P261:P324" si="26">SUM(J261:O261)</f>
        <v>246170</v>
      </c>
      <c r="Q261" s="15">
        <f t="shared" ref="Q261:Q324" si="27">I261-P261</f>
        <v>1036330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216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1620000</v>
      </c>
      <c r="J267" s="20"/>
      <c r="K267" s="15"/>
      <c r="L267" s="15">
        <f t="shared" si="24"/>
        <v>4320</v>
      </c>
      <c r="M267" s="16"/>
      <c r="N267" s="16"/>
      <c r="O267" s="15">
        <f t="shared" si="25"/>
        <v>54000</v>
      </c>
      <c r="P267" s="15">
        <f t="shared" si="26"/>
        <v>58320</v>
      </c>
      <c r="Q267" s="15">
        <f t="shared" si="27"/>
        <v>1561680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88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660000</v>
      </c>
      <c r="J270" s="20"/>
      <c r="K270" s="15"/>
      <c r="L270" s="15">
        <f t="shared" si="24"/>
        <v>1760</v>
      </c>
      <c r="M270" s="16"/>
      <c r="N270" s="16"/>
      <c r="O270" s="15">
        <f t="shared" si="25"/>
        <v>22000</v>
      </c>
      <c r="P270" s="15">
        <f t="shared" si="26"/>
        <v>23760</v>
      </c>
      <c r="Q270" s="15">
        <f t="shared" si="27"/>
        <v>636240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171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1282500</v>
      </c>
      <c r="J275" s="16"/>
      <c r="K275" s="15"/>
      <c r="L275" s="15">
        <f t="shared" si="24"/>
        <v>3420</v>
      </c>
      <c r="M275" s="16"/>
      <c r="N275" s="16"/>
      <c r="O275" s="15">
        <f t="shared" si="25"/>
        <v>42750</v>
      </c>
      <c r="P275" s="15">
        <f t="shared" si="26"/>
        <v>46170</v>
      </c>
      <c r="Q275" s="15">
        <f t="shared" si="27"/>
        <v>1236330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648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4860000</v>
      </c>
      <c r="J282" s="16"/>
      <c r="K282" s="15"/>
      <c r="L282" s="15">
        <f t="shared" si="24"/>
        <v>12960</v>
      </c>
      <c r="M282" s="16"/>
      <c r="N282" s="16"/>
      <c r="O282" s="15">
        <f t="shared" si="25"/>
        <v>162000</v>
      </c>
      <c r="P282" s="15">
        <f t="shared" si="26"/>
        <v>174960</v>
      </c>
      <c r="Q282" s="15">
        <f t="shared" si="27"/>
        <v>4685040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148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1095200</v>
      </c>
      <c r="J286" s="16"/>
      <c r="K286" s="15">
        <v>200000</v>
      </c>
      <c r="L286" s="15">
        <f t="shared" si="24"/>
        <v>2960</v>
      </c>
      <c r="M286" s="20"/>
      <c r="N286" s="20"/>
      <c r="O286" s="15">
        <f t="shared" si="25"/>
        <v>37000</v>
      </c>
      <c r="P286" s="15">
        <f t="shared" si="26"/>
        <v>239960</v>
      </c>
      <c r="Q286" s="15">
        <f t="shared" si="27"/>
        <v>855240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468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3510000</v>
      </c>
      <c r="J287" s="20"/>
      <c r="K287" s="15"/>
      <c r="L287" s="15">
        <f t="shared" si="24"/>
        <v>9360</v>
      </c>
      <c r="M287" s="16"/>
      <c r="N287" s="16"/>
      <c r="O287" s="15">
        <f t="shared" si="25"/>
        <v>117000</v>
      </c>
      <c r="P287" s="15">
        <f t="shared" si="26"/>
        <v>126360</v>
      </c>
      <c r="Q287" s="15">
        <f t="shared" si="27"/>
        <v>3383640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192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1401600</v>
      </c>
      <c r="J290" s="16"/>
      <c r="K290" s="15">
        <v>400000</v>
      </c>
      <c r="L290" s="15">
        <f t="shared" si="24"/>
        <v>3840</v>
      </c>
      <c r="M290" s="16"/>
      <c r="N290" s="16"/>
      <c r="O290" s="15">
        <f t="shared" si="25"/>
        <v>48000</v>
      </c>
      <c r="P290" s="15">
        <f t="shared" si="26"/>
        <v>451840</v>
      </c>
      <c r="Q290" s="15">
        <f t="shared" si="27"/>
        <v>949760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333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2464200</v>
      </c>
      <c r="J291" s="20"/>
      <c r="K291" s="15">
        <v>600000</v>
      </c>
      <c r="L291" s="15">
        <f t="shared" si="24"/>
        <v>6660</v>
      </c>
      <c r="M291" s="16"/>
      <c r="N291" s="16"/>
      <c r="O291" s="15">
        <f t="shared" si="25"/>
        <v>83250</v>
      </c>
      <c r="P291" s="15">
        <f t="shared" si="26"/>
        <v>689910</v>
      </c>
      <c r="Q291" s="15">
        <f t="shared" si="27"/>
        <v>1774290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189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1417500</v>
      </c>
      <c r="J294" s="16"/>
      <c r="K294" s="15">
        <v>600000</v>
      </c>
      <c r="L294" s="15">
        <f t="shared" si="24"/>
        <v>3780</v>
      </c>
      <c r="M294" s="20"/>
      <c r="N294" s="20"/>
      <c r="O294" s="15">
        <f t="shared" si="25"/>
        <v>47250</v>
      </c>
      <c r="P294" s="15">
        <f t="shared" si="26"/>
        <v>651030</v>
      </c>
      <c r="Q294" s="15">
        <f t="shared" si="27"/>
        <v>766470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93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688200</v>
      </c>
      <c r="J295" s="16"/>
      <c r="K295" s="15"/>
      <c r="L295" s="15">
        <f t="shared" si="24"/>
        <v>1860</v>
      </c>
      <c r="M295" s="16"/>
      <c r="N295" s="16"/>
      <c r="O295" s="15">
        <f t="shared" si="25"/>
        <v>23250</v>
      </c>
      <c r="P295" s="15">
        <f t="shared" si="26"/>
        <v>25110</v>
      </c>
      <c r="Q295" s="15">
        <f t="shared" si="27"/>
        <v>663090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230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1725000</v>
      </c>
      <c r="J296" s="20"/>
      <c r="K296" s="15">
        <v>400000</v>
      </c>
      <c r="L296" s="15">
        <f t="shared" si="24"/>
        <v>4600</v>
      </c>
      <c r="M296" s="20"/>
      <c r="N296" s="20"/>
      <c r="O296" s="15">
        <f t="shared" si="25"/>
        <v>57500</v>
      </c>
      <c r="P296" s="15">
        <f t="shared" si="26"/>
        <v>462100</v>
      </c>
      <c r="Q296" s="15">
        <f t="shared" si="27"/>
        <v>1262900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828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6127200</v>
      </c>
      <c r="J298" s="20"/>
      <c r="K298" s="15"/>
      <c r="L298" s="15">
        <f t="shared" si="24"/>
        <v>16560</v>
      </c>
      <c r="M298" s="20"/>
      <c r="N298" s="20"/>
      <c r="O298" s="15">
        <f t="shared" si="25"/>
        <v>207000</v>
      </c>
      <c r="P298" s="15">
        <f t="shared" si="26"/>
        <v>223560</v>
      </c>
      <c r="Q298" s="15">
        <f t="shared" si="27"/>
        <v>5903640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394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2955000</v>
      </c>
      <c r="J315" s="16"/>
      <c r="K315" s="15"/>
      <c r="L315" s="15">
        <f t="shared" si="24"/>
        <v>7880</v>
      </c>
      <c r="M315" s="20"/>
      <c r="N315" s="20"/>
      <c r="O315" s="15">
        <f t="shared" si="25"/>
        <v>98500</v>
      </c>
      <c r="P315" s="15">
        <f t="shared" si="26"/>
        <v>106380</v>
      </c>
      <c r="Q315" s="15">
        <f t="shared" si="27"/>
        <v>2848620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301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2197300</v>
      </c>
      <c r="J316" s="16"/>
      <c r="K316" s="15">
        <v>400000</v>
      </c>
      <c r="L316" s="15">
        <f t="shared" si="24"/>
        <v>6020</v>
      </c>
      <c r="M316" s="16"/>
      <c r="N316" s="16"/>
      <c r="O316" s="15">
        <f t="shared" si="25"/>
        <v>75250</v>
      </c>
      <c r="P316" s="15">
        <f t="shared" si="26"/>
        <v>481270</v>
      </c>
      <c r="Q316" s="15">
        <f t="shared" si="27"/>
        <v>1716030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37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270100</v>
      </c>
      <c r="J319" s="20"/>
      <c r="K319" s="15"/>
      <c r="L319" s="15">
        <f t="shared" si="24"/>
        <v>740</v>
      </c>
      <c r="M319" s="20"/>
      <c r="N319" s="20"/>
      <c r="O319" s="15">
        <f t="shared" si="25"/>
        <v>9250</v>
      </c>
      <c r="P319" s="15">
        <f t="shared" si="26"/>
        <v>9990</v>
      </c>
      <c r="Q319" s="15">
        <f t="shared" si="27"/>
        <v>260110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134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1005000</v>
      </c>
      <c r="J321" s="20"/>
      <c r="K321" s="15">
        <v>200000</v>
      </c>
      <c r="L321" s="15">
        <f t="shared" si="24"/>
        <v>2680</v>
      </c>
      <c r="M321" s="16"/>
      <c r="N321" s="16"/>
      <c r="O321" s="15">
        <f t="shared" si="25"/>
        <v>33500</v>
      </c>
      <c r="P321" s="15">
        <f t="shared" si="26"/>
        <v>236180</v>
      </c>
      <c r="Q321" s="15">
        <f t="shared" si="27"/>
        <v>768820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301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2197300</v>
      </c>
      <c r="J325" s="20"/>
      <c r="K325" s="15">
        <v>800000</v>
      </c>
      <c r="L325" s="15">
        <f t="shared" ref="L325:L388" si="30">D325*20</f>
        <v>6020</v>
      </c>
      <c r="M325" s="16"/>
      <c r="N325" s="16"/>
      <c r="O325" s="15">
        <f t="shared" ref="O325:O388" si="31">250*D325</f>
        <v>75250</v>
      </c>
      <c r="P325" s="15">
        <f t="shared" ref="P325:P388" si="32">SUM(J325:O325)</f>
        <v>881270</v>
      </c>
      <c r="Q325" s="15">
        <f t="shared" ref="Q325:Q388" si="33">I325-P325</f>
        <v>1316030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83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597600</v>
      </c>
      <c r="J328" s="16"/>
      <c r="K328" s="15"/>
      <c r="L328" s="15">
        <f t="shared" si="30"/>
        <v>1660</v>
      </c>
      <c r="M328" s="20"/>
      <c r="N328" s="20"/>
      <c r="O328" s="15">
        <f t="shared" si="31"/>
        <v>20750</v>
      </c>
      <c r="P328" s="15">
        <f t="shared" si="32"/>
        <v>22410</v>
      </c>
      <c r="Q328" s="15">
        <f t="shared" si="33"/>
        <v>575190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76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547200</v>
      </c>
      <c r="J335" s="16"/>
      <c r="K335" s="15"/>
      <c r="L335" s="15">
        <f t="shared" si="30"/>
        <v>1520</v>
      </c>
      <c r="M335" s="16"/>
      <c r="N335" s="16"/>
      <c r="O335" s="15">
        <f t="shared" si="31"/>
        <v>19000</v>
      </c>
      <c r="P335" s="15">
        <f t="shared" si="32"/>
        <v>20520</v>
      </c>
      <c r="Q335" s="15">
        <f t="shared" si="33"/>
        <v>526680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69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517500</v>
      </c>
      <c r="J339" s="16"/>
      <c r="K339" s="15">
        <v>600000</v>
      </c>
      <c r="L339" s="15">
        <f t="shared" si="30"/>
        <v>1380</v>
      </c>
      <c r="M339" s="20"/>
      <c r="N339" s="20"/>
      <c r="O339" s="15">
        <f t="shared" si="31"/>
        <v>17250</v>
      </c>
      <c r="P339" s="15">
        <f t="shared" si="32"/>
        <v>618630</v>
      </c>
      <c r="Q339" s="15">
        <f t="shared" si="33"/>
        <v>-101130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256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1894400</v>
      </c>
      <c r="J344" s="20"/>
      <c r="K344" s="15"/>
      <c r="L344" s="15">
        <f t="shared" si="30"/>
        <v>5120</v>
      </c>
      <c r="M344" s="16"/>
      <c r="N344" s="16"/>
      <c r="O344" s="15">
        <f t="shared" si="31"/>
        <v>64000</v>
      </c>
      <c r="P344" s="15">
        <f t="shared" si="32"/>
        <v>69120</v>
      </c>
      <c r="Q344" s="15">
        <f t="shared" si="33"/>
        <v>1825280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101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757500</v>
      </c>
      <c r="J350" s="16">
        <v>100000</v>
      </c>
      <c r="K350" s="15">
        <v>200000</v>
      </c>
      <c r="L350" s="15">
        <f t="shared" si="30"/>
        <v>2020</v>
      </c>
      <c r="M350" s="16"/>
      <c r="N350" s="16"/>
      <c r="O350" s="15">
        <f t="shared" si="31"/>
        <v>25250</v>
      </c>
      <c r="P350" s="15">
        <f t="shared" si="32"/>
        <v>327270</v>
      </c>
      <c r="Q350" s="15">
        <f t="shared" si="33"/>
        <v>430230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203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1522500</v>
      </c>
      <c r="J353" s="20"/>
      <c r="K353" s="15"/>
      <c r="L353" s="15">
        <f t="shared" si="30"/>
        <v>4060</v>
      </c>
      <c r="M353" s="20"/>
      <c r="N353" s="20"/>
      <c r="O353" s="15">
        <f t="shared" si="31"/>
        <v>50750</v>
      </c>
      <c r="P353" s="15">
        <f t="shared" si="32"/>
        <v>54810</v>
      </c>
      <c r="Q353" s="15">
        <f t="shared" si="33"/>
        <v>1467690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58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435000</v>
      </c>
      <c r="J365" s="16"/>
      <c r="K365" s="15"/>
      <c r="L365" s="15">
        <f t="shared" si="30"/>
        <v>1160</v>
      </c>
      <c r="M365" s="20"/>
      <c r="N365" s="20"/>
      <c r="O365" s="15">
        <f t="shared" si="31"/>
        <v>14500</v>
      </c>
      <c r="P365" s="15">
        <f t="shared" si="32"/>
        <v>15660</v>
      </c>
      <c r="Q365" s="15">
        <f t="shared" si="33"/>
        <v>419340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55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407000</v>
      </c>
      <c r="J368" s="16"/>
      <c r="K368" s="15"/>
      <c r="L368" s="15">
        <f t="shared" si="30"/>
        <v>1100</v>
      </c>
      <c r="M368" s="16"/>
      <c r="N368" s="16"/>
      <c r="O368" s="15">
        <f t="shared" si="31"/>
        <v>13750</v>
      </c>
      <c r="P368" s="15">
        <f t="shared" si="32"/>
        <v>14850</v>
      </c>
      <c r="Q368" s="15">
        <f t="shared" si="33"/>
        <v>392150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29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211700</v>
      </c>
      <c r="J373" s="16"/>
      <c r="K373" s="15">
        <v>200000</v>
      </c>
      <c r="L373" s="15">
        <f t="shared" si="30"/>
        <v>580</v>
      </c>
      <c r="M373" s="16"/>
      <c r="N373" s="16"/>
      <c r="O373" s="15">
        <f t="shared" si="31"/>
        <v>7250</v>
      </c>
      <c r="P373" s="15">
        <f t="shared" si="32"/>
        <v>207830</v>
      </c>
      <c r="Q373" s="15">
        <f t="shared" si="33"/>
        <v>3870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75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547500</v>
      </c>
      <c r="J378" s="16"/>
      <c r="K378" s="15"/>
      <c r="L378" s="15">
        <f t="shared" si="30"/>
        <v>1500</v>
      </c>
      <c r="M378" s="16"/>
      <c r="N378" s="16"/>
      <c r="O378" s="15">
        <f t="shared" si="31"/>
        <v>18750</v>
      </c>
      <c r="P378" s="15">
        <f t="shared" si="32"/>
        <v>20250</v>
      </c>
      <c r="Q378" s="15">
        <f t="shared" si="33"/>
        <v>527250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f t="shared" si="34"/>
        <v>7200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183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1372500</v>
      </c>
      <c r="J387" s="16"/>
      <c r="K387" s="15">
        <v>400000</v>
      </c>
      <c r="L387" s="15">
        <f t="shared" si="30"/>
        <v>3660</v>
      </c>
      <c r="M387" s="16"/>
      <c r="N387" s="16"/>
      <c r="O387" s="15">
        <f t="shared" si="31"/>
        <v>45750</v>
      </c>
      <c r="P387" s="15">
        <f t="shared" si="32"/>
        <v>449410</v>
      </c>
      <c r="Q387" s="15">
        <f t="shared" si="33"/>
        <v>923090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102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754800</v>
      </c>
      <c r="J392" s="16"/>
      <c r="K392" s="15">
        <v>600000</v>
      </c>
      <c r="L392" s="15">
        <f t="shared" si="36"/>
        <v>2040</v>
      </c>
      <c r="M392" s="16"/>
      <c r="N392" s="16"/>
      <c r="O392" s="15">
        <f t="shared" si="37"/>
        <v>25500</v>
      </c>
      <c r="P392" s="15">
        <f t="shared" si="38"/>
        <v>627540</v>
      </c>
      <c r="Q392" s="15">
        <f t="shared" si="39"/>
        <v>127260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65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487500</v>
      </c>
      <c r="J394" s="16"/>
      <c r="K394" s="15">
        <v>200000</v>
      </c>
      <c r="L394" s="15">
        <f t="shared" si="36"/>
        <v>1300</v>
      </c>
      <c r="M394" s="16"/>
      <c r="N394" s="16"/>
      <c r="O394" s="15">
        <f t="shared" si="37"/>
        <v>16250</v>
      </c>
      <c r="P394" s="15">
        <f t="shared" si="38"/>
        <v>217550</v>
      </c>
      <c r="Q394" s="15">
        <f t="shared" si="39"/>
        <v>269950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169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1250600</v>
      </c>
      <c r="J395" s="16">
        <v>200000</v>
      </c>
      <c r="K395" s="15">
        <v>400000</v>
      </c>
      <c r="L395" s="15">
        <f t="shared" si="36"/>
        <v>3380</v>
      </c>
      <c r="M395" s="16"/>
      <c r="N395" s="16"/>
      <c r="O395" s="15">
        <f t="shared" si="37"/>
        <v>42250</v>
      </c>
      <c r="P395" s="15">
        <f t="shared" si="38"/>
        <v>645630</v>
      </c>
      <c r="Q395" s="15">
        <f t="shared" si="39"/>
        <v>604970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84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621600</v>
      </c>
      <c r="J396" s="16"/>
      <c r="K396" s="15"/>
      <c r="L396" s="15">
        <f t="shared" si="36"/>
        <v>1680</v>
      </c>
      <c r="M396" s="16"/>
      <c r="N396" s="16"/>
      <c r="O396" s="15">
        <f t="shared" si="37"/>
        <v>21000</v>
      </c>
      <c r="P396" s="15">
        <f t="shared" si="38"/>
        <v>22680</v>
      </c>
      <c r="Q396" s="15">
        <f t="shared" si="39"/>
        <v>598920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109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773900</v>
      </c>
      <c r="J398" s="16"/>
      <c r="K398" s="15"/>
      <c r="L398" s="15">
        <f t="shared" si="36"/>
        <v>2180</v>
      </c>
      <c r="M398" s="16"/>
      <c r="N398" s="16"/>
      <c r="O398" s="15">
        <f t="shared" si="37"/>
        <v>27250</v>
      </c>
      <c r="P398" s="15">
        <f t="shared" si="38"/>
        <v>29430</v>
      </c>
      <c r="Q398" s="15">
        <f t="shared" si="39"/>
        <v>744470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98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735000</v>
      </c>
      <c r="J400" s="16"/>
      <c r="K400" s="15"/>
      <c r="L400" s="15">
        <f t="shared" si="36"/>
        <v>1960</v>
      </c>
      <c r="M400" s="16"/>
      <c r="N400" s="16"/>
      <c r="O400" s="15">
        <f t="shared" si="37"/>
        <v>24500</v>
      </c>
      <c r="P400" s="15">
        <f t="shared" si="38"/>
        <v>26460</v>
      </c>
      <c r="Q400" s="15">
        <f t="shared" si="39"/>
        <v>708540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239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1792500</v>
      </c>
      <c r="J405" s="16"/>
      <c r="K405" s="15">
        <v>600000</v>
      </c>
      <c r="L405" s="15">
        <f t="shared" si="36"/>
        <v>4780</v>
      </c>
      <c r="M405" s="16"/>
      <c r="N405" s="16"/>
      <c r="O405" s="15">
        <f t="shared" si="37"/>
        <v>59750</v>
      </c>
      <c r="P405" s="15">
        <f t="shared" si="38"/>
        <v>664530</v>
      </c>
      <c r="Q405" s="15">
        <f t="shared" si="39"/>
        <v>1127970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138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1007400</v>
      </c>
      <c r="J406" s="16"/>
      <c r="K406" s="15"/>
      <c r="L406" s="15">
        <f t="shared" si="36"/>
        <v>2760</v>
      </c>
      <c r="M406" s="16"/>
      <c r="N406" s="16"/>
      <c r="O406" s="15">
        <f t="shared" si="37"/>
        <v>34500</v>
      </c>
      <c r="P406" s="15">
        <f t="shared" si="38"/>
        <v>37260</v>
      </c>
      <c r="Q406" s="15">
        <f t="shared" si="39"/>
        <v>970140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207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1511100</v>
      </c>
      <c r="J409" s="16"/>
      <c r="K409" s="15">
        <v>200000</v>
      </c>
      <c r="L409" s="15">
        <f t="shared" si="36"/>
        <v>4140</v>
      </c>
      <c r="M409" s="16"/>
      <c r="N409" s="16"/>
      <c r="O409" s="15">
        <f t="shared" si="37"/>
        <v>51750</v>
      </c>
      <c r="P409" s="15">
        <f t="shared" si="38"/>
        <v>255890</v>
      </c>
      <c r="Q409" s="15">
        <f t="shared" si="39"/>
        <v>1255210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238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1761200</v>
      </c>
      <c r="J410" s="16"/>
      <c r="K410" s="15">
        <v>1000000</v>
      </c>
      <c r="L410" s="15">
        <f t="shared" si="36"/>
        <v>4760</v>
      </c>
      <c r="M410" s="16"/>
      <c r="N410" s="16"/>
      <c r="O410" s="15">
        <f t="shared" si="37"/>
        <v>59500</v>
      </c>
      <c r="P410" s="15">
        <f t="shared" si="38"/>
        <v>1064260</v>
      </c>
      <c r="Q410" s="15">
        <f t="shared" si="39"/>
        <v>696940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351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2562300</v>
      </c>
      <c r="J419" s="20"/>
      <c r="K419" s="20"/>
      <c r="L419" s="15">
        <f t="shared" si="36"/>
        <v>7020</v>
      </c>
      <c r="M419" s="16"/>
      <c r="N419" s="16"/>
      <c r="O419" s="15">
        <f t="shared" si="37"/>
        <v>87750</v>
      </c>
      <c r="P419" s="15">
        <f t="shared" si="38"/>
        <v>94770</v>
      </c>
      <c r="Q419" s="15">
        <f t="shared" si="39"/>
        <v>2467530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89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658600</v>
      </c>
      <c r="J421" s="16"/>
      <c r="K421" s="15"/>
      <c r="L421" s="15">
        <f t="shared" si="36"/>
        <v>1780</v>
      </c>
      <c r="M421" s="16"/>
      <c r="N421" s="16"/>
      <c r="O421" s="15">
        <f t="shared" si="37"/>
        <v>22250</v>
      </c>
      <c r="P421" s="15">
        <f t="shared" si="38"/>
        <v>24030</v>
      </c>
      <c r="Q421" s="15">
        <f t="shared" si="39"/>
        <v>634570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430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3139000</v>
      </c>
      <c r="J425" s="16"/>
      <c r="K425" s="15"/>
      <c r="L425" s="15">
        <f t="shared" si="36"/>
        <v>8600</v>
      </c>
      <c r="M425" s="16"/>
      <c r="N425" s="16"/>
      <c r="O425" s="15">
        <f t="shared" si="37"/>
        <v>107500</v>
      </c>
      <c r="P425" s="15">
        <f t="shared" si="38"/>
        <v>116100</v>
      </c>
      <c r="Q425" s="15">
        <f t="shared" si="39"/>
        <v>3022900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368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2686400</v>
      </c>
      <c r="J427" s="16"/>
      <c r="K427" s="15"/>
      <c r="L427" s="15">
        <f t="shared" si="36"/>
        <v>7360</v>
      </c>
      <c r="M427" s="16"/>
      <c r="N427" s="16"/>
      <c r="O427" s="15">
        <f t="shared" si="37"/>
        <v>92000</v>
      </c>
      <c r="P427" s="15">
        <f t="shared" si="38"/>
        <v>99360</v>
      </c>
      <c r="Q427" s="15">
        <f t="shared" si="39"/>
        <v>2587040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6500</v>
      </c>
      <c r="F433" s="15">
        <v>300</v>
      </c>
      <c r="G433" s="15">
        <v>400</v>
      </c>
      <c r="H433" s="15">
        <f t="shared" si="40"/>
        <v>7200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158</v>
      </c>
      <c r="E434" s="15">
        <v>6500</v>
      </c>
      <c r="F434" s="15">
        <v>200</v>
      </c>
      <c r="G434" s="15">
        <v>400</v>
      </c>
      <c r="H434" s="15">
        <f t="shared" si="40"/>
        <v>7100</v>
      </c>
      <c r="I434" s="15">
        <f t="shared" si="41"/>
        <v>1121800</v>
      </c>
      <c r="J434" s="16"/>
      <c r="K434" s="15">
        <v>400000</v>
      </c>
      <c r="L434" s="15">
        <f t="shared" si="36"/>
        <v>3160</v>
      </c>
      <c r="M434" s="16"/>
      <c r="N434" s="16"/>
      <c r="O434" s="15">
        <f t="shared" si="37"/>
        <v>39500</v>
      </c>
      <c r="P434" s="15">
        <f t="shared" si="38"/>
        <v>442660</v>
      </c>
      <c r="Q434" s="15">
        <f t="shared" si="39"/>
        <v>679140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304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2158400</v>
      </c>
      <c r="J437" s="16"/>
      <c r="K437" s="15">
        <v>100000</v>
      </c>
      <c r="L437" s="15">
        <f t="shared" si="36"/>
        <v>6080</v>
      </c>
      <c r="M437" s="16"/>
      <c r="N437" s="16"/>
      <c r="O437" s="15">
        <f t="shared" si="37"/>
        <v>76000</v>
      </c>
      <c r="P437" s="15">
        <f t="shared" si="38"/>
        <v>182080</v>
      </c>
      <c r="Q437" s="15">
        <f t="shared" si="39"/>
        <v>1976320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107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802500</v>
      </c>
      <c r="J444" s="16">
        <v>200000</v>
      </c>
      <c r="K444" s="15">
        <v>400000</v>
      </c>
      <c r="L444" s="15">
        <f t="shared" si="36"/>
        <v>2140</v>
      </c>
      <c r="M444" s="16"/>
      <c r="N444" s="16"/>
      <c r="O444" s="15">
        <f t="shared" si="37"/>
        <v>26750</v>
      </c>
      <c r="P444" s="15">
        <f t="shared" si="38"/>
        <v>628890</v>
      </c>
      <c r="Q444" s="15">
        <f t="shared" si="39"/>
        <v>173610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110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814000</v>
      </c>
      <c r="J447" s="16"/>
      <c r="K447" s="15"/>
      <c r="L447" s="15">
        <f t="shared" si="36"/>
        <v>2200</v>
      </c>
      <c r="M447" s="16"/>
      <c r="N447" s="16"/>
      <c r="O447" s="15">
        <f t="shared" si="37"/>
        <v>27500</v>
      </c>
      <c r="P447" s="15">
        <f t="shared" si="38"/>
        <v>29700</v>
      </c>
      <c r="Q447" s="15">
        <f t="shared" si="39"/>
        <v>784300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316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2370000</v>
      </c>
      <c r="J449" s="16"/>
      <c r="K449" s="15">
        <v>200000</v>
      </c>
      <c r="L449" s="15">
        <f t="shared" si="36"/>
        <v>6320</v>
      </c>
      <c r="M449" s="16"/>
      <c r="N449" s="16"/>
      <c r="O449" s="15">
        <f t="shared" si="37"/>
        <v>79000</v>
      </c>
      <c r="P449" s="15">
        <f t="shared" si="38"/>
        <v>285320</v>
      </c>
      <c r="Q449" s="15">
        <f t="shared" si="39"/>
        <v>2084680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109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806600</v>
      </c>
      <c r="J451" s="16"/>
      <c r="K451" s="15">
        <v>400000</v>
      </c>
      <c r="L451" s="15">
        <f t="shared" si="36"/>
        <v>2180</v>
      </c>
      <c r="M451" s="16"/>
      <c r="N451" s="16"/>
      <c r="O451" s="15">
        <f t="shared" si="37"/>
        <v>27250</v>
      </c>
      <c r="P451" s="15">
        <f t="shared" si="38"/>
        <v>429430</v>
      </c>
      <c r="Q451" s="15">
        <f t="shared" si="39"/>
        <v>377170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/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146</v>
      </c>
      <c r="E454" s="15">
        <v>6500</v>
      </c>
      <c r="F454" s="15">
        <v>400</v>
      </c>
      <c r="G454" s="15">
        <v>400</v>
      </c>
      <c r="H454" s="15">
        <f t="shared" ref="H454:H473" si="46">SUM(E454:G454)</f>
        <v>7300</v>
      </c>
      <c r="I454" s="15">
        <f t="shared" ref="I454:I478" si="47">H454*D454</f>
        <v>1065800</v>
      </c>
      <c r="J454" s="16"/>
      <c r="K454" s="15"/>
      <c r="L454" s="15">
        <f t="shared" si="42"/>
        <v>2920</v>
      </c>
      <c r="M454" s="16"/>
      <c r="N454" s="16"/>
      <c r="O454" s="15">
        <f t="shared" si="43"/>
        <v>36500</v>
      </c>
      <c r="P454" s="15">
        <f t="shared" si="44"/>
        <v>39420</v>
      </c>
      <c r="Q454" s="15">
        <f t="shared" si="45"/>
        <v>1026380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46"/>
        <v>7300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46"/>
        <v>7200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90</v>
      </c>
      <c r="E457" s="15">
        <v>6500</v>
      </c>
      <c r="F457" s="15">
        <v>500</v>
      </c>
      <c r="G457" s="15">
        <v>400</v>
      </c>
      <c r="H457" s="15">
        <f t="shared" si="46"/>
        <v>7400</v>
      </c>
      <c r="I457" s="15">
        <f t="shared" si="47"/>
        <v>666000</v>
      </c>
      <c r="J457" s="16"/>
      <c r="K457" s="15"/>
      <c r="L457" s="15">
        <f t="shared" si="42"/>
        <v>1800</v>
      </c>
      <c r="M457" s="16"/>
      <c r="N457" s="16"/>
      <c r="O457" s="15">
        <f t="shared" si="43"/>
        <v>22500</v>
      </c>
      <c r="P457" s="15">
        <f t="shared" si="44"/>
        <v>24300</v>
      </c>
      <c r="Q457" s="15">
        <f t="shared" si="45"/>
        <v>641700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46"/>
        <v>7200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121</v>
      </c>
      <c r="E459" s="15">
        <v>6500</v>
      </c>
      <c r="F459" s="15">
        <v>600</v>
      </c>
      <c r="G459" s="15">
        <v>400</v>
      </c>
      <c r="H459" s="15">
        <f t="shared" si="46"/>
        <v>7500</v>
      </c>
      <c r="I459" s="15">
        <f t="shared" si="47"/>
        <v>907500</v>
      </c>
      <c r="J459" s="16"/>
      <c r="K459" s="15">
        <v>200000</v>
      </c>
      <c r="L459" s="15">
        <f t="shared" si="42"/>
        <v>2420</v>
      </c>
      <c r="M459" s="16"/>
      <c r="N459" s="16"/>
      <c r="O459" s="15">
        <f t="shared" si="43"/>
        <v>30250</v>
      </c>
      <c r="P459" s="15">
        <f t="shared" si="44"/>
        <v>232670</v>
      </c>
      <c r="Q459" s="15">
        <f t="shared" si="45"/>
        <v>674830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271</v>
      </c>
      <c r="E460" s="15">
        <v>6500</v>
      </c>
      <c r="F460" s="15">
        <v>600</v>
      </c>
      <c r="G460" s="15">
        <v>400</v>
      </c>
      <c r="H460" s="15">
        <f t="shared" si="46"/>
        <v>7500</v>
      </c>
      <c r="I460" s="15">
        <f t="shared" si="47"/>
        <v>2032500</v>
      </c>
      <c r="J460" s="16"/>
      <c r="K460" s="15"/>
      <c r="L460" s="15">
        <f t="shared" si="42"/>
        <v>5420</v>
      </c>
      <c r="M460" s="16"/>
      <c r="N460" s="16"/>
      <c r="O460" s="15">
        <f t="shared" si="43"/>
        <v>67750</v>
      </c>
      <c r="P460" s="15">
        <f t="shared" si="44"/>
        <v>73170</v>
      </c>
      <c r="Q460" s="15">
        <f t="shared" si="45"/>
        <v>1959330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68</v>
      </c>
      <c r="E461" s="15">
        <v>6500</v>
      </c>
      <c r="F461" s="15">
        <v>400</v>
      </c>
      <c r="G461" s="15">
        <v>400</v>
      </c>
      <c r="H461" s="15">
        <f t="shared" si="46"/>
        <v>7300</v>
      </c>
      <c r="I461" s="15">
        <f t="shared" si="47"/>
        <v>496400</v>
      </c>
      <c r="J461" s="16"/>
      <c r="K461" s="15">
        <v>200000</v>
      </c>
      <c r="L461" s="15">
        <f t="shared" si="42"/>
        <v>1360</v>
      </c>
      <c r="M461" s="16"/>
      <c r="N461" s="16"/>
      <c r="O461" s="15">
        <f t="shared" si="43"/>
        <v>17000</v>
      </c>
      <c r="P461" s="15">
        <f t="shared" si="44"/>
        <v>218360</v>
      </c>
      <c r="Q461" s="15">
        <f t="shared" si="45"/>
        <v>278040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214</v>
      </c>
      <c r="E462" s="15">
        <v>6500</v>
      </c>
      <c r="F462" s="15">
        <v>200</v>
      </c>
      <c r="G462" s="15">
        <v>400</v>
      </c>
      <c r="H462" s="15">
        <f t="shared" si="46"/>
        <v>7100</v>
      </c>
      <c r="I462" s="15">
        <f t="shared" si="47"/>
        <v>1519400</v>
      </c>
      <c r="J462" s="16"/>
      <c r="K462" s="15">
        <v>400000</v>
      </c>
      <c r="L462" s="15">
        <f t="shared" si="42"/>
        <v>4280</v>
      </c>
      <c r="M462" s="16"/>
      <c r="N462" s="16"/>
      <c r="O462" s="15">
        <f t="shared" si="43"/>
        <v>53500</v>
      </c>
      <c r="P462" s="15">
        <f t="shared" si="44"/>
        <v>457780</v>
      </c>
      <c r="Q462" s="15">
        <f t="shared" si="45"/>
        <v>1061620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92</v>
      </c>
      <c r="E463" s="15">
        <v>6500</v>
      </c>
      <c r="F463" s="15">
        <v>500</v>
      </c>
      <c r="G463" s="15">
        <v>400</v>
      </c>
      <c r="H463" s="15">
        <f t="shared" si="46"/>
        <v>7400</v>
      </c>
      <c r="I463" s="15">
        <f t="shared" si="47"/>
        <v>680800</v>
      </c>
      <c r="J463" s="16"/>
      <c r="K463" s="15">
        <v>200000</v>
      </c>
      <c r="L463" s="15">
        <f t="shared" si="42"/>
        <v>1840</v>
      </c>
      <c r="M463" s="16"/>
      <c r="N463" s="16"/>
      <c r="O463" s="15">
        <f t="shared" si="43"/>
        <v>23000</v>
      </c>
      <c r="P463" s="15">
        <f t="shared" si="44"/>
        <v>224840</v>
      </c>
      <c r="Q463" s="15">
        <f t="shared" si="45"/>
        <v>455960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95</v>
      </c>
      <c r="E464" s="15">
        <v>6500</v>
      </c>
      <c r="F464" s="15">
        <v>200</v>
      </c>
      <c r="G464" s="15">
        <v>400</v>
      </c>
      <c r="H464" s="15">
        <f t="shared" si="46"/>
        <v>7100</v>
      </c>
      <c r="I464" s="15">
        <f t="shared" si="47"/>
        <v>674500</v>
      </c>
      <c r="J464" s="16"/>
      <c r="K464" s="15"/>
      <c r="L464" s="15">
        <f t="shared" si="42"/>
        <v>1900</v>
      </c>
      <c r="M464" s="16"/>
      <c r="N464" s="16"/>
      <c r="O464" s="15">
        <f t="shared" si="43"/>
        <v>23750</v>
      </c>
      <c r="P464" s="15">
        <f t="shared" si="44"/>
        <v>25650</v>
      </c>
      <c r="Q464" s="15">
        <f t="shared" si="45"/>
        <v>648850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86</v>
      </c>
      <c r="E465" s="15">
        <v>6500</v>
      </c>
      <c r="F465" s="15">
        <v>400</v>
      </c>
      <c r="G465" s="15">
        <v>400</v>
      </c>
      <c r="H465" s="15">
        <f t="shared" si="46"/>
        <v>7300</v>
      </c>
      <c r="I465" s="15">
        <f t="shared" si="47"/>
        <v>627800</v>
      </c>
      <c r="J465" s="16"/>
      <c r="K465" s="15">
        <v>200000</v>
      </c>
      <c r="L465" s="15">
        <f t="shared" si="42"/>
        <v>1720</v>
      </c>
      <c r="M465" s="16"/>
      <c r="N465" s="16"/>
      <c r="O465" s="15">
        <f t="shared" si="43"/>
        <v>21500</v>
      </c>
      <c r="P465" s="15">
        <f t="shared" si="44"/>
        <v>223220</v>
      </c>
      <c r="Q465" s="15">
        <f t="shared" si="45"/>
        <v>404580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95</v>
      </c>
      <c r="E466" s="15">
        <v>6500</v>
      </c>
      <c r="F466" s="15">
        <v>500</v>
      </c>
      <c r="G466" s="15">
        <v>400</v>
      </c>
      <c r="H466" s="15">
        <f t="shared" si="46"/>
        <v>7400</v>
      </c>
      <c r="I466" s="15">
        <f t="shared" si="47"/>
        <v>703000</v>
      </c>
      <c r="J466" s="16"/>
      <c r="K466" s="15"/>
      <c r="L466" s="15">
        <f t="shared" si="42"/>
        <v>1900</v>
      </c>
      <c r="M466" s="16"/>
      <c r="N466" s="16"/>
      <c r="O466" s="15">
        <f t="shared" si="43"/>
        <v>23750</v>
      </c>
      <c r="P466" s="15">
        <f t="shared" si="44"/>
        <v>25650</v>
      </c>
      <c r="Q466" s="15">
        <f t="shared" si="45"/>
        <v>677350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46"/>
        <v>7300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46"/>
        <v>7300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46"/>
        <v>7300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46"/>
        <v>7400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23</v>
      </c>
      <c r="E471" s="15">
        <v>6500</v>
      </c>
      <c r="F471" s="15">
        <v>300</v>
      </c>
      <c r="G471" s="15">
        <v>400</v>
      </c>
      <c r="H471" s="15">
        <f t="shared" si="46"/>
        <v>7200</v>
      </c>
      <c r="I471" s="15">
        <f t="shared" si="47"/>
        <v>165600</v>
      </c>
      <c r="J471" s="16"/>
      <c r="K471" s="15"/>
      <c r="L471" s="15">
        <f t="shared" si="42"/>
        <v>460</v>
      </c>
      <c r="M471" s="16"/>
      <c r="N471" s="16"/>
      <c r="O471" s="15">
        <f t="shared" si="43"/>
        <v>5750</v>
      </c>
      <c r="P471" s="15">
        <f t="shared" si="44"/>
        <v>6210</v>
      </c>
      <c r="Q471" s="15">
        <f t="shared" si="45"/>
        <v>159390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46"/>
        <v>7300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46"/>
        <v>7300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91</v>
      </c>
      <c r="E474" s="15">
        <v>6500</v>
      </c>
      <c r="F474" s="15">
        <v>500</v>
      </c>
      <c r="G474" s="15">
        <v>400</v>
      </c>
      <c r="H474" s="15">
        <f t="shared" ref="H474" si="48">SUM(E474:G474)</f>
        <v>7400</v>
      </c>
      <c r="I474" s="15">
        <f t="shared" si="47"/>
        <v>673400</v>
      </c>
      <c r="J474" s="16"/>
      <c r="K474" s="15"/>
      <c r="L474" s="15">
        <f t="shared" si="42"/>
        <v>1820</v>
      </c>
      <c r="M474" s="16"/>
      <c r="N474" s="16"/>
      <c r="O474" s="15">
        <f>250*D474</f>
        <v>22750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1071</v>
      </c>
      <c r="E475" s="15">
        <v>6500</v>
      </c>
      <c r="F475" s="15">
        <v>600</v>
      </c>
      <c r="G475" s="15">
        <v>400</v>
      </c>
      <c r="H475" s="15">
        <f t="shared" ref="H475:H478" si="49">SUM(E475:G475)</f>
        <v>7500</v>
      </c>
      <c r="I475" s="15">
        <f t="shared" si="47"/>
        <v>8032500</v>
      </c>
      <c r="J475" s="16"/>
      <c r="K475" s="15"/>
      <c r="L475" s="15">
        <f t="shared" si="42"/>
        <v>21420</v>
      </c>
      <c r="M475" s="16"/>
      <c r="N475" s="16"/>
      <c r="O475" s="15">
        <f t="shared" ref="O475:O478" si="50">250*D475</f>
        <v>267750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>
        <v>37</v>
      </c>
      <c r="E476" s="15">
        <v>6500</v>
      </c>
      <c r="F476" s="15">
        <v>400</v>
      </c>
      <c r="G476" s="15">
        <v>400</v>
      </c>
      <c r="H476" s="15">
        <f t="shared" si="49"/>
        <v>7300</v>
      </c>
      <c r="I476" s="15">
        <f t="shared" si="47"/>
        <v>270100</v>
      </c>
      <c r="J476" s="16"/>
      <c r="K476" s="15"/>
      <c r="L476" s="15">
        <f t="shared" si="42"/>
        <v>740</v>
      </c>
      <c r="M476" s="16"/>
      <c r="N476" s="16"/>
      <c r="O476" s="15">
        <f t="shared" si="50"/>
        <v>9250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292</v>
      </c>
      <c r="E477" s="15">
        <v>6500</v>
      </c>
      <c r="F477" s="15">
        <v>400</v>
      </c>
      <c r="G477" s="15">
        <v>400</v>
      </c>
      <c r="H477" s="15">
        <f t="shared" si="49"/>
        <v>7300</v>
      </c>
      <c r="I477" s="15">
        <f t="shared" si="47"/>
        <v>2131600</v>
      </c>
      <c r="J477" s="16"/>
      <c r="K477" s="15"/>
      <c r="L477" s="15">
        <f t="shared" si="42"/>
        <v>5840</v>
      </c>
      <c r="M477" s="16"/>
      <c r="N477" s="16"/>
      <c r="O477" s="15">
        <f t="shared" si="50"/>
        <v>73000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268</v>
      </c>
      <c r="E478" s="15">
        <v>6500</v>
      </c>
      <c r="F478" s="15">
        <v>600</v>
      </c>
      <c r="G478" s="15">
        <v>400</v>
      </c>
      <c r="H478" s="15">
        <f t="shared" si="49"/>
        <v>7500</v>
      </c>
      <c r="I478" s="15">
        <f t="shared" si="47"/>
        <v>2010000</v>
      </c>
      <c r="J478" s="16"/>
      <c r="K478" s="15"/>
      <c r="L478" s="15">
        <f t="shared" si="42"/>
        <v>5360</v>
      </c>
      <c r="M478" s="16"/>
      <c r="N478" s="16"/>
      <c r="O478" s="15">
        <f t="shared" si="50"/>
        <v>67000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1">SUM(D4:D478)</f>
        <v>27107</v>
      </c>
      <c r="E479" s="20">
        <f>SUM(E4:E478)</f>
        <v>3087500</v>
      </c>
      <c r="F479" s="20">
        <f t="shared" si="51"/>
        <v>178900</v>
      </c>
      <c r="G479" s="20">
        <f t="shared" si="51"/>
        <v>190000</v>
      </c>
      <c r="H479" s="20">
        <f t="shared" si="51"/>
        <v>3456400</v>
      </c>
      <c r="I479" s="20">
        <f>SUM(I4:I478)</f>
        <v>200623800</v>
      </c>
      <c r="J479" s="20">
        <f t="shared" si="51"/>
        <v>600000</v>
      </c>
      <c r="K479" s="20">
        <f t="shared" si="51"/>
        <v>36176000</v>
      </c>
      <c r="L479" s="20">
        <f t="shared" si="51"/>
        <v>542140</v>
      </c>
      <c r="M479" s="20">
        <f t="shared" si="51"/>
        <v>0</v>
      </c>
      <c r="N479" s="20">
        <f t="shared" si="51"/>
        <v>0</v>
      </c>
      <c r="O479" s="20">
        <f t="shared" si="51"/>
        <v>6776750</v>
      </c>
      <c r="P479" s="20">
        <f t="shared" si="51"/>
        <v>43619960</v>
      </c>
      <c r="Q479" s="20">
        <f t="shared" si="51"/>
        <v>143886240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01 S / D 10 MEI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426</v>
      </c>
      <c r="F493" s="8" t="s">
        <v>427</v>
      </c>
      <c r="G493" s="8" t="s">
        <v>428</v>
      </c>
      <c r="H493" s="8" t="s">
        <v>429</v>
      </c>
      <c r="I493" s="8" t="s">
        <v>430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425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165</v>
      </c>
      <c r="E495" s="16">
        <v>7300</v>
      </c>
      <c r="F495" s="16"/>
      <c r="G495" s="16"/>
      <c r="H495" s="15">
        <f t="shared" ref="H495:H502" si="52">SUM(E495:G495)</f>
        <v>7300</v>
      </c>
      <c r="I495" s="15">
        <f t="shared" ref="I495:I502" si="53">D495*H495</f>
        <v>1204500</v>
      </c>
      <c r="J495" s="20"/>
      <c r="K495" s="15"/>
      <c r="L495" s="15"/>
      <c r="M495" s="20"/>
      <c r="N495" s="20"/>
      <c r="O495" s="22"/>
      <c r="P495" s="15">
        <f t="shared" ref="P495:P502" si="54">SUM(J495:O495)</f>
        <v>0</v>
      </c>
      <c r="Q495" s="15">
        <f t="shared" ref="Q495:Q502" si="55">I495-P495</f>
        <v>1204500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2"/>
        <v>7300</v>
      </c>
      <c r="I496" s="15">
        <f t="shared" si="53"/>
        <v>65700</v>
      </c>
      <c r="J496" s="20"/>
      <c r="K496" s="15"/>
      <c r="L496" s="15"/>
      <c r="M496" s="20"/>
      <c r="N496" s="20"/>
      <c r="O496" s="22"/>
      <c r="P496" s="15">
        <f t="shared" si="54"/>
        <v>0</v>
      </c>
      <c r="Q496" s="15">
        <f t="shared" si="55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70</v>
      </c>
      <c r="E497" s="16">
        <v>7300</v>
      </c>
      <c r="F497" s="16"/>
      <c r="G497" s="16"/>
      <c r="H497" s="15">
        <f t="shared" si="52"/>
        <v>7300</v>
      </c>
      <c r="I497" s="15">
        <f t="shared" si="53"/>
        <v>511000</v>
      </c>
      <c r="J497" s="20"/>
      <c r="K497" s="15"/>
      <c r="L497" s="15"/>
      <c r="M497" s="20"/>
      <c r="N497" s="20"/>
      <c r="O497" s="22"/>
      <c r="P497" s="15">
        <f t="shared" si="54"/>
        <v>0</v>
      </c>
      <c r="Q497" s="15">
        <f t="shared" si="55"/>
        <v>511000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260</v>
      </c>
      <c r="E498" s="16">
        <v>7300</v>
      </c>
      <c r="F498" s="16"/>
      <c r="G498" s="16"/>
      <c r="H498" s="15">
        <f t="shared" si="52"/>
        <v>7300</v>
      </c>
      <c r="I498" s="15">
        <f t="shared" si="53"/>
        <v>1898000</v>
      </c>
      <c r="J498" s="20"/>
      <c r="K498" s="15"/>
      <c r="L498" s="15"/>
      <c r="M498" s="20"/>
      <c r="N498" s="20"/>
      <c r="O498" s="22"/>
      <c r="P498" s="15">
        <f t="shared" si="54"/>
        <v>0</v>
      </c>
      <c r="Q498" s="15">
        <f t="shared" si="55"/>
        <v>1898000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190</v>
      </c>
      <c r="E499" s="16">
        <v>7300</v>
      </c>
      <c r="F499" s="16"/>
      <c r="G499" s="16"/>
      <c r="H499" s="15">
        <f t="shared" si="52"/>
        <v>7300</v>
      </c>
      <c r="I499" s="15">
        <f t="shared" si="53"/>
        <v>1387000</v>
      </c>
      <c r="J499" s="20"/>
      <c r="K499" s="15"/>
      <c r="L499" s="15"/>
      <c r="M499" s="20"/>
      <c r="N499" s="20"/>
      <c r="O499" s="22"/>
      <c r="P499" s="15">
        <f t="shared" si="54"/>
        <v>0</v>
      </c>
      <c r="Q499" s="15">
        <f t="shared" si="55"/>
        <v>1387000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2"/>
        <v>7300</v>
      </c>
      <c r="I500" s="15">
        <f t="shared" si="53"/>
        <v>511000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2"/>
        <v>7300</v>
      </c>
      <c r="I501" s="15">
        <f t="shared" si="53"/>
        <v>146000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2"/>
        <v>7300</v>
      </c>
      <c r="I502" s="15">
        <f t="shared" si="53"/>
        <v>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56">H503-P503</f>
        <v>0</v>
      </c>
      <c r="R503" s="36"/>
    </row>
    <row r="504" spans="1:18" ht="16.5" x14ac:dyDescent="0.25">
      <c r="A504" s="44"/>
      <c r="B504" s="70" t="s">
        <v>393</v>
      </c>
      <c r="C504" s="71"/>
      <c r="D504" s="22">
        <f>SUM(D494:D503)</f>
        <v>844</v>
      </c>
      <c r="E504" s="22">
        <f t="shared" ref="E504:Q504" si="57">SUM(E494:E503)</f>
        <v>65700</v>
      </c>
      <c r="F504" s="22">
        <f t="shared" si="57"/>
        <v>0</v>
      </c>
      <c r="G504" s="22">
        <f t="shared" si="57"/>
        <v>0</v>
      </c>
      <c r="H504" s="22">
        <f t="shared" si="57"/>
        <v>65700</v>
      </c>
      <c r="I504" s="22">
        <f t="shared" si="57"/>
        <v>6161200</v>
      </c>
      <c r="J504" s="22">
        <f t="shared" si="57"/>
        <v>0</v>
      </c>
      <c r="K504" s="22">
        <f t="shared" si="57"/>
        <v>0</v>
      </c>
      <c r="L504" s="22">
        <f t="shared" si="57"/>
        <v>0</v>
      </c>
      <c r="M504" s="22">
        <f t="shared" si="57"/>
        <v>0</v>
      </c>
      <c r="N504" s="22">
        <f t="shared" si="57"/>
        <v>0</v>
      </c>
      <c r="O504" s="22">
        <f t="shared" si="57"/>
        <v>0</v>
      </c>
      <c r="P504" s="22">
        <f t="shared" si="57"/>
        <v>0</v>
      </c>
      <c r="Q504" s="22">
        <f t="shared" si="57"/>
        <v>6161200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01 S / D 10 MEI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427</v>
      </c>
      <c r="G515" s="55" t="s">
        <v>428</v>
      </c>
      <c r="H515" s="55" t="s">
        <v>429</v>
      </c>
      <c r="I515" s="55" t="s">
        <v>432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476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442</v>
      </c>
      <c r="C517" s="60" t="s">
        <v>443</v>
      </c>
      <c r="D517" s="61"/>
      <c r="E517" s="16">
        <v>8000</v>
      </c>
      <c r="F517" s="16"/>
      <c r="G517" s="16"/>
      <c r="H517" s="15">
        <f t="shared" ref="H517:H524" si="58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59">SUM(J517:O517)</f>
        <v>0</v>
      </c>
      <c r="Q517" s="15">
        <f t="shared" ref="Q517:Q524" si="60">I517-P517</f>
        <v>0</v>
      </c>
      <c r="R517" s="59"/>
    </row>
    <row r="518" spans="1:18" ht="16.5" x14ac:dyDescent="0.3">
      <c r="A518" s="56"/>
      <c r="B518" s="57" t="s">
        <v>395</v>
      </c>
      <c r="C518" s="58" t="s">
        <v>470</v>
      </c>
      <c r="D518" s="62">
        <v>120</v>
      </c>
      <c r="E518" s="16">
        <v>8000</v>
      </c>
      <c r="F518" s="16"/>
      <c r="G518" s="16"/>
      <c r="H518" s="15">
        <f t="shared" si="58"/>
        <v>8000</v>
      </c>
      <c r="I518" s="15">
        <f t="shared" ref="I518:I524" si="61">D518*H518</f>
        <v>960000</v>
      </c>
      <c r="J518" s="15"/>
      <c r="K518" s="15"/>
      <c r="L518" s="15"/>
      <c r="M518" s="15"/>
      <c r="N518" s="15"/>
      <c r="O518" s="15"/>
      <c r="P518" s="15">
        <f t="shared" si="59"/>
        <v>0</v>
      </c>
      <c r="Q518" s="15">
        <f t="shared" si="60"/>
        <v>960000</v>
      </c>
      <c r="R518" s="59"/>
    </row>
    <row r="519" spans="1:18" ht="16.5" x14ac:dyDescent="0.3">
      <c r="A519" s="56"/>
      <c r="B519" s="57" t="s">
        <v>468</v>
      </c>
      <c r="C519" s="58" t="s">
        <v>414</v>
      </c>
      <c r="D519" s="61">
        <v>630</v>
      </c>
      <c r="E519" s="16">
        <v>7400</v>
      </c>
      <c r="F519" s="16"/>
      <c r="G519" s="16"/>
      <c r="H519" s="15">
        <f t="shared" si="58"/>
        <v>7400</v>
      </c>
      <c r="I519" s="15">
        <f t="shared" si="61"/>
        <v>4662000</v>
      </c>
      <c r="J519" s="15"/>
      <c r="K519" s="15"/>
      <c r="L519" s="15"/>
      <c r="M519" s="15"/>
      <c r="N519" s="15"/>
      <c r="O519" s="15"/>
      <c r="P519" s="15">
        <f t="shared" si="59"/>
        <v>0</v>
      </c>
      <c r="Q519" s="15">
        <f t="shared" si="60"/>
        <v>4662000</v>
      </c>
      <c r="R519" s="59"/>
    </row>
    <row r="520" spans="1:18" ht="16.5" x14ac:dyDescent="0.3">
      <c r="A520" s="56"/>
      <c r="B520" s="57" t="s">
        <v>463</v>
      </c>
      <c r="C520" s="58" t="s">
        <v>469</v>
      </c>
      <c r="D520" s="61">
        <v>510</v>
      </c>
      <c r="E520" s="16">
        <v>7400</v>
      </c>
      <c r="F520" s="16"/>
      <c r="G520" s="16"/>
      <c r="H520" s="15">
        <f t="shared" si="58"/>
        <v>7400</v>
      </c>
      <c r="I520" s="15">
        <f t="shared" si="61"/>
        <v>3774000</v>
      </c>
      <c r="J520" s="15"/>
      <c r="K520" s="15"/>
      <c r="L520" s="15"/>
      <c r="M520" s="15"/>
      <c r="N520" s="15"/>
      <c r="O520" s="15"/>
      <c r="P520" s="15">
        <f t="shared" si="59"/>
        <v>0</v>
      </c>
      <c r="Q520" s="15">
        <f t="shared" si="60"/>
        <v>3774000</v>
      </c>
      <c r="R520" s="59"/>
    </row>
    <row r="521" spans="1:18" ht="16.5" x14ac:dyDescent="0.3">
      <c r="A521" s="56"/>
      <c r="B521" s="60" t="s">
        <v>475</v>
      </c>
      <c r="C521" s="58" t="s">
        <v>471</v>
      </c>
      <c r="D521" s="61">
        <v>2571</v>
      </c>
      <c r="E521" s="16">
        <v>8000</v>
      </c>
      <c r="F521" s="16"/>
      <c r="G521" s="16"/>
      <c r="H521" s="15">
        <f t="shared" si="58"/>
        <v>8000</v>
      </c>
      <c r="I521" s="15">
        <f t="shared" si="61"/>
        <v>20568000</v>
      </c>
      <c r="J521" s="15"/>
      <c r="K521" s="15"/>
      <c r="L521" s="15"/>
      <c r="M521" s="15"/>
      <c r="N521" s="15"/>
      <c r="O521" s="15"/>
      <c r="P521" s="15">
        <f t="shared" si="59"/>
        <v>0</v>
      </c>
      <c r="Q521" s="15">
        <f t="shared" si="60"/>
        <v>20568000</v>
      </c>
      <c r="R521" s="59"/>
    </row>
    <row r="522" spans="1:18" ht="16.5" x14ac:dyDescent="0.3">
      <c r="A522" s="56"/>
      <c r="B522" s="58" t="s">
        <v>396</v>
      </c>
      <c r="C522" s="58" t="s">
        <v>462</v>
      </c>
      <c r="D522" s="61">
        <v>760</v>
      </c>
      <c r="E522" s="61">
        <v>7500</v>
      </c>
      <c r="F522" s="61"/>
      <c r="G522" s="61"/>
      <c r="H522" s="15">
        <f t="shared" si="58"/>
        <v>7500</v>
      </c>
      <c r="I522" s="15">
        <f t="shared" si="61"/>
        <v>5700000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5700000</v>
      </c>
      <c r="R522" s="59"/>
    </row>
    <row r="523" spans="1:18" ht="16.5" x14ac:dyDescent="0.3">
      <c r="A523" s="56"/>
      <c r="B523" s="58" t="s">
        <v>464</v>
      </c>
      <c r="C523" s="58" t="s">
        <v>460</v>
      </c>
      <c r="D523" s="61"/>
      <c r="E523" s="61">
        <v>7500</v>
      </c>
      <c r="F523" s="61"/>
      <c r="G523" s="61"/>
      <c r="H523" s="15">
        <f t="shared" si="58"/>
        <v>7500</v>
      </c>
      <c r="I523" s="15">
        <f t="shared" si="61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59"/>
        <v>0</v>
      </c>
      <c r="Q523" s="15">
        <f t="shared" si="60"/>
        <v>0</v>
      </c>
      <c r="R523" s="59"/>
    </row>
    <row r="524" spans="1:18" ht="16.5" x14ac:dyDescent="0.3">
      <c r="A524" s="56"/>
      <c r="B524" s="58" t="s">
        <v>411</v>
      </c>
      <c r="C524" s="58"/>
      <c r="D524" s="61"/>
      <c r="E524" s="61"/>
      <c r="F524" s="61"/>
      <c r="G524" s="61"/>
      <c r="H524" s="15">
        <f t="shared" si="58"/>
        <v>0</v>
      </c>
      <c r="I524" s="15">
        <f t="shared" si="61"/>
        <v>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0</v>
      </c>
      <c r="R524" s="59"/>
    </row>
    <row r="525" spans="1:18" ht="16.5" x14ac:dyDescent="0.25">
      <c r="A525" s="74" t="s">
        <v>397</v>
      </c>
      <c r="B525" s="75"/>
      <c r="C525" s="76"/>
      <c r="D525" s="22">
        <f>SUM(D516:D524)</f>
        <v>4591</v>
      </c>
      <c r="E525" s="22">
        <f>SUM(E516:E524)</f>
        <v>61000</v>
      </c>
      <c r="F525" s="22">
        <f t="shared" ref="F525:Q525" si="62">SUM(F516:F524)</f>
        <v>0</v>
      </c>
      <c r="G525" s="22">
        <f t="shared" si="62"/>
        <v>0</v>
      </c>
      <c r="H525" s="22">
        <f t="shared" si="62"/>
        <v>60800</v>
      </c>
      <c r="I525" s="22">
        <f t="shared" si="62"/>
        <v>35664000</v>
      </c>
      <c r="J525" s="22">
        <f t="shared" si="62"/>
        <v>0</v>
      </c>
      <c r="K525" s="22">
        <f t="shared" si="62"/>
        <v>0</v>
      </c>
      <c r="L525" s="22">
        <f t="shared" si="62"/>
        <v>0</v>
      </c>
      <c r="M525" s="22">
        <f t="shared" si="62"/>
        <v>0</v>
      </c>
      <c r="N525" s="22">
        <f t="shared" si="62"/>
        <v>0</v>
      </c>
      <c r="O525" s="22">
        <f t="shared" si="62"/>
        <v>0</v>
      </c>
      <c r="P525" s="22">
        <f t="shared" si="62"/>
        <v>0</v>
      </c>
      <c r="Q525" s="22">
        <f t="shared" si="62"/>
        <v>35664000</v>
      </c>
      <c r="R525" s="47"/>
    </row>
    <row r="526" spans="1:18" ht="16.5" x14ac:dyDescent="0.25">
      <c r="A526" s="74" t="s">
        <v>398</v>
      </c>
      <c r="B526" s="75"/>
      <c r="C526" s="76"/>
      <c r="D526" s="22">
        <f>SUM(D504,D479,D525)</f>
        <v>32542</v>
      </c>
      <c r="E526" s="22">
        <f t="shared" ref="E526:Q526" si="63">SUM(E504,E479,E525)</f>
        <v>3214200</v>
      </c>
      <c r="F526" s="22">
        <f t="shared" si="63"/>
        <v>178900</v>
      </c>
      <c r="G526" s="22">
        <f t="shared" si="63"/>
        <v>190000</v>
      </c>
      <c r="H526" s="22">
        <f t="shared" si="63"/>
        <v>3582900</v>
      </c>
      <c r="I526" s="22">
        <f t="shared" si="63"/>
        <v>242449000</v>
      </c>
      <c r="J526" s="22">
        <f t="shared" si="63"/>
        <v>600000</v>
      </c>
      <c r="K526" s="22">
        <f t="shared" si="63"/>
        <v>36176000</v>
      </c>
      <c r="L526" s="22">
        <f t="shared" si="63"/>
        <v>542140</v>
      </c>
      <c r="M526" s="22">
        <f t="shared" si="63"/>
        <v>0</v>
      </c>
      <c r="N526" s="22">
        <f t="shared" si="63"/>
        <v>0</v>
      </c>
      <c r="O526" s="22">
        <f t="shared" si="63"/>
        <v>6776750</v>
      </c>
      <c r="P526" s="22">
        <f t="shared" si="63"/>
        <v>43619960</v>
      </c>
      <c r="Q526" s="22">
        <f t="shared" si="63"/>
        <v>185711440</v>
      </c>
      <c r="R526" s="47"/>
    </row>
    <row r="527" spans="1:18" x14ac:dyDescent="0.25">
      <c r="A527" s="52"/>
      <c r="B527" s="52"/>
      <c r="C527" s="52"/>
      <c r="D527" s="7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465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399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400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72"/>
      <c r="E536" s="52"/>
      <c r="F536" s="52"/>
      <c r="G536" s="52"/>
      <c r="H536" s="52"/>
      <c r="I536" s="52"/>
      <c r="J536" s="52"/>
      <c r="K536" s="52"/>
      <c r="L536" s="52"/>
      <c r="M536" s="64" t="s">
        <v>401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72"/>
      <c r="E537" s="52"/>
      <c r="F537" s="52"/>
      <c r="G537" s="52"/>
      <c r="H537" s="52"/>
      <c r="I537" s="52"/>
      <c r="J537" s="52"/>
      <c r="K537" s="52"/>
      <c r="L537" s="52"/>
      <c r="M537" s="64" t="s">
        <v>402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0" activePane="bottomRight" state="frozen"/>
      <selection pane="topRight"/>
      <selection pane="bottomLeft"/>
      <selection pane="bottomRight" activeCell="C528" sqref="C528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291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2095200</v>
      </c>
      <c r="J5" s="16"/>
      <c r="K5" s="15">
        <v>800000</v>
      </c>
      <c r="L5" s="15">
        <f t="shared" si="0"/>
        <v>5820</v>
      </c>
      <c r="M5" s="16"/>
      <c r="N5" s="16"/>
      <c r="O5" s="15">
        <f t="shared" si="1"/>
        <v>72750</v>
      </c>
      <c r="P5" s="15">
        <f t="shared" si="2"/>
        <v>878570</v>
      </c>
      <c r="Q5" s="15">
        <f t="shared" ref="Q5:Q68" si="5">I5-P5</f>
        <v>1216630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363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2722500</v>
      </c>
      <c r="J6" s="16"/>
      <c r="K6" s="15">
        <v>600000</v>
      </c>
      <c r="L6" s="15">
        <f t="shared" si="0"/>
        <v>7260</v>
      </c>
      <c r="M6" s="16"/>
      <c r="N6" s="16"/>
      <c r="O6" s="15">
        <f t="shared" si="1"/>
        <v>90750</v>
      </c>
      <c r="P6" s="15">
        <f t="shared" si="2"/>
        <v>698010</v>
      </c>
      <c r="Q6" s="15">
        <f t="shared" si="5"/>
        <v>2024490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443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3278200</v>
      </c>
      <c r="J9" s="16"/>
      <c r="K9" s="15">
        <v>300000</v>
      </c>
      <c r="L9" s="15">
        <f t="shared" si="0"/>
        <v>8860</v>
      </c>
      <c r="M9" s="16"/>
      <c r="N9" s="16"/>
      <c r="O9" s="15">
        <f t="shared" si="1"/>
        <v>110750</v>
      </c>
      <c r="P9" s="15">
        <f t="shared" si="2"/>
        <v>419610</v>
      </c>
      <c r="Q9" s="15">
        <f t="shared" si="5"/>
        <v>2858590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6500</v>
      </c>
      <c r="F11" s="15">
        <v>400</v>
      </c>
      <c r="G11" s="15">
        <v>400</v>
      </c>
      <c r="H11" s="15">
        <f t="shared" si="3"/>
        <v>7300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227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1679800</v>
      </c>
      <c r="J18" s="16"/>
      <c r="K18" s="15">
        <v>400000</v>
      </c>
      <c r="L18" s="15">
        <f t="shared" si="0"/>
        <v>4540</v>
      </c>
      <c r="M18" s="16"/>
      <c r="N18" s="16"/>
      <c r="O18" s="15">
        <f t="shared" si="1"/>
        <v>56750</v>
      </c>
      <c r="P18" s="15">
        <f t="shared" si="2"/>
        <v>461290</v>
      </c>
      <c r="Q18" s="15">
        <f t="shared" si="5"/>
        <v>1218510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260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1924000</v>
      </c>
      <c r="J27" s="16"/>
      <c r="K27" s="15">
        <v>400000</v>
      </c>
      <c r="L27" s="15">
        <f t="shared" si="0"/>
        <v>5200</v>
      </c>
      <c r="M27" s="16"/>
      <c r="N27" s="16"/>
      <c r="O27" s="15">
        <f t="shared" si="1"/>
        <v>65000</v>
      </c>
      <c r="P27" s="15">
        <f t="shared" si="2"/>
        <v>470200</v>
      </c>
      <c r="Q27" s="15">
        <f t="shared" si="5"/>
        <v>1453800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59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436600</v>
      </c>
      <c r="J29" s="16"/>
      <c r="K29" s="15">
        <v>140000</v>
      </c>
      <c r="L29" s="15">
        <f t="shared" si="0"/>
        <v>1180</v>
      </c>
      <c r="M29" s="16"/>
      <c r="N29" s="16"/>
      <c r="O29" s="15">
        <f t="shared" si="1"/>
        <v>14750</v>
      </c>
      <c r="P29" s="15">
        <f t="shared" si="2"/>
        <v>155930</v>
      </c>
      <c r="Q29" s="15">
        <f t="shared" si="5"/>
        <v>280670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59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418900</v>
      </c>
      <c r="J30" s="16"/>
      <c r="K30" s="15">
        <v>200000</v>
      </c>
      <c r="L30" s="15">
        <f t="shared" si="0"/>
        <v>1180</v>
      </c>
      <c r="M30" s="16"/>
      <c r="N30" s="16"/>
      <c r="O30" s="15">
        <f t="shared" si="1"/>
        <v>14750</v>
      </c>
      <c r="P30" s="15">
        <f t="shared" si="2"/>
        <v>215930</v>
      </c>
      <c r="Q30" s="15">
        <f t="shared" si="5"/>
        <v>202970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305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2196000</v>
      </c>
      <c r="J35" s="16"/>
      <c r="K35" s="15"/>
      <c r="L35" s="15">
        <f t="shared" si="0"/>
        <v>6100</v>
      </c>
      <c r="M35" s="16"/>
      <c r="N35" s="16"/>
      <c r="O35" s="15">
        <f t="shared" si="1"/>
        <v>76250</v>
      </c>
      <c r="P35" s="15">
        <f t="shared" si="2"/>
        <v>82350</v>
      </c>
      <c r="Q35" s="15">
        <f t="shared" si="5"/>
        <v>2113650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629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4591700</v>
      </c>
      <c r="J37" s="16"/>
      <c r="K37" s="15">
        <v>800000</v>
      </c>
      <c r="L37" s="15">
        <f t="shared" si="0"/>
        <v>12580</v>
      </c>
      <c r="M37" s="20"/>
      <c r="N37" s="20"/>
      <c r="O37" s="15">
        <f t="shared" si="1"/>
        <v>157250</v>
      </c>
      <c r="P37" s="15">
        <f t="shared" si="2"/>
        <v>969830</v>
      </c>
      <c r="Q37" s="15">
        <f t="shared" si="5"/>
        <v>3621870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234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1755000</v>
      </c>
      <c r="J40" s="16"/>
      <c r="K40" s="15"/>
      <c r="L40" s="15">
        <f t="shared" si="0"/>
        <v>4680</v>
      </c>
      <c r="M40" s="20"/>
      <c r="N40" s="20"/>
      <c r="O40" s="15">
        <f t="shared" si="1"/>
        <v>58500</v>
      </c>
      <c r="P40" s="15">
        <f t="shared" si="2"/>
        <v>63180</v>
      </c>
      <c r="Q40" s="15">
        <f t="shared" si="5"/>
        <v>1691820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261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1931400</v>
      </c>
      <c r="J41" s="20"/>
      <c r="K41" s="15"/>
      <c r="L41" s="15">
        <f t="shared" si="0"/>
        <v>5220</v>
      </c>
      <c r="M41" s="20"/>
      <c r="N41" s="20"/>
      <c r="O41" s="15">
        <f t="shared" si="1"/>
        <v>65250</v>
      </c>
      <c r="P41" s="15">
        <f t="shared" si="2"/>
        <v>70470</v>
      </c>
      <c r="Q41" s="15">
        <f t="shared" si="5"/>
        <v>1860930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193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1447500</v>
      </c>
      <c r="J43" s="16"/>
      <c r="K43" s="15">
        <v>400000</v>
      </c>
      <c r="L43" s="15">
        <f t="shared" si="0"/>
        <v>3860</v>
      </c>
      <c r="M43" s="16"/>
      <c r="N43" s="16"/>
      <c r="O43" s="15">
        <f t="shared" si="1"/>
        <v>48250</v>
      </c>
      <c r="P43" s="15">
        <f t="shared" si="2"/>
        <v>452110</v>
      </c>
      <c r="Q43" s="15">
        <f t="shared" si="5"/>
        <v>995390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354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2584200</v>
      </c>
      <c r="J50" s="16"/>
      <c r="K50" s="15">
        <v>1575000</v>
      </c>
      <c r="L50" s="15">
        <f t="shared" si="0"/>
        <v>7080</v>
      </c>
      <c r="M50" s="16"/>
      <c r="N50" s="16"/>
      <c r="O50" s="15">
        <f t="shared" si="1"/>
        <v>88500</v>
      </c>
      <c r="P50" s="15">
        <f t="shared" si="2"/>
        <v>1670580</v>
      </c>
      <c r="Q50" s="15">
        <f t="shared" si="5"/>
        <v>913620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214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1562200</v>
      </c>
      <c r="J51" s="16"/>
      <c r="K51" s="15">
        <v>600000</v>
      </c>
      <c r="L51" s="15">
        <f t="shared" si="0"/>
        <v>4280</v>
      </c>
      <c r="M51" s="16"/>
      <c r="N51" s="16"/>
      <c r="O51" s="15">
        <f t="shared" si="1"/>
        <v>53500</v>
      </c>
      <c r="P51" s="15">
        <f t="shared" si="2"/>
        <v>657780</v>
      </c>
      <c r="Q51" s="15">
        <f t="shared" si="5"/>
        <v>904420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118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873200</v>
      </c>
      <c r="J52" s="16"/>
      <c r="K52" s="15">
        <v>200000</v>
      </c>
      <c r="L52" s="15">
        <f t="shared" si="0"/>
        <v>2360</v>
      </c>
      <c r="M52" s="16"/>
      <c r="N52" s="16"/>
      <c r="O52" s="15">
        <f t="shared" si="1"/>
        <v>29500</v>
      </c>
      <c r="P52" s="15">
        <f t="shared" si="2"/>
        <v>231860</v>
      </c>
      <c r="Q52" s="15">
        <f t="shared" si="5"/>
        <v>641340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102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754800</v>
      </c>
      <c r="J53" s="16"/>
      <c r="K53" s="15">
        <v>200000</v>
      </c>
      <c r="L53" s="15">
        <f t="shared" si="0"/>
        <v>2040</v>
      </c>
      <c r="M53" s="16"/>
      <c r="N53" s="16"/>
      <c r="O53" s="15">
        <f t="shared" si="1"/>
        <v>25500</v>
      </c>
      <c r="P53" s="15">
        <f t="shared" si="2"/>
        <v>227540</v>
      </c>
      <c r="Q53" s="15">
        <f t="shared" si="5"/>
        <v>527260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213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1576200</v>
      </c>
      <c r="J56" s="16"/>
      <c r="K56" s="15">
        <v>200000</v>
      </c>
      <c r="L56" s="15">
        <f t="shared" si="0"/>
        <v>4260</v>
      </c>
      <c r="M56" s="20"/>
      <c r="N56" s="20"/>
      <c r="O56" s="15">
        <f t="shared" si="1"/>
        <v>53250</v>
      </c>
      <c r="P56" s="15">
        <f t="shared" si="2"/>
        <v>257510</v>
      </c>
      <c r="Q56" s="15">
        <f t="shared" si="5"/>
        <v>1318690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98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735000</v>
      </c>
      <c r="J59" s="16"/>
      <c r="K59" s="15">
        <v>200000</v>
      </c>
      <c r="L59" s="15">
        <f t="shared" si="0"/>
        <v>1960</v>
      </c>
      <c r="M59" s="16"/>
      <c r="N59" s="16"/>
      <c r="O59" s="15">
        <f t="shared" si="1"/>
        <v>24500</v>
      </c>
      <c r="P59" s="15">
        <f t="shared" si="2"/>
        <v>226460</v>
      </c>
      <c r="Q59" s="15">
        <f t="shared" si="5"/>
        <v>508540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1110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8325000</v>
      </c>
      <c r="J62" s="16"/>
      <c r="K62" s="15"/>
      <c r="L62" s="15">
        <f t="shared" si="0"/>
        <v>22200</v>
      </c>
      <c r="M62" s="20"/>
      <c r="N62" s="20"/>
      <c r="O62" s="15">
        <f t="shared" si="1"/>
        <v>277500</v>
      </c>
      <c r="P62" s="15">
        <f t="shared" si="2"/>
        <v>299700</v>
      </c>
      <c r="Q62" s="15">
        <f t="shared" si="5"/>
        <v>8025300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300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2220000</v>
      </c>
      <c r="J66" s="20"/>
      <c r="K66" s="15">
        <v>600000</v>
      </c>
      <c r="L66" s="15">
        <f t="shared" si="0"/>
        <v>6000</v>
      </c>
      <c r="M66" s="20"/>
      <c r="N66" s="20"/>
      <c r="O66" s="15">
        <f t="shared" si="1"/>
        <v>75000</v>
      </c>
      <c r="P66" s="15">
        <f t="shared" si="2"/>
        <v>681000</v>
      </c>
      <c r="Q66" s="15">
        <f t="shared" si="5"/>
        <v>1539000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200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1500000</v>
      </c>
      <c r="J69" s="16"/>
      <c r="K69" s="15">
        <v>1000000</v>
      </c>
      <c r="L69" s="15">
        <f t="shared" ref="L69:L132" si="6">D69*20</f>
        <v>4000</v>
      </c>
      <c r="M69" s="20"/>
      <c r="N69" s="20"/>
      <c r="O69" s="15">
        <f t="shared" ref="O69:O132" si="7">250*D69</f>
        <v>50000</v>
      </c>
      <c r="P69" s="15">
        <f t="shared" ref="P69:P132" si="8">SUM(J69:O69)</f>
        <v>1054000</v>
      </c>
      <c r="Q69" s="15">
        <f t="shared" ref="Q69:Q132" si="9">I69-P69</f>
        <v>446000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95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693500</v>
      </c>
      <c r="J72" s="16"/>
      <c r="K72" s="15">
        <v>400000</v>
      </c>
      <c r="L72" s="15">
        <f t="shared" si="6"/>
        <v>1900</v>
      </c>
      <c r="M72" s="20"/>
      <c r="N72" s="20"/>
      <c r="O72" s="15">
        <f t="shared" si="7"/>
        <v>23750</v>
      </c>
      <c r="P72" s="15">
        <f t="shared" si="8"/>
        <v>425650</v>
      </c>
      <c r="Q72" s="15">
        <f t="shared" si="9"/>
        <v>267850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208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1539200</v>
      </c>
      <c r="J76" s="20"/>
      <c r="K76" s="15">
        <v>400000</v>
      </c>
      <c r="L76" s="15">
        <f t="shared" si="6"/>
        <v>4160</v>
      </c>
      <c r="M76" s="20"/>
      <c r="N76" s="20"/>
      <c r="O76" s="15">
        <f t="shared" si="7"/>
        <v>52000</v>
      </c>
      <c r="P76" s="15">
        <f t="shared" si="8"/>
        <v>456160</v>
      </c>
      <c r="Q76" s="15">
        <f t="shared" si="9"/>
        <v>1083040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621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4657500</v>
      </c>
      <c r="J78" s="16"/>
      <c r="K78" s="15">
        <v>1200000</v>
      </c>
      <c r="L78" s="15">
        <f t="shared" si="6"/>
        <v>12420</v>
      </c>
      <c r="M78" s="20"/>
      <c r="N78" s="20"/>
      <c r="O78" s="15">
        <f t="shared" si="7"/>
        <v>155250</v>
      </c>
      <c r="P78" s="15">
        <f t="shared" si="8"/>
        <v>1367670</v>
      </c>
      <c r="Q78" s="15">
        <f t="shared" si="9"/>
        <v>3289830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>
        <v>67</v>
      </c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482400</v>
      </c>
      <c r="J81" s="16"/>
      <c r="K81" s="15">
        <v>100000</v>
      </c>
      <c r="L81" s="15">
        <f t="shared" si="6"/>
        <v>1340</v>
      </c>
      <c r="M81" s="16"/>
      <c r="N81" s="16"/>
      <c r="O81" s="15">
        <f t="shared" si="7"/>
        <v>16750</v>
      </c>
      <c r="P81" s="15">
        <f t="shared" si="8"/>
        <v>118090</v>
      </c>
      <c r="Q81" s="15">
        <f t="shared" si="9"/>
        <v>364310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170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1275000</v>
      </c>
      <c r="J83" s="16"/>
      <c r="K83" s="15">
        <v>600000</v>
      </c>
      <c r="L83" s="15">
        <f t="shared" si="6"/>
        <v>3400</v>
      </c>
      <c r="M83" s="20"/>
      <c r="N83" s="20"/>
      <c r="O83" s="15">
        <f t="shared" si="7"/>
        <v>42500</v>
      </c>
      <c r="P83" s="15">
        <f t="shared" si="8"/>
        <v>645900</v>
      </c>
      <c r="Q83" s="15">
        <f t="shared" si="9"/>
        <v>629100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158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1153400</v>
      </c>
      <c r="J85" s="16"/>
      <c r="K85" s="15">
        <v>400000</v>
      </c>
      <c r="L85" s="15">
        <f t="shared" si="6"/>
        <v>3160</v>
      </c>
      <c r="M85" s="20"/>
      <c r="N85" s="20"/>
      <c r="O85" s="15">
        <f t="shared" si="7"/>
        <v>39500</v>
      </c>
      <c r="P85" s="15">
        <f t="shared" si="8"/>
        <v>442660</v>
      </c>
      <c r="Q85" s="15">
        <f t="shared" si="9"/>
        <v>710740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92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680800</v>
      </c>
      <c r="J92" s="16"/>
      <c r="K92" s="15"/>
      <c r="L92" s="15">
        <f t="shared" si="6"/>
        <v>1840</v>
      </c>
      <c r="M92" s="16"/>
      <c r="N92" s="16"/>
      <c r="O92" s="15">
        <f t="shared" si="7"/>
        <v>23000</v>
      </c>
      <c r="P92" s="15">
        <f t="shared" si="8"/>
        <v>24840</v>
      </c>
      <c r="Q92" s="15">
        <f t="shared" si="9"/>
        <v>655960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194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1435600</v>
      </c>
      <c r="J95" s="16"/>
      <c r="K95" s="15"/>
      <c r="L95" s="15">
        <f t="shared" si="6"/>
        <v>3880</v>
      </c>
      <c r="M95" s="20"/>
      <c r="N95" s="20"/>
      <c r="O95" s="15">
        <f t="shared" si="7"/>
        <v>48500</v>
      </c>
      <c r="P95" s="15">
        <f t="shared" si="8"/>
        <v>52380</v>
      </c>
      <c r="Q95" s="15">
        <f t="shared" si="9"/>
        <v>1383220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182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1292200</v>
      </c>
      <c r="J102" s="16"/>
      <c r="K102" s="15">
        <v>200000</v>
      </c>
      <c r="L102" s="15">
        <f t="shared" si="6"/>
        <v>3640</v>
      </c>
      <c r="M102" s="20"/>
      <c r="N102" s="20"/>
      <c r="O102" s="15">
        <f t="shared" si="7"/>
        <v>45500</v>
      </c>
      <c r="P102" s="15">
        <f t="shared" si="8"/>
        <v>249140</v>
      </c>
      <c r="Q102" s="15">
        <f t="shared" si="9"/>
        <v>1043060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1000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7500000</v>
      </c>
      <c r="J114" s="16"/>
      <c r="K114" s="15"/>
      <c r="L114" s="15">
        <f t="shared" si="6"/>
        <v>20000</v>
      </c>
      <c r="M114" s="16"/>
      <c r="N114" s="16"/>
      <c r="O114" s="15">
        <f t="shared" si="7"/>
        <v>250000</v>
      </c>
      <c r="P114" s="15">
        <f t="shared" si="8"/>
        <v>270000</v>
      </c>
      <c r="Q114" s="15">
        <f t="shared" si="9"/>
        <v>7230000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/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0</v>
      </c>
      <c r="J118" s="20"/>
      <c r="K118" s="15">
        <v>800000</v>
      </c>
      <c r="L118" s="15">
        <f t="shared" si="6"/>
        <v>0</v>
      </c>
      <c r="M118" s="16"/>
      <c r="N118" s="16"/>
      <c r="O118" s="15">
        <f t="shared" si="7"/>
        <v>0</v>
      </c>
      <c r="P118" s="15">
        <f t="shared" si="8"/>
        <v>800000</v>
      </c>
      <c r="Q118" s="15">
        <f t="shared" si="9"/>
        <v>-800000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260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1924000</v>
      </c>
      <c r="J119" s="16"/>
      <c r="K119" s="15"/>
      <c r="L119" s="15">
        <f t="shared" si="6"/>
        <v>5200</v>
      </c>
      <c r="M119" s="16"/>
      <c r="N119" s="16"/>
      <c r="O119" s="15">
        <f t="shared" si="7"/>
        <v>65000</v>
      </c>
      <c r="P119" s="15">
        <f t="shared" si="8"/>
        <v>70200</v>
      </c>
      <c r="Q119" s="15">
        <f t="shared" si="9"/>
        <v>1853800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42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315000</v>
      </c>
      <c r="J120" s="16"/>
      <c r="K120" s="15">
        <v>200000</v>
      </c>
      <c r="L120" s="15">
        <f t="shared" si="6"/>
        <v>840</v>
      </c>
      <c r="M120" s="16"/>
      <c r="N120" s="16"/>
      <c r="O120" s="15">
        <f t="shared" si="7"/>
        <v>10500</v>
      </c>
      <c r="P120" s="15">
        <f t="shared" si="8"/>
        <v>211340</v>
      </c>
      <c r="Q120" s="15">
        <f t="shared" si="9"/>
        <v>103660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85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620500</v>
      </c>
      <c r="J123" s="20"/>
      <c r="K123" s="15">
        <v>200000</v>
      </c>
      <c r="L123" s="15">
        <f t="shared" si="6"/>
        <v>1700</v>
      </c>
      <c r="M123" s="20"/>
      <c r="N123" s="20"/>
      <c r="O123" s="15">
        <f t="shared" si="7"/>
        <v>21250</v>
      </c>
      <c r="P123" s="15">
        <f t="shared" si="8"/>
        <v>222950</v>
      </c>
      <c r="Q123" s="15">
        <f t="shared" si="9"/>
        <v>397550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104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759200</v>
      </c>
      <c r="J126" s="16"/>
      <c r="K126" s="15">
        <v>200000</v>
      </c>
      <c r="L126" s="15">
        <f t="shared" si="6"/>
        <v>2080</v>
      </c>
      <c r="M126" s="20"/>
      <c r="N126" s="20"/>
      <c r="O126" s="15">
        <f t="shared" si="7"/>
        <v>26000</v>
      </c>
      <c r="P126" s="15">
        <f t="shared" si="8"/>
        <v>228080</v>
      </c>
      <c r="Q126" s="15">
        <f t="shared" si="9"/>
        <v>531120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217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1605800</v>
      </c>
      <c r="J127" s="20"/>
      <c r="K127" s="15"/>
      <c r="L127" s="15">
        <f t="shared" si="6"/>
        <v>4340</v>
      </c>
      <c r="M127" s="16"/>
      <c r="N127" s="16"/>
      <c r="O127" s="15">
        <f t="shared" si="7"/>
        <v>54250</v>
      </c>
      <c r="P127" s="15">
        <f t="shared" si="8"/>
        <v>58590</v>
      </c>
      <c r="Q127" s="15">
        <f t="shared" si="9"/>
        <v>1547210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145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1087500</v>
      </c>
      <c r="J128" s="16"/>
      <c r="K128" s="15"/>
      <c r="L128" s="15">
        <f t="shared" si="6"/>
        <v>2900</v>
      </c>
      <c r="M128" s="16"/>
      <c r="N128" s="16"/>
      <c r="O128" s="15">
        <f t="shared" si="7"/>
        <v>36250</v>
      </c>
      <c r="P128" s="15">
        <f t="shared" si="8"/>
        <v>39150</v>
      </c>
      <c r="Q128" s="15">
        <f t="shared" si="9"/>
        <v>1048350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30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225000</v>
      </c>
      <c r="J129" s="16"/>
      <c r="K129" s="23">
        <v>500000</v>
      </c>
      <c r="L129" s="15">
        <f t="shared" si="6"/>
        <v>600</v>
      </c>
      <c r="M129" s="16"/>
      <c r="N129" s="16"/>
      <c r="O129" s="15">
        <f t="shared" si="7"/>
        <v>7500</v>
      </c>
      <c r="P129" s="15">
        <f t="shared" si="8"/>
        <v>508100</v>
      </c>
      <c r="Q129" s="15">
        <f t="shared" si="9"/>
        <v>-283100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720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5328000</v>
      </c>
      <c r="J130" s="16"/>
      <c r="K130" s="15">
        <v>600000</v>
      </c>
      <c r="L130" s="15">
        <f t="shared" si="6"/>
        <v>14400</v>
      </c>
      <c r="M130" s="20"/>
      <c r="N130" s="20"/>
      <c r="O130" s="15">
        <f t="shared" si="7"/>
        <v>180000</v>
      </c>
      <c r="P130" s="15">
        <f t="shared" si="8"/>
        <v>794400</v>
      </c>
      <c r="Q130" s="15">
        <f t="shared" si="9"/>
        <v>4533600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194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1435600</v>
      </c>
      <c r="J133" s="16"/>
      <c r="K133" s="15">
        <v>200000</v>
      </c>
      <c r="L133" s="15">
        <f t="shared" ref="L133:L196" si="12">D133*20</f>
        <v>3880</v>
      </c>
      <c r="M133" s="20"/>
      <c r="N133" s="20"/>
      <c r="O133" s="15">
        <f t="shared" ref="O133:O196" si="13">250*D133</f>
        <v>48500</v>
      </c>
      <c r="P133" s="15">
        <f t="shared" ref="P133:P196" si="14">SUM(J133:O133)</f>
        <v>252380</v>
      </c>
      <c r="Q133" s="15">
        <f t="shared" ref="Q133:Q196" si="15">I133-P133</f>
        <v>1183220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84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613200</v>
      </c>
      <c r="J134" s="20"/>
      <c r="K134" s="15">
        <v>100000</v>
      </c>
      <c r="L134" s="15">
        <f t="shared" si="12"/>
        <v>1680</v>
      </c>
      <c r="M134" s="20"/>
      <c r="N134" s="20"/>
      <c r="O134" s="15">
        <f t="shared" si="13"/>
        <v>21000</v>
      </c>
      <c r="P134" s="15">
        <f t="shared" si="14"/>
        <v>122680</v>
      </c>
      <c r="Q134" s="15">
        <f t="shared" si="15"/>
        <v>490520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194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1435600</v>
      </c>
      <c r="J139" s="16"/>
      <c r="K139" s="15">
        <v>800000</v>
      </c>
      <c r="L139" s="15">
        <f t="shared" si="12"/>
        <v>3880</v>
      </c>
      <c r="M139" s="16"/>
      <c r="N139" s="16"/>
      <c r="O139" s="15">
        <f t="shared" si="13"/>
        <v>48500</v>
      </c>
      <c r="P139" s="15">
        <f t="shared" si="14"/>
        <v>852380</v>
      </c>
      <c r="Q139" s="15">
        <f t="shared" si="15"/>
        <v>583220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68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496400</v>
      </c>
      <c r="J145" s="16"/>
      <c r="K145" s="15"/>
      <c r="L145" s="15">
        <f t="shared" si="12"/>
        <v>1360</v>
      </c>
      <c r="M145" s="16"/>
      <c r="N145" s="16"/>
      <c r="O145" s="15">
        <f t="shared" si="13"/>
        <v>17000</v>
      </c>
      <c r="P145" s="15">
        <f t="shared" si="14"/>
        <v>18360</v>
      </c>
      <c r="Q145" s="15">
        <f t="shared" si="15"/>
        <v>478040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103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751900</v>
      </c>
      <c r="J146" s="16"/>
      <c r="K146" s="15"/>
      <c r="L146" s="15">
        <f t="shared" si="12"/>
        <v>2060</v>
      </c>
      <c r="M146" s="16"/>
      <c r="N146" s="16"/>
      <c r="O146" s="15">
        <f t="shared" si="13"/>
        <v>25750</v>
      </c>
      <c r="P146" s="15">
        <f t="shared" si="14"/>
        <v>27810</v>
      </c>
      <c r="Q146" s="15">
        <f t="shared" si="15"/>
        <v>724090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240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1800000</v>
      </c>
      <c r="J149" s="16"/>
      <c r="K149" s="15"/>
      <c r="L149" s="15">
        <f t="shared" si="12"/>
        <v>4800</v>
      </c>
      <c r="M149" s="16"/>
      <c r="N149" s="16"/>
      <c r="O149" s="15">
        <f t="shared" si="13"/>
        <v>60000</v>
      </c>
      <c r="P149" s="15">
        <f t="shared" si="14"/>
        <v>64800</v>
      </c>
      <c r="Q149" s="15">
        <f t="shared" si="15"/>
        <v>1735200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97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708100</v>
      </c>
      <c r="J156" s="16"/>
      <c r="K156" s="15">
        <v>200000</v>
      </c>
      <c r="L156" s="15">
        <f t="shared" si="12"/>
        <v>1940</v>
      </c>
      <c r="M156" s="20"/>
      <c r="N156" s="20"/>
      <c r="O156" s="15">
        <f t="shared" si="13"/>
        <v>24250</v>
      </c>
      <c r="P156" s="15">
        <f t="shared" si="14"/>
        <v>226190</v>
      </c>
      <c r="Q156" s="15">
        <f t="shared" si="15"/>
        <v>481910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95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703000</v>
      </c>
      <c r="J157" s="20"/>
      <c r="K157" s="15"/>
      <c r="L157" s="15">
        <f t="shared" si="12"/>
        <v>1900</v>
      </c>
      <c r="M157" s="16"/>
      <c r="N157" s="16"/>
      <c r="O157" s="15">
        <f t="shared" si="13"/>
        <v>23750</v>
      </c>
      <c r="P157" s="15">
        <f t="shared" si="14"/>
        <v>25650</v>
      </c>
      <c r="Q157" s="15">
        <f t="shared" si="15"/>
        <v>677350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155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1147000</v>
      </c>
      <c r="J165" s="16"/>
      <c r="K165" s="15">
        <v>800000</v>
      </c>
      <c r="L165" s="15">
        <f t="shared" si="12"/>
        <v>3100</v>
      </c>
      <c r="M165" s="20"/>
      <c r="N165" s="20"/>
      <c r="O165" s="15">
        <f t="shared" si="13"/>
        <v>38750</v>
      </c>
      <c r="P165" s="15">
        <f t="shared" si="14"/>
        <v>841850</v>
      </c>
      <c r="Q165" s="15">
        <f t="shared" si="15"/>
        <v>305150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178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1317200</v>
      </c>
      <c r="J169" s="16"/>
      <c r="K169" s="15">
        <v>1400000</v>
      </c>
      <c r="L169" s="15">
        <f t="shared" si="12"/>
        <v>3560</v>
      </c>
      <c r="M169" s="16"/>
      <c r="N169" s="16"/>
      <c r="O169" s="15">
        <f t="shared" si="13"/>
        <v>44500</v>
      </c>
      <c r="P169" s="15">
        <f t="shared" si="14"/>
        <v>1448060</v>
      </c>
      <c r="Q169" s="15">
        <f t="shared" si="15"/>
        <v>-130860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24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291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2182500</v>
      </c>
      <c r="J175" s="16"/>
      <c r="K175" s="15">
        <v>300000</v>
      </c>
      <c r="L175" s="15">
        <f t="shared" si="12"/>
        <v>5820</v>
      </c>
      <c r="M175" s="16"/>
      <c r="N175" s="16"/>
      <c r="O175" s="15">
        <f t="shared" si="13"/>
        <v>72750</v>
      </c>
      <c r="P175" s="15">
        <f t="shared" si="14"/>
        <v>378570</v>
      </c>
      <c r="Q175" s="15">
        <f t="shared" si="15"/>
        <v>1803930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>
        <v>600000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600000</v>
      </c>
      <c r="Q180" s="15">
        <f t="shared" si="15"/>
        <v>-600000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66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495000</v>
      </c>
      <c r="J182" s="16"/>
      <c r="K182" s="15"/>
      <c r="L182" s="15">
        <f t="shared" si="12"/>
        <v>1320</v>
      </c>
      <c r="M182" s="20"/>
      <c r="N182" s="20"/>
      <c r="O182" s="15">
        <f t="shared" si="13"/>
        <v>16500</v>
      </c>
      <c r="P182" s="15">
        <f t="shared" si="14"/>
        <v>17820</v>
      </c>
      <c r="Q182" s="15">
        <f t="shared" si="15"/>
        <v>477180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191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1432500</v>
      </c>
      <c r="J185" s="16"/>
      <c r="K185" s="15">
        <v>600000</v>
      </c>
      <c r="L185" s="15">
        <f t="shared" si="12"/>
        <v>3820</v>
      </c>
      <c r="M185" s="20"/>
      <c r="N185" s="20"/>
      <c r="O185" s="15">
        <f t="shared" si="13"/>
        <v>47750</v>
      </c>
      <c r="P185" s="15">
        <f t="shared" si="14"/>
        <v>651570</v>
      </c>
      <c r="Q185" s="15">
        <f t="shared" si="15"/>
        <v>780930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170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1224000</v>
      </c>
      <c r="J187" s="16"/>
      <c r="K187" s="15"/>
      <c r="L187" s="15">
        <f t="shared" si="12"/>
        <v>3400</v>
      </c>
      <c r="M187" s="20"/>
      <c r="N187" s="20"/>
      <c r="O187" s="15">
        <f t="shared" si="13"/>
        <v>42500</v>
      </c>
      <c r="P187" s="15">
        <f t="shared" si="14"/>
        <v>45900</v>
      </c>
      <c r="Q187" s="15">
        <f t="shared" si="15"/>
        <v>1178100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221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1569100</v>
      </c>
      <c r="J189" s="20"/>
      <c r="K189" s="15"/>
      <c r="L189" s="15">
        <f t="shared" si="12"/>
        <v>4420</v>
      </c>
      <c r="M189" s="20"/>
      <c r="N189" s="20"/>
      <c r="O189" s="15">
        <f t="shared" si="13"/>
        <v>55250</v>
      </c>
      <c r="P189" s="15">
        <f t="shared" si="14"/>
        <v>59670</v>
      </c>
      <c r="Q189" s="15">
        <f t="shared" si="15"/>
        <v>1509430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179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1324600</v>
      </c>
      <c r="J193" s="16"/>
      <c r="K193" s="15">
        <v>200000</v>
      </c>
      <c r="L193" s="15">
        <f t="shared" si="12"/>
        <v>3580</v>
      </c>
      <c r="M193" s="16"/>
      <c r="N193" s="16"/>
      <c r="O193" s="15">
        <f t="shared" si="13"/>
        <v>44750</v>
      </c>
      <c r="P193" s="15">
        <f t="shared" si="14"/>
        <v>248330</v>
      </c>
      <c r="Q193" s="15">
        <f t="shared" si="15"/>
        <v>1076270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15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109500</v>
      </c>
      <c r="J200" s="16"/>
      <c r="K200" s="15">
        <v>200000</v>
      </c>
      <c r="L200" s="15">
        <f t="shared" si="18"/>
        <v>300</v>
      </c>
      <c r="M200" s="16"/>
      <c r="N200" s="16"/>
      <c r="O200" s="15">
        <f t="shared" si="19"/>
        <v>3750</v>
      </c>
      <c r="P200" s="15">
        <f t="shared" si="20"/>
        <v>204050</v>
      </c>
      <c r="Q200" s="15">
        <f t="shared" si="21"/>
        <v>-94550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73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547500</v>
      </c>
      <c r="J203" s="16"/>
      <c r="K203" s="15">
        <v>400000</v>
      </c>
      <c r="L203" s="15">
        <f t="shared" si="18"/>
        <v>1460</v>
      </c>
      <c r="M203" s="20"/>
      <c r="N203" s="20"/>
      <c r="O203" s="15">
        <f t="shared" si="19"/>
        <v>18250</v>
      </c>
      <c r="P203" s="15">
        <f t="shared" si="20"/>
        <v>419710</v>
      </c>
      <c r="Q203" s="15">
        <f t="shared" si="21"/>
        <v>127790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/>
      <c r="K207" s="15">
        <v>200000</v>
      </c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200000</v>
      </c>
      <c r="Q207" s="15">
        <f t="shared" si="21"/>
        <v>-200000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148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1110000</v>
      </c>
      <c r="J211" s="16">
        <v>100000</v>
      </c>
      <c r="K211" s="15">
        <v>200000</v>
      </c>
      <c r="L211" s="15">
        <f t="shared" si="18"/>
        <v>2960</v>
      </c>
      <c r="M211" s="16"/>
      <c r="N211" s="16"/>
      <c r="O211" s="15">
        <f t="shared" si="19"/>
        <v>37000</v>
      </c>
      <c r="P211" s="15">
        <f t="shared" si="20"/>
        <v>339960</v>
      </c>
      <c r="Q211" s="15">
        <f t="shared" si="21"/>
        <v>770040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154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1155000</v>
      </c>
      <c r="J220" s="16"/>
      <c r="K220" s="15">
        <v>200000</v>
      </c>
      <c r="L220" s="15">
        <f t="shared" si="18"/>
        <v>3080</v>
      </c>
      <c r="M220" s="16"/>
      <c r="N220" s="16"/>
      <c r="O220" s="15">
        <f t="shared" si="19"/>
        <v>38500</v>
      </c>
      <c r="P220" s="15">
        <f t="shared" si="20"/>
        <v>241580</v>
      </c>
      <c r="Q220" s="15">
        <f t="shared" si="21"/>
        <v>913420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45</v>
      </c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333000</v>
      </c>
      <c r="J222" s="16"/>
      <c r="K222" s="15">
        <v>600000</v>
      </c>
      <c r="L222" s="15">
        <f t="shared" si="18"/>
        <v>900</v>
      </c>
      <c r="M222" s="16"/>
      <c r="N222" s="16"/>
      <c r="O222" s="15">
        <f t="shared" si="19"/>
        <v>11250</v>
      </c>
      <c r="P222" s="15">
        <f t="shared" si="20"/>
        <v>612150</v>
      </c>
      <c r="Q222" s="15">
        <f t="shared" si="21"/>
        <v>-279150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67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502500</v>
      </c>
      <c r="J225" s="16"/>
      <c r="K225" s="15">
        <v>300000</v>
      </c>
      <c r="L225" s="15">
        <f t="shared" si="18"/>
        <v>1340</v>
      </c>
      <c r="M225" s="20"/>
      <c r="N225" s="20"/>
      <c r="O225" s="15">
        <f t="shared" si="19"/>
        <v>16750</v>
      </c>
      <c r="P225" s="15">
        <f t="shared" si="20"/>
        <v>318090</v>
      </c>
      <c r="Q225" s="15">
        <f t="shared" si="21"/>
        <v>184410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217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1605800</v>
      </c>
      <c r="J228" s="16"/>
      <c r="K228" s="15">
        <v>600000</v>
      </c>
      <c r="L228" s="15">
        <f t="shared" si="18"/>
        <v>4340</v>
      </c>
      <c r="M228" s="20"/>
      <c r="N228" s="20"/>
      <c r="O228" s="15">
        <f t="shared" si="19"/>
        <v>54250</v>
      </c>
      <c r="P228" s="15">
        <f t="shared" si="20"/>
        <v>658590</v>
      </c>
      <c r="Q228" s="15">
        <f t="shared" si="21"/>
        <v>947210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315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2362500</v>
      </c>
      <c r="J231" s="16"/>
      <c r="K231" s="15">
        <v>400000</v>
      </c>
      <c r="L231" s="15">
        <f t="shared" si="18"/>
        <v>6300</v>
      </c>
      <c r="M231" s="16"/>
      <c r="N231" s="16"/>
      <c r="O231" s="15">
        <f t="shared" si="19"/>
        <v>78750</v>
      </c>
      <c r="P231" s="15">
        <f t="shared" si="20"/>
        <v>485050</v>
      </c>
      <c r="Q231" s="15">
        <f t="shared" si="21"/>
        <v>1877450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130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923000</v>
      </c>
      <c r="J237" s="16"/>
      <c r="K237" s="15">
        <v>400000</v>
      </c>
      <c r="L237" s="15">
        <f t="shared" si="18"/>
        <v>2600</v>
      </c>
      <c r="M237" s="20"/>
      <c r="N237" s="20"/>
      <c r="O237" s="15">
        <f t="shared" si="19"/>
        <v>32500</v>
      </c>
      <c r="P237" s="15">
        <f t="shared" si="20"/>
        <v>435100</v>
      </c>
      <c r="Q237" s="15">
        <f t="shared" si="21"/>
        <v>487900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68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496400</v>
      </c>
      <c r="J238" s="20"/>
      <c r="K238" s="15">
        <v>400000</v>
      </c>
      <c r="L238" s="15">
        <f t="shared" si="18"/>
        <v>1360</v>
      </c>
      <c r="M238" s="20"/>
      <c r="N238" s="20"/>
      <c r="O238" s="15">
        <f t="shared" si="19"/>
        <v>17000</v>
      </c>
      <c r="P238" s="15">
        <f t="shared" si="20"/>
        <v>418360</v>
      </c>
      <c r="Q238" s="15">
        <f t="shared" si="21"/>
        <v>78040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256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1920000</v>
      </c>
      <c r="J246" s="16"/>
      <c r="K246" s="15">
        <v>400000</v>
      </c>
      <c r="L246" s="15">
        <f t="shared" si="18"/>
        <v>5120</v>
      </c>
      <c r="M246" s="16"/>
      <c r="N246" s="16"/>
      <c r="O246" s="15">
        <f t="shared" si="19"/>
        <v>64000</v>
      </c>
      <c r="P246" s="15">
        <f t="shared" si="20"/>
        <v>469120</v>
      </c>
      <c r="Q246" s="15">
        <f t="shared" si="21"/>
        <v>1450880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165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1221000</v>
      </c>
      <c r="J247" s="16"/>
      <c r="K247" s="15">
        <v>200000</v>
      </c>
      <c r="L247" s="15">
        <f t="shared" si="18"/>
        <v>3300</v>
      </c>
      <c r="M247" s="20"/>
      <c r="N247" s="20"/>
      <c r="O247" s="15">
        <f t="shared" si="19"/>
        <v>41250</v>
      </c>
      <c r="P247" s="15">
        <f t="shared" si="20"/>
        <v>244550</v>
      </c>
      <c r="Q247" s="15">
        <f t="shared" si="21"/>
        <v>976450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166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1228400</v>
      </c>
      <c r="J253" s="20"/>
      <c r="K253" s="15">
        <v>400000</v>
      </c>
      <c r="L253" s="15">
        <f t="shared" si="18"/>
        <v>3320</v>
      </c>
      <c r="M253" s="20"/>
      <c r="N253" s="20"/>
      <c r="O253" s="15">
        <f t="shared" si="19"/>
        <v>41500</v>
      </c>
      <c r="P253" s="15">
        <f t="shared" si="20"/>
        <v>444820</v>
      </c>
      <c r="Q253" s="15">
        <f t="shared" si="21"/>
        <v>783580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180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1350000</v>
      </c>
      <c r="J261" s="16"/>
      <c r="K261" s="15">
        <v>100000</v>
      </c>
      <c r="L261" s="15">
        <f t="shared" ref="L261:L324" si="24">D261*20</f>
        <v>3600</v>
      </c>
      <c r="M261" s="16"/>
      <c r="N261" s="16"/>
      <c r="O261" s="15">
        <f t="shared" ref="O261:O324" si="25">250*D261</f>
        <v>45000</v>
      </c>
      <c r="P261" s="15">
        <f t="shared" ref="P261:P324" si="26">SUM(J261:O261)</f>
        <v>148600</v>
      </c>
      <c r="Q261" s="15">
        <f t="shared" ref="Q261:Q324" si="27">I261-P261</f>
        <v>1201400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213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1597500</v>
      </c>
      <c r="J267" s="20"/>
      <c r="K267" s="15"/>
      <c r="L267" s="15">
        <f t="shared" si="24"/>
        <v>4260</v>
      </c>
      <c r="M267" s="16"/>
      <c r="N267" s="16"/>
      <c r="O267" s="15">
        <f t="shared" si="25"/>
        <v>53250</v>
      </c>
      <c r="P267" s="15">
        <f t="shared" si="26"/>
        <v>57510</v>
      </c>
      <c r="Q267" s="15">
        <f t="shared" si="27"/>
        <v>1539990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96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720000</v>
      </c>
      <c r="J270" s="20"/>
      <c r="K270" s="15">
        <v>200000</v>
      </c>
      <c r="L270" s="15">
        <f t="shared" si="24"/>
        <v>1920</v>
      </c>
      <c r="M270" s="16"/>
      <c r="N270" s="16"/>
      <c r="O270" s="15">
        <f t="shared" si="25"/>
        <v>24000</v>
      </c>
      <c r="P270" s="15">
        <f t="shared" si="26"/>
        <v>225920</v>
      </c>
      <c r="Q270" s="15">
        <f t="shared" si="27"/>
        <v>494080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151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1132500</v>
      </c>
      <c r="J275" s="16"/>
      <c r="K275" s="15">
        <v>200000</v>
      </c>
      <c r="L275" s="15">
        <f t="shared" si="24"/>
        <v>3020</v>
      </c>
      <c r="M275" s="16"/>
      <c r="N275" s="16"/>
      <c r="O275" s="15">
        <f t="shared" si="25"/>
        <v>37750</v>
      </c>
      <c r="P275" s="15">
        <f t="shared" si="26"/>
        <v>240770</v>
      </c>
      <c r="Q275" s="15">
        <f t="shared" si="27"/>
        <v>891730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593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4447500</v>
      </c>
      <c r="J282" s="16"/>
      <c r="K282" s="15"/>
      <c r="L282" s="15">
        <f t="shared" si="24"/>
        <v>11860</v>
      </c>
      <c r="M282" s="16"/>
      <c r="N282" s="16"/>
      <c r="O282" s="15">
        <f t="shared" si="25"/>
        <v>148250</v>
      </c>
      <c r="P282" s="15">
        <f t="shared" si="26"/>
        <v>160110</v>
      </c>
      <c r="Q282" s="15">
        <f t="shared" si="27"/>
        <v>4287390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134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991600</v>
      </c>
      <c r="J286" s="16"/>
      <c r="K286" s="15">
        <v>400000</v>
      </c>
      <c r="L286" s="15">
        <f t="shared" si="24"/>
        <v>2680</v>
      </c>
      <c r="M286" s="20"/>
      <c r="N286" s="20"/>
      <c r="O286" s="15">
        <f t="shared" si="25"/>
        <v>33500</v>
      </c>
      <c r="P286" s="15">
        <f t="shared" si="26"/>
        <v>436180</v>
      </c>
      <c r="Q286" s="15">
        <f t="shared" si="27"/>
        <v>555420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560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4200000</v>
      </c>
      <c r="J287" s="20"/>
      <c r="K287" s="15"/>
      <c r="L287" s="15">
        <f t="shared" si="24"/>
        <v>11200</v>
      </c>
      <c r="M287" s="16"/>
      <c r="N287" s="16"/>
      <c r="O287" s="15">
        <f t="shared" si="25"/>
        <v>140000</v>
      </c>
      <c r="P287" s="15">
        <f t="shared" si="26"/>
        <v>151200</v>
      </c>
      <c r="Q287" s="15">
        <f t="shared" si="27"/>
        <v>4048800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169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1233700</v>
      </c>
      <c r="J290" s="16"/>
      <c r="K290" s="15"/>
      <c r="L290" s="15">
        <f t="shared" si="24"/>
        <v>3380</v>
      </c>
      <c r="M290" s="16"/>
      <c r="N290" s="16"/>
      <c r="O290" s="15">
        <f t="shared" si="25"/>
        <v>42250</v>
      </c>
      <c r="P290" s="15">
        <f t="shared" si="26"/>
        <v>45630</v>
      </c>
      <c r="Q290" s="15">
        <f t="shared" si="27"/>
        <v>1188070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326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2412400</v>
      </c>
      <c r="J291" s="20"/>
      <c r="K291" s="15">
        <v>400000</v>
      </c>
      <c r="L291" s="15">
        <f t="shared" si="24"/>
        <v>6520</v>
      </c>
      <c r="M291" s="16"/>
      <c r="N291" s="16"/>
      <c r="O291" s="15">
        <f t="shared" si="25"/>
        <v>81500</v>
      </c>
      <c r="P291" s="15">
        <f t="shared" si="26"/>
        <v>488020</v>
      </c>
      <c r="Q291" s="15">
        <f t="shared" si="27"/>
        <v>1924380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187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1402500</v>
      </c>
      <c r="J294" s="16"/>
      <c r="K294" s="15">
        <v>600000</v>
      </c>
      <c r="L294" s="15">
        <f t="shared" si="24"/>
        <v>3740</v>
      </c>
      <c r="M294" s="20"/>
      <c r="N294" s="20"/>
      <c r="O294" s="15">
        <f t="shared" si="25"/>
        <v>46750</v>
      </c>
      <c r="P294" s="15">
        <f t="shared" si="26"/>
        <v>650490</v>
      </c>
      <c r="Q294" s="15">
        <f t="shared" si="27"/>
        <v>752010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65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481000</v>
      </c>
      <c r="J295" s="16"/>
      <c r="K295" s="15"/>
      <c r="L295" s="15">
        <f t="shared" si="24"/>
        <v>1300</v>
      </c>
      <c r="M295" s="16"/>
      <c r="N295" s="16"/>
      <c r="O295" s="15">
        <f t="shared" si="25"/>
        <v>16250</v>
      </c>
      <c r="P295" s="15">
        <f t="shared" si="26"/>
        <v>17550</v>
      </c>
      <c r="Q295" s="15">
        <f t="shared" si="27"/>
        <v>463450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255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1912500</v>
      </c>
      <c r="J296" s="20"/>
      <c r="K296" s="15">
        <v>600000</v>
      </c>
      <c r="L296" s="15">
        <f t="shared" si="24"/>
        <v>5100</v>
      </c>
      <c r="M296" s="20"/>
      <c r="N296" s="20"/>
      <c r="O296" s="15">
        <f t="shared" si="25"/>
        <v>63750</v>
      </c>
      <c r="P296" s="15">
        <f t="shared" si="26"/>
        <v>668850</v>
      </c>
      <c r="Q296" s="15">
        <f t="shared" si="27"/>
        <v>1243650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814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6023600</v>
      </c>
      <c r="J298" s="20"/>
      <c r="K298" s="15"/>
      <c r="L298" s="15">
        <f t="shared" si="24"/>
        <v>16280</v>
      </c>
      <c r="M298" s="20"/>
      <c r="N298" s="20"/>
      <c r="O298" s="15">
        <f t="shared" si="25"/>
        <v>203500</v>
      </c>
      <c r="P298" s="15">
        <f t="shared" si="26"/>
        <v>219780</v>
      </c>
      <c r="Q298" s="15">
        <f t="shared" si="27"/>
        <v>5803820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409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3067500</v>
      </c>
      <c r="J315" s="16"/>
      <c r="K315" s="15"/>
      <c r="L315" s="15">
        <f t="shared" si="24"/>
        <v>8180</v>
      </c>
      <c r="M315" s="20"/>
      <c r="N315" s="20"/>
      <c r="O315" s="15">
        <f t="shared" si="25"/>
        <v>102250</v>
      </c>
      <c r="P315" s="15">
        <f t="shared" si="26"/>
        <v>110430</v>
      </c>
      <c r="Q315" s="15">
        <f t="shared" si="27"/>
        <v>2957070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325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2372500</v>
      </c>
      <c r="J316" s="16"/>
      <c r="K316" s="15">
        <v>200000</v>
      </c>
      <c r="L316" s="15">
        <f t="shared" si="24"/>
        <v>6500</v>
      </c>
      <c r="M316" s="16"/>
      <c r="N316" s="16"/>
      <c r="O316" s="15">
        <f t="shared" si="25"/>
        <v>81250</v>
      </c>
      <c r="P316" s="15">
        <f t="shared" si="26"/>
        <v>287750</v>
      </c>
      <c r="Q316" s="15">
        <f t="shared" si="27"/>
        <v>2084750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41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299300</v>
      </c>
      <c r="J319" s="20"/>
      <c r="K319" s="15"/>
      <c r="L319" s="15">
        <f t="shared" si="24"/>
        <v>820</v>
      </c>
      <c r="M319" s="20"/>
      <c r="N319" s="20"/>
      <c r="O319" s="15">
        <f t="shared" si="25"/>
        <v>10250</v>
      </c>
      <c r="P319" s="15">
        <f t="shared" si="26"/>
        <v>11070</v>
      </c>
      <c r="Q319" s="15">
        <f t="shared" si="27"/>
        <v>288230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138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1035000</v>
      </c>
      <c r="J321" s="20"/>
      <c r="K321" s="15">
        <v>200000</v>
      </c>
      <c r="L321" s="15">
        <f t="shared" si="24"/>
        <v>2760</v>
      </c>
      <c r="M321" s="16"/>
      <c r="N321" s="16"/>
      <c r="O321" s="15">
        <f t="shared" si="25"/>
        <v>34500</v>
      </c>
      <c r="P321" s="15">
        <f t="shared" si="26"/>
        <v>237260</v>
      </c>
      <c r="Q321" s="15">
        <f t="shared" si="27"/>
        <v>797740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326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2379800</v>
      </c>
      <c r="J325" s="20"/>
      <c r="K325" s="15">
        <v>1200000</v>
      </c>
      <c r="L325" s="15">
        <f t="shared" ref="L325:L388" si="30">D325*20</f>
        <v>6520</v>
      </c>
      <c r="M325" s="16"/>
      <c r="N325" s="16"/>
      <c r="O325" s="15">
        <f t="shared" ref="O325:O388" si="31">250*D325</f>
        <v>81500</v>
      </c>
      <c r="P325" s="15">
        <f t="shared" ref="P325:P388" si="32">SUM(J325:O325)</f>
        <v>1288020</v>
      </c>
      <c r="Q325" s="15">
        <f t="shared" ref="Q325:Q388" si="33">I325-P325</f>
        <v>1091780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145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1044000</v>
      </c>
      <c r="J328" s="16"/>
      <c r="K328" s="15">
        <v>400000</v>
      </c>
      <c r="L328" s="15">
        <f t="shared" si="30"/>
        <v>2900</v>
      </c>
      <c r="M328" s="20"/>
      <c r="N328" s="20"/>
      <c r="O328" s="15">
        <f t="shared" si="31"/>
        <v>36250</v>
      </c>
      <c r="P328" s="15">
        <f t="shared" si="32"/>
        <v>439150</v>
      </c>
      <c r="Q328" s="15">
        <f t="shared" si="33"/>
        <v>604850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82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590400</v>
      </c>
      <c r="J335" s="16"/>
      <c r="K335" s="15"/>
      <c r="L335" s="15">
        <f t="shared" si="30"/>
        <v>1640</v>
      </c>
      <c r="M335" s="16"/>
      <c r="N335" s="16"/>
      <c r="O335" s="15">
        <f t="shared" si="31"/>
        <v>20500</v>
      </c>
      <c r="P335" s="15">
        <f t="shared" si="32"/>
        <v>22140</v>
      </c>
      <c r="Q335" s="15">
        <f t="shared" si="33"/>
        <v>568260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144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1080000</v>
      </c>
      <c r="J339" s="16">
        <v>200000</v>
      </c>
      <c r="K339" s="15">
        <v>400000</v>
      </c>
      <c r="L339" s="15">
        <f t="shared" si="30"/>
        <v>2880</v>
      </c>
      <c r="M339" s="20"/>
      <c r="N339" s="20"/>
      <c r="O339" s="15">
        <f t="shared" si="31"/>
        <v>36000</v>
      </c>
      <c r="P339" s="15">
        <f t="shared" si="32"/>
        <v>638880</v>
      </c>
      <c r="Q339" s="15">
        <f t="shared" si="33"/>
        <v>441120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290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2146000</v>
      </c>
      <c r="J344" s="20"/>
      <c r="K344" s="15">
        <v>450000</v>
      </c>
      <c r="L344" s="15">
        <f t="shared" si="30"/>
        <v>5800</v>
      </c>
      <c r="M344" s="16"/>
      <c r="N344" s="16"/>
      <c r="O344" s="15">
        <f t="shared" si="31"/>
        <v>72500</v>
      </c>
      <c r="P344" s="15">
        <f t="shared" si="32"/>
        <v>528300</v>
      </c>
      <c r="Q344" s="15">
        <f t="shared" si="33"/>
        <v>1617700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106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795000</v>
      </c>
      <c r="J350" s="16"/>
      <c r="K350" s="15">
        <v>300000</v>
      </c>
      <c r="L350" s="15">
        <f t="shared" si="30"/>
        <v>2120</v>
      </c>
      <c r="M350" s="16"/>
      <c r="N350" s="16"/>
      <c r="O350" s="15">
        <f t="shared" si="31"/>
        <v>26500</v>
      </c>
      <c r="P350" s="15">
        <f t="shared" si="32"/>
        <v>328620</v>
      </c>
      <c r="Q350" s="15">
        <f t="shared" si="33"/>
        <v>466380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172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1290000</v>
      </c>
      <c r="J353" s="20"/>
      <c r="K353" s="15">
        <v>400000</v>
      </c>
      <c r="L353" s="15">
        <f t="shared" si="30"/>
        <v>3440</v>
      </c>
      <c r="M353" s="20"/>
      <c r="N353" s="20"/>
      <c r="O353" s="15">
        <f t="shared" si="31"/>
        <v>43000</v>
      </c>
      <c r="P353" s="15">
        <f t="shared" si="32"/>
        <v>446440</v>
      </c>
      <c r="Q353" s="15">
        <f t="shared" si="33"/>
        <v>843560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54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405000</v>
      </c>
      <c r="J365" s="16"/>
      <c r="K365" s="15">
        <v>600000</v>
      </c>
      <c r="L365" s="15">
        <f t="shared" si="30"/>
        <v>1080</v>
      </c>
      <c r="M365" s="20"/>
      <c r="N365" s="20"/>
      <c r="O365" s="15">
        <f t="shared" si="31"/>
        <v>13500</v>
      </c>
      <c r="P365" s="15">
        <f t="shared" si="32"/>
        <v>614580</v>
      </c>
      <c r="Q365" s="15">
        <f t="shared" si="33"/>
        <v>-209580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45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333000</v>
      </c>
      <c r="J368" s="16"/>
      <c r="K368" s="15">
        <v>200000</v>
      </c>
      <c r="L368" s="15">
        <f t="shared" si="30"/>
        <v>900</v>
      </c>
      <c r="M368" s="16"/>
      <c r="N368" s="16"/>
      <c r="O368" s="15">
        <f t="shared" si="31"/>
        <v>11250</v>
      </c>
      <c r="P368" s="15">
        <f t="shared" si="32"/>
        <v>212150</v>
      </c>
      <c r="Q368" s="15">
        <f t="shared" si="33"/>
        <v>120850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43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313900</v>
      </c>
      <c r="J373" s="16"/>
      <c r="K373" s="15">
        <v>600000</v>
      </c>
      <c r="L373" s="15">
        <f t="shared" si="30"/>
        <v>860</v>
      </c>
      <c r="M373" s="16"/>
      <c r="N373" s="16"/>
      <c r="O373" s="15">
        <f t="shared" si="31"/>
        <v>10750</v>
      </c>
      <c r="P373" s="15">
        <f t="shared" si="32"/>
        <v>611610</v>
      </c>
      <c r="Q373" s="15">
        <f t="shared" si="33"/>
        <v>-297710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67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489100</v>
      </c>
      <c r="J378" s="16"/>
      <c r="K378" s="15"/>
      <c r="L378" s="15">
        <f t="shared" si="30"/>
        <v>1340</v>
      </c>
      <c r="M378" s="16"/>
      <c r="N378" s="16"/>
      <c r="O378" s="15">
        <f t="shared" si="31"/>
        <v>16750</v>
      </c>
      <c r="P378" s="15">
        <f t="shared" si="32"/>
        <v>18090</v>
      </c>
      <c r="Q378" s="15">
        <f t="shared" si="33"/>
        <v>471010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218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1635000</v>
      </c>
      <c r="J387" s="16"/>
      <c r="K387" s="15">
        <v>200000</v>
      </c>
      <c r="L387" s="15">
        <f t="shared" si="30"/>
        <v>4360</v>
      </c>
      <c r="M387" s="16"/>
      <c r="N387" s="16"/>
      <c r="O387" s="15">
        <f t="shared" si="31"/>
        <v>54500</v>
      </c>
      <c r="P387" s="15">
        <f t="shared" si="32"/>
        <v>258860</v>
      </c>
      <c r="Q387" s="15">
        <f t="shared" si="33"/>
        <v>1376140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106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784400</v>
      </c>
      <c r="J392" s="16"/>
      <c r="K392" s="15">
        <v>600000</v>
      </c>
      <c r="L392" s="15">
        <f t="shared" si="36"/>
        <v>2120</v>
      </c>
      <c r="M392" s="16"/>
      <c r="N392" s="16"/>
      <c r="O392" s="15">
        <f t="shared" si="37"/>
        <v>26500</v>
      </c>
      <c r="P392" s="15">
        <f t="shared" si="38"/>
        <v>628620</v>
      </c>
      <c r="Q392" s="15">
        <f t="shared" si="39"/>
        <v>155780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62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465000</v>
      </c>
      <c r="J394" s="16"/>
      <c r="K394" s="15">
        <v>200000</v>
      </c>
      <c r="L394" s="15">
        <f t="shared" si="36"/>
        <v>1240</v>
      </c>
      <c r="M394" s="16"/>
      <c r="N394" s="16"/>
      <c r="O394" s="15">
        <f t="shared" si="37"/>
        <v>15500</v>
      </c>
      <c r="P394" s="15">
        <f t="shared" si="38"/>
        <v>216740</v>
      </c>
      <c r="Q394" s="15">
        <f t="shared" si="39"/>
        <v>248260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169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1250600</v>
      </c>
      <c r="J395" s="16"/>
      <c r="K395" s="15">
        <v>400000</v>
      </c>
      <c r="L395" s="15">
        <f t="shared" si="36"/>
        <v>3380</v>
      </c>
      <c r="M395" s="16"/>
      <c r="N395" s="16"/>
      <c r="O395" s="15">
        <f t="shared" si="37"/>
        <v>42250</v>
      </c>
      <c r="P395" s="15">
        <f t="shared" si="38"/>
        <v>445630</v>
      </c>
      <c r="Q395" s="15">
        <f t="shared" si="39"/>
        <v>804970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111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821400</v>
      </c>
      <c r="J396" s="16"/>
      <c r="K396" s="15"/>
      <c r="L396" s="15">
        <f t="shared" si="36"/>
        <v>2220</v>
      </c>
      <c r="M396" s="16"/>
      <c r="N396" s="16"/>
      <c r="O396" s="15">
        <f t="shared" si="37"/>
        <v>27750</v>
      </c>
      <c r="P396" s="15">
        <f t="shared" si="38"/>
        <v>29970</v>
      </c>
      <c r="Q396" s="15">
        <f t="shared" si="39"/>
        <v>791430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181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1285100</v>
      </c>
      <c r="J398" s="16"/>
      <c r="K398" s="15"/>
      <c r="L398" s="15">
        <f t="shared" si="36"/>
        <v>3620</v>
      </c>
      <c r="M398" s="16"/>
      <c r="N398" s="16"/>
      <c r="O398" s="15">
        <f t="shared" si="37"/>
        <v>45250</v>
      </c>
      <c r="P398" s="15">
        <f t="shared" si="38"/>
        <v>48870</v>
      </c>
      <c r="Q398" s="15">
        <f t="shared" si="39"/>
        <v>1236230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120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900000</v>
      </c>
      <c r="J400" s="16"/>
      <c r="K400" s="15">
        <v>100000</v>
      </c>
      <c r="L400" s="15">
        <f t="shared" si="36"/>
        <v>2400</v>
      </c>
      <c r="M400" s="16"/>
      <c r="N400" s="16"/>
      <c r="O400" s="15">
        <f t="shared" si="37"/>
        <v>30000</v>
      </c>
      <c r="P400" s="15">
        <f t="shared" si="38"/>
        <v>132400</v>
      </c>
      <c r="Q400" s="15">
        <f t="shared" si="39"/>
        <v>767600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255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1912500</v>
      </c>
      <c r="J405" s="16"/>
      <c r="K405" s="15">
        <v>400000</v>
      </c>
      <c r="L405" s="15">
        <f t="shared" si="36"/>
        <v>5100</v>
      </c>
      <c r="M405" s="16"/>
      <c r="N405" s="16"/>
      <c r="O405" s="15">
        <f t="shared" si="37"/>
        <v>63750</v>
      </c>
      <c r="P405" s="15">
        <f t="shared" si="38"/>
        <v>468850</v>
      </c>
      <c r="Q405" s="15">
        <f t="shared" si="39"/>
        <v>1443650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127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927100</v>
      </c>
      <c r="J406" s="16"/>
      <c r="K406" s="15"/>
      <c r="L406" s="15">
        <f t="shared" si="36"/>
        <v>2540</v>
      </c>
      <c r="M406" s="16"/>
      <c r="N406" s="16"/>
      <c r="O406" s="15">
        <f t="shared" si="37"/>
        <v>31750</v>
      </c>
      <c r="P406" s="15">
        <f t="shared" si="38"/>
        <v>34290</v>
      </c>
      <c r="Q406" s="15">
        <f t="shared" si="39"/>
        <v>892810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202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1474600</v>
      </c>
      <c r="J409" s="16"/>
      <c r="K409" s="15">
        <v>200000</v>
      </c>
      <c r="L409" s="15">
        <f t="shared" si="36"/>
        <v>4040</v>
      </c>
      <c r="M409" s="16"/>
      <c r="N409" s="16"/>
      <c r="O409" s="15">
        <f t="shared" si="37"/>
        <v>50500</v>
      </c>
      <c r="P409" s="15">
        <f t="shared" si="38"/>
        <v>254540</v>
      </c>
      <c r="Q409" s="15">
        <f t="shared" si="39"/>
        <v>1220060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249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1842600</v>
      </c>
      <c r="J410" s="16"/>
      <c r="K410" s="15">
        <v>1000000</v>
      </c>
      <c r="L410" s="15">
        <f t="shared" si="36"/>
        <v>4980</v>
      </c>
      <c r="M410" s="16"/>
      <c r="N410" s="16"/>
      <c r="O410" s="15">
        <f t="shared" si="37"/>
        <v>62250</v>
      </c>
      <c r="P410" s="15">
        <f t="shared" si="38"/>
        <v>1067230</v>
      </c>
      <c r="Q410" s="15">
        <f t="shared" si="39"/>
        <v>775370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386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2817800</v>
      </c>
      <c r="J419" s="20"/>
      <c r="K419" s="20"/>
      <c r="L419" s="15">
        <f t="shared" si="36"/>
        <v>7720</v>
      </c>
      <c r="M419" s="16"/>
      <c r="N419" s="16"/>
      <c r="O419" s="15">
        <f t="shared" si="37"/>
        <v>96500</v>
      </c>
      <c r="P419" s="15">
        <f t="shared" si="38"/>
        <v>104220</v>
      </c>
      <c r="Q419" s="15">
        <f t="shared" si="39"/>
        <v>2713580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186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1376400</v>
      </c>
      <c r="J421" s="16"/>
      <c r="K421" s="15"/>
      <c r="L421" s="15">
        <f t="shared" si="36"/>
        <v>3720</v>
      </c>
      <c r="M421" s="16"/>
      <c r="N421" s="16"/>
      <c r="O421" s="15">
        <f t="shared" si="37"/>
        <v>46500</v>
      </c>
      <c r="P421" s="15">
        <f t="shared" si="38"/>
        <v>50220</v>
      </c>
      <c r="Q421" s="15">
        <f t="shared" si="39"/>
        <v>1326180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415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3029500</v>
      </c>
      <c r="J425" s="16"/>
      <c r="K425" s="15"/>
      <c r="L425" s="15">
        <f t="shared" si="36"/>
        <v>8300</v>
      </c>
      <c r="M425" s="16"/>
      <c r="N425" s="16"/>
      <c r="O425" s="15">
        <f t="shared" si="37"/>
        <v>103750</v>
      </c>
      <c r="P425" s="15">
        <f t="shared" si="38"/>
        <v>112050</v>
      </c>
      <c r="Q425" s="15">
        <f t="shared" si="39"/>
        <v>2917450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351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2562300</v>
      </c>
      <c r="J427" s="16"/>
      <c r="K427" s="15"/>
      <c r="L427" s="15">
        <f t="shared" si="36"/>
        <v>7020</v>
      </c>
      <c r="M427" s="16"/>
      <c r="N427" s="16"/>
      <c r="O427" s="15">
        <f t="shared" si="37"/>
        <v>87750</v>
      </c>
      <c r="P427" s="15">
        <f t="shared" si="38"/>
        <v>94770</v>
      </c>
      <c r="Q427" s="15">
        <f t="shared" si="39"/>
        <v>2467530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451</v>
      </c>
      <c r="C433" s="13"/>
      <c r="D433" s="20"/>
      <c r="E433" s="15">
        <v>6500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184</v>
      </c>
      <c r="E434" s="15">
        <v>6500</v>
      </c>
      <c r="F434" s="15">
        <v>200</v>
      </c>
      <c r="G434" s="15">
        <v>400</v>
      </c>
      <c r="H434" s="15">
        <f t="shared" ref="H434" si="42">SUM(E434:G434)</f>
        <v>7100</v>
      </c>
      <c r="I434" s="15">
        <f t="shared" ref="I434" si="43">H434*D434</f>
        <v>1306400</v>
      </c>
      <c r="J434" s="16"/>
      <c r="K434" s="15">
        <v>600000</v>
      </c>
      <c r="L434" s="15">
        <f t="shared" ref="L434" si="44">D434*20</f>
        <v>3680</v>
      </c>
      <c r="M434" s="16"/>
      <c r="N434" s="16"/>
      <c r="O434" s="15">
        <f t="shared" ref="O434" si="45">250*D434</f>
        <v>46000</v>
      </c>
      <c r="P434" s="15">
        <f t="shared" ref="P434" si="46">SUM(J434:O434)</f>
        <v>649680</v>
      </c>
      <c r="Q434" s="15">
        <f t="shared" ref="Q434" si="47">I434-P434</f>
        <v>656720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311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2208100</v>
      </c>
      <c r="J437" s="16"/>
      <c r="K437" s="15">
        <v>200000</v>
      </c>
      <c r="L437" s="15">
        <f t="shared" si="36"/>
        <v>6220</v>
      </c>
      <c r="M437" s="16"/>
      <c r="N437" s="16"/>
      <c r="O437" s="15">
        <f t="shared" si="37"/>
        <v>77750</v>
      </c>
      <c r="P437" s="15">
        <f t="shared" si="38"/>
        <v>283970</v>
      </c>
      <c r="Q437" s="15">
        <f t="shared" si="39"/>
        <v>1924130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178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1335000</v>
      </c>
      <c r="J444" s="16"/>
      <c r="K444" s="15">
        <v>200000</v>
      </c>
      <c r="L444" s="15">
        <f t="shared" si="36"/>
        <v>3560</v>
      </c>
      <c r="M444" s="16"/>
      <c r="N444" s="16"/>
      <c r="O444" s="15">
        <f t="shared" si="37"/>
        <v>44500</v>
      </c>
      <c r="P444" s="15">
        <f t="shared" si="38"/>
        <v>248060</v>
      </c>
      <c r="Q444" s="15">
        <f t="shared" si="39"/>
        <v>1086940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110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814000</v>
      </c>
      <c r="J447" s="16"/>
      <c r="K447" s="15">
        <v>400000</v>
      </c>
      <c r="L447" s="15">
        <f t="shared" si="36"/>
        <v>2200</v>
      </c>
      <c r="M447" s="16"/>
      <c r="N447" s="16"/>
      <c r="O447" s="15">
        <f t="shared" si="37"/>
        <v>27500</v>
      </c>
      <c r="P447" s="15">
        <f t="shared" si="38"/>
        <v>429700</v>
      </c>
      <c r="Q447" s="15">
        <f t="shared" si="39"/>
        <v>384300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305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2287500</v>
      </c>
      <c r="J449" s="16"/>
      <c r="K449" s="15">
        <v>200000</v>
      </c>
      <c r="L449" s="15">
        <f t="shared" si="36"/>
        <v>6100</v>
      </c>
      <c r="M449" s="16"/>
      <c r="N449" s="16"/>
      <c r="O449" s="15">
        <f t="shared" si="37"/>
        <v>76250</v>
      </c>
      <c r="P449" s="15">
        <f t="shared" si="38"/>
        <v>282350</v>
      </c>
      <c r="Q449" s="15">
        <f t="shared" si="39"/>
        <v>2005150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128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947200</v>
      </c>
      <c r="J451" s="16"/>
      <c r="K451" s="15">
        <v>400000</v>
      </c>
      <c r="L451" s="15">
        <f t="shared" si="36"/>
        <v>2560</v>
      </c>
      <c r="M451" s="16"/>
      <c r="N451" s="16"/>
      <c r="O451" s="15">
        <f t="shared" si="37"/>
        <v>32000</v>
      </c>
      <c r="P451" s="15">
        <f t="shared" si="38"/>
        <v>434560</v>
      </c>
      <c r="Q451" s="15">
        <f t="shared" si="39"/>
        <v>512640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/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157</v>
      </c>
      <c r="E454" s="15">
        <v>6500</v>
      </c>
      <c r="F454" s="15">
        <v>400</v>
      </c>
      <c r="G454" s="15">
        <v>400</v>
      </c>
      <c r="H454" s="15">
        <f t="shared" ref="H454:H474" si="52">SUM(E454:G454)</f>
        <v>7300</v>
      </c>
      <c r="I454" s="15">
        <f t="shared" ref="I454:I475" si="53">H454*D454</f>
        <v>1146100</v>
      </c>
      <c r="J454" s="16"/>
      <c r="K454" s="15"/>
      <c r="L454" s="15">
        <f t="shared" si="48"/>
        <v>3140</v>
      </c>
      <c r="M454" s="16"/>
      <c r="N454" s="16"/>
      <c r="O454" s="15">
        <f t="shared" si="49"/>
        <v>39250</v>
      </c>
      <c r="P454" s="15">
        <f t="shared" si="50"/>
        <v>42390</v>
      </c>
      <c r="Q454" s="15">
        <f t="shared" si="51"/>
        <v>1103710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52"/>
        <v>7300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52"/>
        <v>7200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84</v>
      </c>
      <c r="E457" s="15">
        <v>6500</v>
      </c>
      <c r="F457" s="15">
        <v>500</v>
      </c>
      <c r="G457" s="15">
        <v>400</v>
      </c>
      <c r="H457" s="15">
        <f t="shared" si="52"/>
        <v>7400</v>
      </c>
      <c r="I457" s="15">
        <f t="shared" si="53"/>
        <v>621600</v>
      </c>
      <c r="J457" s="16"/>
      <c r="K457" s="15">
        <v>200000</v>
      </c>
      <c r="L457" s="15">
        <f t="shared" si="48"/>
        <v>1680</v>
      </c>
      <c r="M457" s="16"/>
      <c r="N457" s="16"/>
      <c r="O457" s="15">
        <f t="shared" si="49"/>
        <v>21000</v>
      </c>
      <c r="P457" s="15">
        <f t="shared" si="50"/>
        <v>222680</v>
      </c>
      <c r="Q457" s="15">
        <f t="shared" si="51"/>
        <v>398920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52"/>
        <v>7200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118</v>
      </c>
      <c r="E459" s="15">
        <v>6500</v>
      </c>
      <c r="F459" s="15">
        <v>600</v>
      </c>
      <c r="G459" s="15">
        <v>400</v>
      </c>
      <c r="H459" s="15">
        <f t="shared" ref="H459" si="54">SUM(E459:G459)</f>
        <v>7500</v>
      </c>
      <c r="I459" s="15">
        <f t="shared" ref="I459" si="55">H459*D459</f>
        <v>885000</v>
      </c>
      <c r="J459" s="16"/>
      <c r="K459" s="15">
        <v>200000</v>
      </c>
      <c r="L459" s="15">
        <f t="shared" ref="L459" si="56">D459*20</f>
        <v>2360</v>
      </c>
      <c r="M459" s="16"/>
      <c r="N459" s="16"/>
      <c r="O459" s="15">
        <f t="shared" ref="O459" si="57">250*D459</f>
        <v>29500</v>
      </c>
      <c r="P459" s="15">
        <f t="shared" ref="P459" si="58">SUM(J459:O459)</f>
        <v>231860</v>
      </c>
      <c r="Q459" s="15">
        <f t="shared" si="51"/>
        <v>653140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340</v>
      </c>
      <c r="E460" s="15">
        <v>6500</v>
      </c>
      <c r="F460" s="15">
        <v>600</v>
      </c>
      <c r="G460" s="15">
        <v>400</v>
      </c>
      <c r="H460" s="15">
        <f t="shared" si="52"/>
        <v>7500</v>
      </c>
      <c r="I460" s="15">
        <f t="shared" si="53"/>
        <v>2550000</v>
      </c>
      <c r="J460" s="16"/>
      <c r="K460" s="15"/>
      <c r="L460" s="15">
        <f t="shared" si="48"/>
        <v>6800</v>
      </c>
      <c r="M460" s="16"/>
      <c r="N460" s="16"/>
      <c r="O460" s="15">
        <f t="shared" si="49"/>
        <v>85000</v>
      </c>
      <c r="P460" s="15">
        <f t="shared" si="50"/>
        <v>91800</v>
      </c>
      <c r="Q460" s="15">
        <f t="shared" si="51"/>
        <v>2458200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128</v>
      </c>
      <c r="E461" s="15">
        <v>6500</v>
      </c>
      <c r="F461" s="15">
        <v>400</v>
      </c>
      <c r="G461" s="15">
        <v>400</v>
      </c>
      <c r="H461" s="15">
        <f t="shared" si="52"/>
        <v>7300</v>
      </c>
      <c r="I461" s="15">
        <f t="shared" si="53"/>
        <v>934400</v>
      </c>
      <c r="J461" s="16"/>
      <c r="K461" s="15">
        <v>200000</v>
      </c>
      <c r="L461" s="15">
        <f t="shared" si="48"/>
        <v>2560</v>
      </c>
      <c r="M461" s="16"/>
      <c r="N461" s="16"/>
      <c r="O461" s="15">
        <f t="shared" si="49"/>
        <v>32000</v>
      </c>
      <c r="P461" s="15">
        <f t="shared" si="50"/>
        <v>234560</v>
      </c>
      <c r="Q461" s="15">
        <f t="shared" si="51"/>
        <v>699840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212</v>
      </c>
      <c r="E462" s="15">
        <v>6500</v>
      </c>
      <c r="F462" s="15">
        <v>200</v>
      </c>
      <c r="G462" s="15">
        <v>400</v>
      </c>
      <c r="H462" s="15">
        <f t="shared" si="52"/>
        <v>7100</v>
      </c>
      <c r="I462" s="15">
        <f t="shared" si="53"/>
        <v>1505200</v>
      </c>
      <c r="J462" s="16"/>
      <c r="K462" s="15">
        <v>400000</v>
      </c>
      <c r="L462" s="15">
        <f t="shared" si="48"/>
        <v>4240</v>
      </c>
      <c r="M462" s="16"/>
      <c r="N462" s="16"/>
      <c r="O462" s="15">
        <f t="shared" si="49"/>
        <v>53000</v>
      </c>
      <c r="P462" s="15">
        <f t="shared" si="50"/>
        <v>457240</v>
      </c>
      <c r="Q462" s="15">
        <f t="shared" si="51"/>
        <v>1047960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115</v>
      </c>
      <c r="E463" s="15">
        <v>6500</v>
      </c>
      <c r="F463" s="15">
        <v>500</v>
      </c>
      <c r="G463" s="15">
        <v>400</v>
      </c>
      <c r="H463" s="15">
        <f t="shared" si="52"/>
        <v>7400</v>
      </c>
      <c r="I463" s="15">
        <f t="shared" si="53"/>
        <v>851000</v>
      </c>
      <c r="J463" s="16"/>
      <c r="K463" s="15">
        <v>200000</v>
      </c>
      <c r="L463" s="15">
        <f t="shared" si="48"/>
        <v>2300</v>
      </c>
      <c r="M463" s="16"/>
      <c r="N463" s="16"/>
      <c r="O463" s="15">
        <f t="shared" si="49"/>
        <v>28750</v>
      </c>
      <c r="P463" s="15">
        <f t="shared" si="50"/>
        <v>231050</v>
      </c>
      <c r="Q463" s="15">
        <f t="shared" si="51"/>
        <v>619950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84</v>
      </c>
      <c r="E464" s="15">
        <v>6500</v>
      </c>
      <c r="F464" s="15">
        <v>200</v>
      </c>
      <c r="G464" s="15">
        <v>400</v>
      </c>
      <c r="H464" s="15">
        <f t="shared" si="52"/>
        <v>7100</v>
      </c>
      <c r="I464" s="15">
        <f t="shared" si="53"/>
        <v>596400</v>
      </c>
      <c r="J464" s="16"/>
      <c r="K464" s="15"/>
      <c r="L464" s="15">
        <f t="shared" si="48"/>
        <v>1680</v>
      </c>
      <c r="M464" s="16"/>
      <c r="N464" s="16"/>
      <c r="O464" s="15">
        <f t="shared" si="49"/>
        <v>21000</v>
      </c>
      <c r="P464" s="15">
        <f t="shared" si="50"/>
        <v>22680</v>
      </c>
      <c r="Q464" s="15">
        <f t="shared" si="51"/>
        <v>573720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224</v>
      </c>
      <c r="E465" s="15">
        <v>6500</v>
      </c>
      <c r="F465" s="15">
        <v>400</v>
      </c>
      <c r="G465" s="15">
        <v>400</v>
      </c>
      <c r="H465" s="15">
        <f t="shared" si="52"/>
        <v>7300</v>
      </c>
      <c r="I465" s="15">
        <f t="shared" si="53"/>
        <v>1635200</v>
      </c>
      <c r="J465" s="16"/>
      <c r="K465" s="15">
        <v>200000</v>
      </c>
      <c r="L465" s="15">
        <f t="shared" si="48"/>
        <v>4480</v>
      </c>
      <c r="M465" s="16"/>
      <c r="N465" s="16"/>
      <c r="O465" s="15">
        <f t="shared" si="49"/>
        <v>56000</v>
      </c>
      <c r="P465" s="15">
        <f t="shared" si="50"/>
        <v>260480</v>
      </c>
      <c r="Q465" s="15">
        <f t="shared" si="51"/>
        <v>1374720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117</v>
      </c>
      <c r="E466" s="15">
        <v>6500</v>
      </c>
      <c r="F466" s="15">
        <v>500</v>
      </c>
      <c r="G466" s="15">
        <v>400</v>
      </c>
      <c r="H466" s="15">
        <f t="shared" si="52"/>
        <v>7400</v>
      </c>
      <c r="I466" s="15">
        <f t="shared" si="53"/>
        <v>865800</v>
      </c>
      <c r="J466" s="16"/>
      <c r="K466" s="15"/>
      <c r="L466" s="15">
        <f t="shared" si="48"/>
        <v>2340</v>
      </c>
      <c r="M466" s="16"/>
      <c r="N466" s="16"/>
      <c r="O466" s="15">
        <f t="shared" si="49"/>
        <v>29250</v>
      </c>
      <c r="P466" s="15">
        <f t="shared" si="50"/>
        <v>31590</v>
      </c>
      <c r="Q466" s="15">
        <f t="shared" si="51"/>
        <v>834210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52"/>
        <v>7300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439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52"/>
        <v>7300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52"/>
        <v>7300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52"/>
        <v>7400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/>
      <c r="E471" s="15">
        <v>6500</v>
      </c>
      <c r="F471" s="15">
        <v>300</v>
      </c>
      <c r="G471" s="15">
        <v>400</v>
      </c>
      <c r="H471" s="15">
        <f t="shared" si="52"/>
        <v>7200</v>
      </c>
      <c r="I471" s="15">
        <f t="shared" si="53"/>
        <v>0</v>
      </c>
      <c r="J471" s="16"/>
      <c r="K471" s="15"/>
      <c r="L471" s="15">
        <f t="shared" si="48"/>
        <v>0</v>
      </c>
      <c r="M471" s="16"/>
      <c r="N471" s="16"/>
      <c r="O471" s="15">
        <f t="shared" si="49"/>
        <v>0</v>
      </c>
      <c r="P471" s="15">
        <f t="shared" si="50"/>
        <v>0</v>
      </c>
      <c r="Q471" s="15">
        <f t="shared" si="51"/>
        <v>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52"/>
        <v>7300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52"/>
        <v>7300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86</v>
      </c>
      <c r="E474" s="15">
        <v>6500</v>
      </c>
      <c r="F474" s="15">
        <v>500</v>
      </c>
      <c r="G474" s="15">
        <v>400</v>
      </c>
      <c r="H474" s="15">
        <f t="shared" si="52"/>
        <v>7400</v>
      </c>
      <c r="I474" s="15">
        <f t="shared" si="53"/>
        <v>636400</v>
      </c>
      <c r="J474" s="16"/>
      <c r="K474" s="15">
        <v>200000</v>
      </c>
      <c r="L474" s="15">
        <f t="shared" si="48"/>
        <v>1720</v>
      </c>
      <c r="M474" s="16"/>
      <c r="N474" s="16"/>
      <c r="O474" s="15">
        <f t="shared" si="49"/>
        <v>21500</v>
      </c>
      <c r="P474" s="15">
        <f t="shared" si="50"/>
        <v>223220</v>
      </c>
      <c r="Q474" s="15">
        <f t="shared" si="51"/>
        <v>413180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1096</v>
      </c>
      <c r="E475" s="15">
        <v>6500</v>
      </c>
      <c r="F475" s="15">
        <v>600</v>
      </c>
      <c r="G475" s="15">
        <v>400</v>
      </c>
      <c r="H475" s="15">
        <f t="shared" ref="H475" si="59">SUM(E475:G475)</f>
        <v>7500</v>
      </c>
      <c r="I475" s="15">
        <f t="shared" si="53"/>
        <v>8220000</v>
      </c>
      <c r="J475" s="16"/>
      <c r="K475" s="15"/>
      <c r="L475" s="15">
        <f t="shared" ref="L475" si="60">D475*20</f>
        <v>21920</v>
      </c>
      <c r="M475" s="16"/>
      <c r="N475" s="16"/>
      <c r="O475" s="15">
        <f t="shared" ref="O475" si="61">250*D475</f>
        <v>274000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>
        <v>55</v>
      </c>
      <c r="E476" s="15">
        <v>6500</v>
      </c>
      <c r="F476" s="15">
        <v>400</v>
      </c>
      <c r="G476" s="15">
        <v>400</v>
      </c>
      <c r="H476" s="15">
        <f t="shared" ref="H476:H478" si="62">SUM(E476:G476)</f>
        <v>7300</v>
      </c>
      <c r="I476" s="15">
        <f t="shared" ref="I476:I478" si="63">H476*D476</f>
        <v>401500</v>
      </c>
      <c r="J476" s="16"/>
      <c r="K476" s="15"/>
      <c r="L476" s="15">
        <f t="shared" ref="L476:L478" si="64">D476*20</f>
        <v>1100</v>
      </c>
      <c r="M476" s="16"/>
      <c r="N476" s="16"/>
      <c r="O476" s="15">
        <f t="shared" ref="O476:O478" si="65">250*D476</f>
        <v>13750</v>
      </c>
      <c r="P476" s="15"/>
      <c r="Q476" s="15"/>
      <c r="R476" s="17"/>
    </row>
    <row r="477" spans="1:18" ht="16.5" x14ac:dyDescent="0.25">
      <c r="A477" s="12">
        <v>1670</v>
      </c>
      <c r="B477" s="13" t="s">
        <v>456</v>
      </c>
      <c r="C477" s="13" t="s">
        <v>36</v>
      </c>
      <c r="D477" s="20">
        <v>341</v>
      </c>
      <c r="E477" s="15">
        <v>6500</v>
      </c>
      <c r="F477" s="15">
        <v>400</v>
      </c>
      <c r="G477" s="15">
        <v>400</v>
      </c>
      <c r="H477" s="15">
        <f t="shared" si="62"/>
        <v>7300</v>
      </c>
      <c r="I477" s="15">
        <f t="shared" si="63"/>
        <v>2489300</v>
      </c>
      <c r="J477" s="16"/>
      <c r="K477" s="15"/>
      <c r="L477" s="15">
        <f t="shared" si="64"/>
        <v>6820</v>
      </c>
      <c r="M477" s="16"/>
      <c r="N477" s="16"/>
      <c r="O477" s="15">
        <f t="shared" si="65"/>
        <v>85250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282</v>
      </c>
      <c r="E478" s="15">
        <v>6500</v>
      </c>
      <c r="F478" s="15">
        <v>600</v>
      </c>
      <c r="G478" s="15">
        <v>400</v>
      </c>
      <c r="H478" s="15">
        <f t="shared" si="62"/>
        <v>7500</v>
      </c>
      <c r="I478" s="15">
        <f t="shared" si="63"/>
        <v>2115000</v>
      </c>
      <c r="J478" s="16"/>
      <c r="K478" s="15"/>
      <c r="L478" s="15">
        <f t="shared" si="64"/>
        <v>5640</v>
      </c>
      <c r="M478" s="16"/>
      <c r="N478" s="16"/>
      <c r="O478" s="15">
        <f t="shared" si="65"/>
        <v>70500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>SUM(D4:D478)</f>
        <v>28691</v>
      </c>
      <c r="E479" s="20">
        <f>SUM(E4:E478)</f>
        <v>3087500</v>
      </c>
      <c r="F479" s="20">
        <f t="shared" ref="F479:G479" si="66">SUM(F4:F478)</f>
        <v>178900</v>
      </c>
      <c r="G479" s="20">
        <f t="shared" si="66"/>
        <v>190000</v>
      </c>
      <c r="H479" s="20">
        <f t="shared" ref="H479:Q479" si="67">SUM(H4:H478)</f>
        <v>3448300</v>
      </c>
      <c r="I479" s="20">
        <f>SUM(I4:I478)</f>
        <v>212313000</v>
      </c>
      <c r="J479" s="20">
        <f t="shared" si="67"/>
        <v>300000</v>
      </c>
      <c r="K479" s="20">
        <f t="shared" si="67"/>
        <v>44265000</v>
      </c>
      <c r="L479" s="20">
        <f t="shared" si="67"/>
        <v>573820</v>
      </c>
      <c r="M479" s="20">
        <f t="shared" si="67"/>
        <v>0</v>
      </c>
      <c r="N479" s="20">
        <f t="shared" si="67"/>
        <v>0</v>
      </c>
      <c r="O479" s="20">
        <f t="shared" si="67"/>
        <v>7172750</v>
      </c>
      <c r="P479" s="20">
        <f t="shared" si="67"/>
        <v>51832590</v>
      </c>
      <c r="Q479" s="20">
        <f t="shared" si="67"/>
        <v>147254610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426</v>
      </c>
      <c r="F493" s="8" t="s">
        <v>427</v>
      </c>
      <c r="G493" s="8" t="s">
        <v>428</v>
      </c>
      <c r="H493" s="8" t="s">
        <v>429</v>
      </c>
      <c r="I493" s="8" t="s">
        <v>430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425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/>
      <c r="D494" s="40">
        <v>60</v>
      </c>
      <c r="E494" s="16">
        <v>7300</v>
      </c>
      <c r="F494" s="16"/>
      <c r="G494" s="16"/>
      <c r="H494" s="15">
        <f t="shared" ref="H494:H502" si="68">SUM(E494:G494)</f>
        <v>7300</v>
      </c>
      <c r="I494" s="15">
        <f t="shared" ref="I494:I502" si="69">D494*H494</f>
        <v>438000</v>
      </c>
      <c r="J494" s="20"/>
      <c r="K494" s="15"/>
      <c r="L494" s="15"/>
      <c r="M494" s="20"/>
      <c r="N494" s="20"/>
      <c r="O494" s="22"/>
      <c r="P494" s="15">
        <f t="shared" ref="P494:P502" si="70">SUM(J494:O494)</f>
        <v>0</v>
      </c>
      <c r="Q494" s="15">
        <f t="shared" ref="Q494:Q502" si="71"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/>
      <c r="D495" s="20">
        <v>165</v>
      </c>
      <c r="E495" s="16">
        <v>7300</v>
      </c>
      <c r="F495" s="16"/>
      <c r="G495" s="16"/>
      <c r="H495" s="15">
        <f t="shared" si="68"/>
        <v>7300</v>
      </c>
      <c r="I495" s="15">
        <f t="shared" si="69"/>
        <v>1204500</v>
      </c>
      <c r="J495" s="20"/>
      <c r="K495" s="15"/>
      <c r="L495" s="15"/>
      <c r="M495" s="20"/>
      <c r="N495" s="20"/>
      <c r="O495" s="22"/>
      <c r="P495" s="15">
        <f t="shared" si="70"/>
        <v>0</v>
      </c>
      <c r="Q495" s="15">
        <f t="shared" si="71"/>
        <v>1204500</v>
      </c>
      <c r="R495" s="36"/>
    </row>
    <row r="496" spans="1:18" ht="16.5" x14ac:dyDescent="0.25">
      <c r="A496" s="12">
        <v>0</v>
      </c>
      <c r="B496" s="13" t="s">
        <v>21</v>
      </c>
      <c r="C496" s="13"/>
      <c r="D496" s="20">
        <v>9</v>
      </c>
      <c r="E496" s="16">
        <v>7300</v>
      </c>
      <c r="F496" s="16"/>
      <c r="G496" s="16"/>
      <c r="H496" s="15">
        <f t="shared" si="68"/>
        <v>7300</v>
      </c>
      <c r="I496" s="15">
        <f t="shared" si="69"/>
        <v>65700</v>
      </c>
      <c r="J496" s="20"/>
      <c r="K496" s="15"/>
      <c r="L496" s="15"/>
      <c r="M496" s="20"/>
      <c r="N496" s="20"/>
      <c r="O496" s="22"/>
      <c r="P496" s="15">
        <f t="shared" si="70"/>
        <v>0</v>
      </c>
      <c r="Q496" s="15">
        <f t="shared" si="71"/>
        <v>65700</v>
      </c>
      <c r="R496" s="36"/>
    </row>
    <row r="497" spans="1:18" ht="16.5" x14ac:dyDescent="0.25">
      <c r="A497" s="12">
        <v>0</v>
      </c>
      <c r="B497" s="13" t="s">
        <v>47</v>
      </c>
      <c r="C497" s="13"/>
      <c r="D497" s="20">
        <v>70</v>
      </c>
      <c r="E497" s="16">
        <v>7300</v>
      </c>
      <c r="F497" s="16"/>
      <c r="G497" s="16"/>
      <c r="H497" s="15">
        <f t="shared" si="68"/>
        <v>7300</v>
      </c>
      <c r="I497" s="15">
        <f t="shared" si="69"/>
        <v>511000</v>
      </c>
      <c r="J497" s="20"/>
      <c r="K497" s="15"/>
      <c r="L497" s="15"/>
      <c r="M497" s="20"/>
      <c r="N497" s="20"/>
      <c r="O497" s="22"/>
      <c r="P497" s="15">
        <f t="shared" si="70"/>
        <v>0</v>
      </c>
      <c r="Q497" s="15">
        <f t="shared" si="71"/>
        <v>511000</v>
      </c>
      <c r="R497" s="36"/>
    </row>
    <row r="498" spans="1:18" ht="16.5" x14ac:dyDescent="0.25">
      <c r="A498" s="12">
        <v>0</v>
      </c>
      <c r="B498" s="13" t="s">
        <v>43</v>
      </c>
      <c r="C498" s="13"/>
      <c r="D498" s="20">
        <v>260</v>
      </c>
      <c r="E498" s="16">
        <v>7300</v>
      </c>
      <c r="F498" s="16"/>
      <c r="G498" s="16"/>
      <c r="H498" s="15">
        <f t="shared" si="68"/>
        <v>7300</v>
      </c>
      <c r="I498" s="15">
        <f t="shared" si="69"/>
        <v>1898000</v>
      </c>
      <c r="J498" s="20"/>
      <c r="K498" s="15"/>
      <c r="L498" s="15"/>
      <c r="M498" s="20"/>
      <c r="N498" s="20"/>
      <c r="O498" s="22"/>
      <c r="P498" s="15">
        <f t="shared" si="70"/>
        <v>0</v>
      </c>
      <c r="Q498" s="15">
        <f t="shared" si="71"/>
        <v>1898000</v>
      </c>
      <c r="R498" s="36"/>
    </row>
    <row r="499" spans="1:18" ht="16.5" x14ac:dyDescent="0.25">
      <c r="A499" s="12">
        <v>0</v>
      </c>
      <c r="B499" s="13" t="s">
        <v>30</v>
      </c>
      <c r="C499" s="13"/>
      <c r="D499" s="20">
        <v>200</v>
      </c>
      <c r="E499" s="16">
        <v>7300</v>
      </c>
      <c r="F499" s="16"/>
      <c r="G499" s="16"/>
      <c r="H499" s="15">
        <f t="shared" si="68"/>
        <v>7300</v>
      </c>
      <c r="I499" s="15">
        <f t="shared" si="69"/>
        <v>1460000</v>
      </c>
      <c r="J499" s="20"/>
      <c r="K499" s="15"/>
      <c r="L499" s="15"/>
      <c r="M499" s="20"/>
      <c r="N499" s="20"/>
      <c r="O499" s="22"/>
      <c r="P499" s="15">
        <f t="shared" si="70"/>
        <v>0</v>
      </c>
      <c r="Q499" s="15">
        <f t="shared" si="71"/>
        <v>1460000</v>
      </c>
      <c r="R499" s="36"/>
    </row>
    <row r="500" spans="1:18" ht="16.5" x14ac:dyDescent="0.25">
      <c r="A500" s="12">
        <v>0</v>
      </c>
      <c r="B500" s="13" t="s">
        <v>54</v>
      </c>
      <c r="C500" s="13"/>
      <c r="D500" s="20">
        <v>70</v>
      </c>
      <c r="E500" s="16">
        <v>7300</v>
      </c>
      <c r="F500" s="16"/>
      <c r="G500" s="16"/>
      <c r="H500" s="15">
        <f t="shared" si="68"/>
        <v>7300</v>
      </c>
      <c r="I500" s="15">
        <f t="shared" si="69"/>
        <v>511000</v>
      </c>
      <c r="J500" s="20"/>
      <c r="K500" s="15"/>
      <c r="L500" s="15"/>
      <c r="M500" s="20"/>
      <c r="N500" s="20"/>
      <c r="O500" s="22"/>
      <c r="P500" s="15">
        <f t="shared" si="70"/>
        <v>0</v>
      </c>
      <c r="Q500" s="15">
        <f t="shared" si="7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/>
      <c r="D501" s="20">
        <v>20</v>
      </c>
      <c r="E501" s="16">
        <v>7300</v>
      </c>
      <c r="F501" s="16"/>
      <c r="G501" s="16"/>
      <c r="H501" s="15">
        <f t="shared" si="68"/>
        <v>7300</v>
      </c>
      <c r="I501" s="15">
        <f t="shared" si="69"/>
        <v>146000</v>
      </c>
      <c r="J501" s="20"/>
      <c r="K501" s="15"/>
      <c r="L501" s="15"/>
      <c r="M501" s="20"/>
      <c r="N501" s="20"/>
      <c r="O501" s="22"/>
      <c r="P501" s="15">
        <f t="shared" si="70"/>
        <v>0</v>
      </c>
      <c r="Q501" s="15">
        <f t="shared" si="71"/>
        <v>146000</v>
      </c>
      <c r="R501" s="36"/>
    </row>
    <row r="502" spans="1:18" ht="16.5" x14ac:dyDescent="0.25">
      <c r="A502" s="12">
        <v>0</v>
      </c>
      <c r="B502" s="41" t="s">
        <v>19</v>
      </c>
      <c r="C502" s="13"/>
      <c r="D502" s="20"/>
      <c r="E502" s="16">
        <v>7300</v>
      </c>
      <c r="F502" s="16"/>
      <c r="G502" s="16"/>
      <c r="H502" s="15">
        <f t="shared" si="68"/>
        <v>7300</v>
      </c>
      <c r="I502" s="15">
        <f t="shared" si="69"/>
        <v>0</v>
      </c>
      <c r="J502" s="20"/>
      <c r="K502" s="15"/>
      <c r="L502" s="15"/>
      <c r="M502" s="20"/>
      <c r="N502" s="20"/>
      <c r="O502" s="22"/>
      <c r="P502" s="15">
        <f t="shared" si="70"/>
        <v>0</v>
      </c>
      <c r="Q502" s="15">
        <f t="shared" si="7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>H503-P503</f>
        <v>0</v>
      </c>
      <c r="R503" s="36"/>
    </row>
    <row r="504" spans="1:18" ht="16.5" x14ac:dyDescent="0.25">
      <c r="A504" s="44"/>
      <c r="B504" s="45" t="s">
        <v>393</v>
      </c>
      <c r="C504" s="46"/>
      <c r="D504" s="22">
        <f t="shared" ref="D504:Q504" si="72">SUM(D494:D503)</f>
        <v>854</v>
      </c>
      <c r="E504" s="22">
        <f t="shared" si="72"/>
        <v>65700</v>
      </c>
      <c r="F504" s="22">
        <f t="shared" ref="F504:G504" si="73">SUM(F494:F503)</f>
        <v>0</v>
      </c>
      <c r="G504" s="22">
        <f t="shared" si="73"/>
        <v>0</v>
      </c>
      <c r="H504" s="22">
        <f t="shared" si="72"/>
        <v>65700</v>
      </c>
      <c r="I504" s="22">
        <f t="shared" si="72"/>
        <v>6234200</v>
      </c>
      <c r="J504" s="22">
        <f t="shared" si="72"/>
        <v>0</v>
      </c>
      <c r="K504" s="22">
        <f t="shared" si="72"/>
        <v>0</v>
      </c>
      <c r="L504" s="22">
        <f t="shared" si="72"/>
        <v>0</v>
      </c>
      <c r="M504" s="22">
        <f t="shared" si="72"/>
        <v>0</v>
      </c>
      <c r="N504" s="22">
        <f t="shared" si="72"/>
        <v>0</v>
      </c>
      <c r="O504" s="22">
        <f t="shared" si="72"/>
        <v>0</v>
      </c>
      <c r="P504" s="22">
        <f t="shared" si="72"/>
        <v>0</v>
      </c>
      <c r="Q504" s="22">
        <f t="shared" si="72"/>
        <v>6234200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>
        <f>A492</f>
        <v>0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427</v>
      </c>
      <c r="G515" s="55" t="s">
        <v>428</v>
      </c>
      <c r="H515" s="55" t="s">
        <v>429</v>
      </c>
      <c r="I515" s="55" t="s">
        <v>432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461</v>
      </c>
      <c r="E516" s="16">
        <v>7200</v>
      </c>
      <c r="F516" s="16"/>
      <c r="G516" s="16"/>
      <c r="H516" s="15">
        <f t="shared" ref="H516:H524" si="74">SUM(E516:G516)</f>
        <v>7200</v>
      </c>
      <c r="I516" s="15">
        <f t="shared" ref="I516:I524" si="75">D516*H516</f>
        <v>0</v>
      </c>
      <c r="J516" s="15"/>
      <c r="K516" s="15"/>
      <c r="L516" s="15"/>
      <c r="M516" s="15"/>
      <c r="N516" s="15"/>
      <c r="O516" s="15"/>
      <c r="P516" s="15">
        <f t="shared" ref="P516:P524" si="76">SUM(J516:O516)</f>
        <v>0</v>
      </c>
      <c r="Q516" s="15">
        <f t="shared" ref="Q516:Q524" si="77">I516-P516</f>
        <v>0</v>
      </c>
      <c r="R516" s="59"/>
    </row>
    <row r="517" spans="1:18" ht="16.5" x14ac:dyDescent="0.3">
      <c r="A517" s="56"/>
      <c r="B517" s="57" t="s">
        <v>442</v>
      </c>
      <c r="C517" s="60" t="s">
        <v>443</v>
      </c>
      <c r="D517" s="61"/>
      <c r="E517" s="16">
        <v>8000</v>
      </c>
      <c r="F517" s="16"/>
      <c r="G517" s="16"/>
      <c r="H517" s="15">
        <f t="shared" si="74"/>
        <v>8000</v>
      </c>
      <c r="I517" s="15">
        <f t="shared" si="75"/>
        <v>0</v>
      </c>
      <c r="J517" s="15"/>
      <c r="K517" s="15"/>
      <c r="L517" s="15"/>
      <c r="M517" s="15"/>
      <c r="N517" s="15"/>
      <c r="O517" s="15"/>
      <c r="P517" s="15">
        <f t="shared" si="76"/>
        <v>0</v>
      </c>
      <c r="Q517" s="15">
        <f t="shared" si="77"/>
        <v>0</v>
      </c>
      <c r="R517" s="59"/>
    </row>
    <row r="518" spans="1:18" ht="16.5" x14ac:dyDescent="0.3">
      <c r="A518" s="56"/>
      <c r="B518" s="57" t="s">
        <v>395</v>
      </c>
      <c r="C518" s="58" t="s">
        <v>470</v>
      </c>
      <c r="D518" s="62">
        <v>280</v>
      </c>
      <c r="E518" s="16">
        <v>8000</v>
      </c>
      <c r="F518" s="16"/>
      <c r="G518" s="16"/>
      <c r="H518" s="15">
        <f t="shared" si="74"/>
        <v>8000</v>
      </c>
      <c r="I518" s="15">
        <f t="shared" si="75"/>
        <v>2240000</v>
      </c>
      <c r="J518" s="15"/>
      <c r="K518" s="15"/>
      <c r="L518" s="15"/>
      <c r="M518" s="15"/>
      <c r="N518" s="15"/>
      <c r="O518" s="15"/>
      <c r="P518" s="15">
        <f t="shared" si="76"/>
        <v>0</v>
      </c>
      <c r="Q518" s="15">
        <f t="shared" si="77"/>
        <v>2240000</v>
      </c>
      <c r="R518" s="59"/>
    </row>
    <row r="519" spans="1:18" ht="16.5" x14ac:dyDescent="0.3">
      <c r="A519" s="56"/>
      <c r="B519" s="57" t="s">
        <v>468</v>
      </c>
      <c r="C519" s="58" t="s">
        <v>414</v>
      </c>
      <c r="D519" s="61">
        <v>640</v>
      </c>
      <c r="E519" s="16">
        <v>7400</v>
      </c>
      <c r="F519" s="16"/>
      <c r="G519" s="16"/>
      <c r="H519" s="15">
        <f t="shared" si="74"/>
        <v>7400</v>
      </c>
      <c r="I519" s="15">
        <f t="shared" si="75"/>
        <v>4736000</v>
      </c>
      <c r="J519" s="15"/>
      <c r="K519" s="15"/>
      <c r="L519" s="15"/>
      <c r="M519" s="15"/>
      <c r="N519" s="15"/>
      <c r="O519" s="15"/>
      <c r="P519" s="15">
        <f t="shared" si="76"/>
        <v>0</v>
      </c>
      <c r="Q519" s="15">
        <f t="shared" si="77"/>
        <v>4736000</v>
      </c>
      <c r="R519" s="59"/>
    </row>
    <row r="520" spans="1:18" ht="16.5" x14ac:dyDescent="0.3">
      <c r="A520" s="56"/>
      <c r="B520" s="57" t="s">
        <v>463</v>
      </c>
      <c r="C520" s="58" t="s">
        <v>469</v>
      </c>
      <c r="D520" s="61">
        <v>480</v>
      </c>
      <c r="E520" s="16">
        <v>7400</v>
      </c>
      <c r="F520" s="16"/>
      <c r="G520" s="16"/>
      <c r="H520" s="15">
        <f t="shared" si="74"/>
        <v>7400</v>
      </c>
      <c r="I520" s="15">
        <f t="shared" si="75"/>
        <v>3552000</v>
      </c>
      <c r="J520" s="15"/>
      <c r="K520" s="15"/>
      <c r="L520" s="15"/>
      <c r="M520" s="15"/>
      <c r="N520" s="15"/>
      <c r="O520" s="15"/>
      <c r="P520" s="15">
        <f t="shared" si="76"/>
        <v>0</v>
      </c>
      <c r="Q520" s="15">
        <f t="shared" si="77"/>
        <v>3552000</v>
      </c>
      <c r="R520" s="59"/>
    </row>
    <row r="521" spans="1:18" ht="16.5" x14ac:dyDescent="0.3">
      <c r="A521" s="56"/>
      <c r="B521" s="60" t="s">
        <v>475</v>
      </c>
      <c r="C521" s="58" t="s">
        <v>471</v>
      </c>
      <c r="D521" s="61">
        <v>2450</v>
      </c>
      <c r="E521" s="16">
        <v>8000</v>
      </c>
      <c r="F521" s="16"/>
      <c r="G521" s="16"/>
      <c r="H521" s="15">
        <f t="shared" si="74"/>
        <v>8000</v>
      </c>
      <c r="I521" s="15">
        <f t="shared" si="75"/>
        <v>19600000</v>
      </c>
      <c r="J521" s="15"/>
      <c r="K521" s="15"/>
      <c r="L521" s="15"/>
      <c r="M521" s="15"/>
      <c r="N521" s="15"/>
      <c r="O521" s="15"/>
      <c r="P521" s="15">
        <f t="shared" si="76"/>
        <v>0</v>
      </c>
      <c r="Q521" s="15">
        <f t="shared" si="77"/>
        <v>19600000</v>
      </c>
      <c r="R521" s="59"/>
    </row>
    <row r="522" spans="1:18" ht="16.5" x14ac:dyDescent="0.3">
      <c r="A522" s="56"/>
      <c r="B522" s="58" t="s">
        <v>396</v>
      </c>
      <c r="C522" s="58" t="s">
        <v>462</v>
      </c>
      <c r="D522" s="61">
        <v>860</v>
      </c>
      <c r="E522" s="61">
        <v>7500</v>
      </c>
      <c r="F522" s="61"/>
      <c r="G522" s="61"/>
      <c r="H522" s="15">
        <f t="shared" si="74"/>
        <v>7500</v>
      </c>
      <c r="I522" s="15">
        <f t="shared" si="75"/>
        <v>6450000</v>
      </c>
      <c r="J522" s="15"/>
      <c r="K522" s="15"/>
      <c r="L522" s="15"/>
      <c r="M522" s="15"/>
      <c r="N522" s="15"/>
      <c r="O522" s="15"/>
      <c r="P522" s="15">
        <f t="shared" si="76"/>
        <v>0</v>
      </c>
      <c r="Q522" s="15">
        <f t="shared" si="77"/>
        <v>6450000</v>
      </c>
      <c r="R522" s="59"/>
    </row>
    <row r="523" spans="1:18" ht="16.5" x14ac:dyDescent="0.3">
      <c r="A523" s="56"/>
      <c r="B523" s="58" t="s">
        <v>464</v>
      </c>
      <c r="C523" s="58" t="s">
        <v>460</v>
      </c>
      <c r="D523" s="61"/>
      <c r="E523" s="61">
        <v>7500</v>
      </c>
      <c r="F523" s="61"/>
      <c r="G523" s="61"/>
      <c r="H523" s="15">
        <f t="shared" si="74"/>
        <v>7500</v>
      </c>
      <c r="I523" s="15">
        <f t="shared" si="75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76"/>
        <v>0</v>
      </c>
      <c r="Q523" s="15">
        <f t="shared" si="77"/>
        <v>0</v>
      </c>
      <c r="R523" s="59"/>
    </row>
    <row r="524" spans="1:18" ht="16.5" x14ac:dyDescent="0.3">
      <c r="A524" s="56"/>
      <c r="B524" s="58" t="s">
        <v>411</v>
      </c>
      <c r="C524" s="58"/>
      <c r="D524" s="61"/>
      <c r="E524" s="61"/>
      <c r="F524" s="61"/>
      <c r="G524" s="61"/>
      <c r="H524" s="15">
        <f t="shared" si="74"/>
        <v>0</v>
      </c>
      <c r="I524" s="15">
        <f t="shared" si="75"/>
        <v>0</v>
      </c>
      <c r="J524" s="15"/>
      <c r="K524" s="15"/>
      <c r="L524" s="15"/>
      <c r="M524" s="15"/>
      <c r="N524" s="15"/>
      <c r="O524" s="15"/>
      <c r="P524" s="15">
        <f t="shared" si="76"/>
        <v>0</v>
      </c>
      <c r="Q524" s="15">
        <f t="shared" si="77"/>
        <v>0</v>
      </c>
      <c r="R524" s="59"/>
    </row>
    <row r="525" spans="1:18" ht="16.5" x14ac:dyDescent="0.25">
      <c r="A525" s="74" t="s">
        <v>397</v>
      </c>
      <c r="B525" s="75"/>
      <c r="C525" s="76"/>
      <c r="D525" s="22">
        <f t="shared" ref="D525:Q525" si="78">SUM(D516:D524)</f>
        <v>4710</v>
      </c>
      <c r="E525" s="22">
        <f t="shared" si="78"/>
        <v>61000</v>
      </c>
      <c r="F525" s="22">
        <f t="shared" ref="F525:G525" si="79">SUM(F516:F524)</f>
        <v>0</v>
      </c>
      <c r="G525" s="22">
        <f t="shared" si="79"/>
        <v>0</v>
      </c>
      <c r="H525" s="22">
        <f t="shared" si="78"/>
        <v>61000</v>
      </c>
      <c r="I525" s="22">
        <f t="shared" si="78"/>
        <v>36578000</v>
      </c>
      <c r="J525" s="22">
        <f t="shared" si="78"/>
        <v>0</v>
      </c>
      <c r="K525" s="22">
        <f t="shared" si="78"/>
        <v>0</v>
      </c>
      <c r="L525" s="22">
        <f t="shared" si="78"/>
        <v>0</v>
      </c>
      <c r="M525" s="22">
        <f t="shared" si="78"/>
        <v>0</v>
      </c>
      <c r="N525" s="22">
        <f t="shared" si="78"/>
        <v>0</v>
      </c>
      <c r="O525" s="22">
        <f t="shared" si="78"/>
        <v>0</v>
      </c>
      <c r="P525" s="22">
        <f t="shared" si="78"/>
        <v>0</v>
      </c>
      <c r="Q525" s="22">
        <f t="shared" si="78"/>
        <v>36578000</v>
      </c>
      <c r="R525" s="47"/>
    </row>
    <row r="526" spans="1:18" ht="16.5" x14ac:dyDescent="0.25">
      <c r="A526" s="74" t="s">
        <v>398</v>
      </c>
      <c r="B526" s="75"/>
      <c r="C526" s="76"/>
      <c r="D526" s="22">
        <f t="shared" ref="D526:Q526" si="80">SUM(D504,D479,D525)</f>
        <v>34255</v>
      </c>
      <c r="E526" s="22">
        <f t="shared" si="80"/>
        <v>3214200</v>
      </c>
      <c r="F526" s="22">
        <f t="shared" si="80"/>
        <v>178900</v>
      </c>
      <c r="G526" s="22">
        <f t="shared" si="80"/>
        <v>190000</v>
      </c>
      <c r="H526" s="22">
        <f t="shared" si="80"/>
        <v>3575000</v>
      </c>
      <c r="I526" s="22">
        <f t="shared" si="80"/>
        <v>255125200</v>
      </c>
      <c r="J526" s="22">
        <f t="shared" si="80"/>
        <v>300000</v>
      </c>
      <c r="K526" s="22">
        <f t="shared" si="80"/>
        <v>44265000</v>
      </c>
      <c r="L526" s="22">
        <f t="shared" si="80"/>
        <v>573820</v>
      </c>
      <c r="M526" s="22">
        <f t="shared" si="80"/>
        <v>0</v>
      </c>
      <c r="N526" s="22">
        <f t="shared" si="80"/>
        <v>0</v>
      </c>
      <c r="O526" s="22">
        <f t="shared" si="80"/>
        <v>7172750</v>
      </c>
      <c r="P526" s="22">
        <f t="shared" si="80"/>
        <v>51832590</v>
      </c>
      <c r="Q526" s="22">
        <f t="shared" si="80"/>
        <v>190066810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466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399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400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401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402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tabSelected="1" zoomScaleNormal="100" workbookViewId="0">
      <pane xSplit="2" ySplit="3" topLeftCell="C308" activePane="bottomRight" state="frozen"/>
      <selection pane="topRight"/>
      <selection pane="bottomLeft"/>
      <selection pane="bottomRight" activeCell="K313" sqref="K313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449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284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2044800</v>
      </c>
      <c r="J5" s="16"/>
      <c r="K5" s="15">
        <v>1050000</v>
      </c>
      <c r="L5" s="15">
        <f t="shared" si="0"/>
        <v>5680</v>
      </c>
      <c r="M5" s="16"/>
      <c r="N5" s="16"/>
      <c r="O5" s="15">
        <f t="shared" si="1"/>
        <v>71000</v>
      </c>
      <c r="P5" s="15">
        <f t="shared" si="2"/>
        <v>1126680</v>
      </c>
      <c r="Q5" s="15">
        <f t="shared" ref="Q5:Q68" si="5">I5-P5</f>
        <v>918120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390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2925000</v>
      </c>
      <c r="J6" s="16"/>
      <c r="K6" s="15">
        <v>1260000</v>
      </c>
      <c r="L6" s="15">
        <f t="shared" si="0"/>
        <v>7800</v>
      </c>
      <c r="M6" s="16"/>
      <c r="N6" s="16"/>
      <c r="O6" s="15">
        <f t="shared" si="1"/>
        <v>97500</v>
      </c>
      <c r="P6" s="15">
        <f t="shared" si="2"/>
        <v>1365300</v>
      </c>
      <c r="Q6" s="15">
        <f t="shared" si="5"/>
        <v>1559700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494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3655600</v>
      </c>
      <c r="J9" s="16"/>
      <c r="K9" s="15">
        <v>1260000</v>
      </c>
      <c r="L9" s="15">
        <f t="shared" si="0"/>
        <v>9880</v>
      </c>
      <c r="M9" s="16"/>
      <c r="N9" s="16"/>
      <c r="O9" s="15">
        <f t="shared" si="1"/>
        <v>123500</v>
      </c>
      <c r="P9" s="15">
        <f t="shared" si="2"/>
        <v>1393380</v>
      </c>
      <c r="Q9" s="15">
        <f t="shared" si="5"/>
        <v>2262220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6500</v>
      </c>
      <c r="F11" s="15">
        <v>400</v>
      </c>
      <c r="G11" s="15">
        <v>400</v>
      </c>
      <c r="H11" s="15">
        <f t="shared" si="3"/>
        <v>7300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254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1879600</v>
      </c>
      <c r="J18" s="16"/>
      <c r="K18" s="15">
        <v>420000</v>
      </c>
      <c r="L18" s="15">
        <f t="shared" si="0"/>
        <v>5080</v>
      </c>
      <c r="M18" s="16"/>
      <c r="N18" s="16"/>
      <c r="O18" s="15">
        <f t="shared" si="1"/>
        <v>63500</v>
      </c>
      <c r="P18" s="15">
        <f t="shared" si="2"/>
        <v>488580</v>
      </c>
      <c r="Q18" s="15">
        <f t="shared" si="5"/>
        <v>1391020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284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2101600</v>
      </c>
      <c r="J27" s="16">
        <v>210000</v>
      </c>
      <c r="K27" s="15">
        <v>630000</v>
      </c>
      <c r="L27" s="15">
        <f t="shared" si="0"/>
        <v>5680</v>
      </c>
      <c r="M27" s="16"/>
      <c r="N27" s="16"/>
      <c r="O27" s="15">
        <f t="shared" si="1"/>
        <v>71000</v>
      </c>
      <c r="P27" s="15">
        <f t="shared" si="2"/>
        <v>916680</v>
      </c>
      <c r="Q27" s="15">
        <f t="shared" si="5"/>
        <v>1184920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69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510600</v>
      </c>
      <c r="J29" s="16"/>
      <c r="K29" s="15">
        <v>225000</v>
      </c>
      <c r="L29" s="15">
        <f t="shared" si="0"/>
        <v>1380</v>
      </c>
      <c r="M29" s="16"/>
      <c r="N29" s="16"/>
      <c r="O29" s="15">
        <f t="shared" si="1"/>
        <v>17250</v>
      </c>
      <c r="P29" s="15">
        <f t="shared" si="2"/>
        <v>243630</v>
      </c>
      <c r="Q29" s="15">
        <f t="shared" si="5"/>
        <v>266970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70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497000</v>
      </c>
      <c r="J30" s="16"/>
      <c r="K30" s="15">
        <v>210000</v>
      </c>
      <c r="L30" s="15">
        <f t="shared" si="0"/>
        <v>1400</v>
      </c>
      <c r="M30" s="16"/>
      <c r="N30" s="16"/>
      <c r="O30" s="15">
        <f t="shared" si="1"/>
        <v>17500</v>
      </c>
      <c r="P30" s="15">
        <f t="shared" si="2"/>
        <v>228900</v>
      </c>
      <c r="Q30" s="15">
        <f t="shared" si="5"/>
        <v>268100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353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2541600</v>
      </c>
      <c r="J35" s="16"/>
      <c r="K35" s="15"/>
      <c r="L35" s="15">
        <f t="shared" si="0"/>
        <v>7060</v>
      </c>
      <c r="M35" s="16"/>
      <c r="N35" s="16"/>
      <c r="O35" s="15">
        <f t="shared" si="1"/>
        <v>88250</v>
      </c>
      <c r="P35" s="15">
        <f t="shared" si="2"/>
        <v>95310</v>
      </c>
      <c r="Q35" s="15">
        <f t="shared" si="5"/>
        <v>2446290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596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4350800</v>
      </c>
      <c r="J37" s="16"/>
      <c r="K37" s="15">
        <v>1470000</v>
      </c>
      <c r="L37" s="15">
        <f t="shared" si="0"/>
        <v>11920</v>
      </c>
      <c r="M37" s="20"/>
      <c r="N37" s="20"/>
      <c r="O37" s="15">
        <f t="shared" si="1"/>
        <v>149000</v>
      </c>
      <c r="P37" s="15">
        <f t="shared" si="2"/>
        <v>1630920</v>
      </c>
      <c r="Q37" s="15">
        <f t="shared" si="5"/>
        <v>2719880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245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1837500</v>
      </c>
      <c r="J40" s="16"/>
      <c r="K40" s="15"/>
      <c r="L40" s="15">
        <f t="shared" si="0"/>
        <v>4900</v>
      </c>
      <c r="M40" s="20"/>
      <c r="N40" s="20"/>
      <c r="O40" s="15">
        <f t="shared" si="1"/>
        <v>61250</v>
      </c>
      <c r="P40" s="15">
        <f t="shared" si="2"/>
        <v>66150</v>
      </c>
      <c r="Q40" s="15">
        <f t="shared" si="5"/>
        <v>1771350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294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2175600</v>
      </c>
      <c r="J41" s="20"/>
      <c r="K41" s="15">
        <v>630000</v>
      </c>
      <c r="L41" s="15">
        <f t="shared" si="0"/>
        <v>5880</v>
      </c>
      <c r="M41" s="20"/>
      <c r="N41" s="20"/>
      <c r="O41" s="15">
        <f t="shared" si="1"/>
        <v>73500</v>
      </c>
      <c r="P41" s="15">
        <f t="shared" si="2"/>
        <v>709380</v>
      </c>
      <c r="Q41" s="15">
        <f t="shared" si="5"/>
        <v>1466220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195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1462500</v>
      </c>
      <c r="J43" s="16"/>
      <c r="K43" s="15">
        <v>645000</v>
      </c>
      <c r="L43" s="15">
        <f t="shared" si="0"/>
        <v>3900</v>
      </c>
      <c r="M43" s="16"/>
      <c r="N43" s="16"/>
      <c r="O43" s="15">
        <f t="shared" si="1"/>
        <v>48750</v>
      </c>
      <c r="P43" s="15">
        <f t="shared" si="2"/>
        <v>697650</v>
      </c>
      <c r="Q43" s="15">
        <f t="shared" si="5"/>
        <v>764850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412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3007600</v>
      </c>
      <c r="J50" s="16"/>
      <c r="K50" s="15">
        <v>1260000</v>
      </c>
      <c r="L50" s="15">
        <f t="shared" si="0"/>
        <v>8240</v>
      </c>
      <c r="M50" s="16"/>
      <c r="N50" s="16"/>
      <c r="O50" s="15">
        <f t="shared" si="1"/>
        <v>103000</v>
      </c>
      <c r="P50" s="15">
        <f t="shared" si="2"/>
        <v>1371240</v>
      </c>
      <c r="Q50" s="15">
        <f t="shared" si="5"/>
        <v>1636360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250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1825000</v>
      </c>
      <c r="J51" s="16">
        <v>210000</v>
      </c>
      <c r="K51" s="15">
        <v>630000</v>
      </c>
      <c r="L51" s="15">
        <f t="shared" si="0"/>
        <v>5000</v>
      </c>
      <c r="M51" s="16"/>
      <c r="N51" s="16"/>
      <c r="O51" s="15">
        <f t="shared" si="1"/>
        <v>62500</v>
      </c>
      <c r="P51" s="15">
        <f t="shared" si="2"/>
        <v>907500</v>
      </c>
      <c r="Q51" s="15">
        <f t="shared" si="5"/>
        <v>917500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98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725200</v>
      </c>
      <c r="J52" s="16"/>
      <c r="K52" s="15">
        <v>210000</v>
      </c>
      <c r="L52" s="15">
        <f t="shared" si="0"/>
        <v>1960</v>
      </c>
      <c r="M52" s="16"/>
      <c r="N52" s="16"/>
      <c r="O52" s="15">
        <f t="shared" si="1"/>
        <v>24500</v>
      </c>
      <c r="P52" s="15">
        <f t="shared" si="2"/>
        <v>236460</v>
      </c>
      <c r="Q52" s="15">
        <f t="shared" si="5"/>
        <v>488740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103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762200</v>
      </c>
      <c r="J53" s="16"/>
      <c r="K53" s="15">
        <v>210000</v>
      </c>
      <c r="L53" s="15">
        <f t="shared" si="0"/>
        <v>2060</v>
      </c>
      <c r="M53" s="16"/>
      <c r="N53" s="16"/>
      <c r="O53" s="15">
        <f t="shared" si="1"/>
        <v>25750</v>
      </c>
      <c r="P53" s="15">
        <f t="shared" si="2"/>
        <v>237810</v>
      </c>
      <c r="Q53" s="15">
        <f t="shared" si="5"/>
        <v>524390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210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1554000</v>
      </c>
      <c r="J56" s="16"/>
      <c r="K56" s="15">
        <v>630000</v>
      </c>
      <c r="L56" s="15">
        <f t="shared" si="0"/>
        <v>4200</v>
      </c>
      <c r="M56" s="20"/>
      <c r="N56" s="20"/>
      <c r="O56" s="15">
        <f t="shared" si="1"/>
        <v>52500</v>
      </c>
      <c r="P56" s="15">
        <f t="shared" si="2"/>
        <v>686700</v>
      </c>
      <c r="Q56" s="15">
        <f t="shared" si="5"/>
        <v>867300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183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1372500</v>
      </c>
      <c r="J59" s="16"/>
      <c r="K59" s="15">
        <v>435000</v>
      </c>
      <c r="L59" s="15">
        <f t="shared" si="0"/>
        <v>3660</v>
      </c>
      <c r="M59" s="16"/>
      <c r="N59" s="16"/>
      <c r="O59" s="15">
        <f t="shared" si="1"/>
        <v>45750</v>
      </c>
      <c r="P59" s="15">
        <f t="shared" si="2"/>
        <v>484410</v>
      </c>
      <c r="Q59" s="15">
        <f t="shared" si="5"/>
        <v>888090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1159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8692500</v>
      </c>
      <c r="J62" s="16"/>
      <c r="K62" s="15"/>
      <c r="L62" s="15">
        <f t="shared" si="0"/>
        <v>23180</v>
      </c>
      <c r="M62" s="20"/>
      <c r="N62" s="20"/>
      <c r="O62" s="15">
        <f t="shared" si="1"/>
        <v>289750</v>
      </c>
      <c r="P62" s="15">
        <f t="shared" si="2"/>
        <v>312930</v>
      </c>
      <c r="Q62" s="15">
        <f t="shared" si="5"/>
        <v>8379570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318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2353200</v>
      </c>
      <c r="J66" s="20"/>
      <c r="K66" s="15">
        <v>630000</v>
      </c>
      <c r="L66" s="15">
        <f t="shared" si="0"/>
        <v>6360</v>
      </c>
      <c r="M66" s="20"/>
      <c r="N66" s="20"/>
      <c r="O66" s="15">
        <f t="shared" si="1"/>
        <v>79500</v>
      </c>
      <c r="P66" s="15">
        <f t="shared" si="2"/>
        <v>715860</v>
      </c>
      <c r="Q66" s="15">
        <f t="shared" si="5"/>
        <v>1637340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331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2482500</v>
      </c>
      <c r="J69" s="16">
        <v>205000</v>
      </c>
      <c r="K69" s="15">
        <v>665000</v>
      </c>
      <c r="L69" s="15">
        <f t="shared" ref="L69:L132" si="6">D69*20</f>
        <v>6620</v>
      </c>
      <c r="M69" s="20"/>
      <c r="N69" s="20"/>
      <c r="O69" s="15">
        <f t="shared" ref="O69:O132" si="7">250*D69</f>
        <v>82750</v>
      </c>
      <c r="P69" s="15">
        <f t="shared" ref="P69:P132" si="8">SUM(J69:O69)</f>
        <v>959370</v>
      </c>
      <c r="Q69" s="15">
        <f t="shared" ref="Q69:Q132" si="9">I69-P69</f>
        <v>1523130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129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941700</v>
      </c>
      <c r="J72" s="16"/>
      <c r="K72" s="15">
        <v>435000</v>
      </c>
      <c r="L72" s="15">
        <f t="shared" si="6"/>
        <v>2580</v>
      </c>
      <c r="M72" s="20"/>
      <c r="N72" s="20"/>
      <c r="O72" s="15">
        <f t="shared" si="7"/>
        <v>32250</v>
      </c>
      <c r="P72" s="15">
        <f t="shared" si="8"/>
        <v>469830</v>
      </c>
      <c r="Q72" s="15">
        <f t="shared" si="9"/>
        <v>471870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222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1642800</v>
      </c>
      <c r="J76" s="20"/>
      <c r="K76" s="15">
        <v>630000</v>
      </c>
      <c r="L76" s="15">
        <f t="shared" si="6"/>
        <v>4440</v>
      </c>
      <c r="M76" s="20"/>
      <c r="N76" s="20"/>
      <c r="O76" s="15">
        <f t="shared" si="7"/>
        <v>55500</v>
      </c>
      <c r="P76" s="15">
        <f t="shared" si="8"/>
        <v>689940</v>
      </c>
      <c r="Q76" s="15">
        <f t="shared" si="9"/>
        <v>952860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700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5250000</v>
      </c>
      <c r="J78" s="16"/>
      <c r="K78" s="15">
        <v>2130000</v>
      </c>
      <c r="L78" s="15">
        <f t="shared" si="6"/>
        <v>14000</v>
      </c>
      <c r="M78" s="20"/>
      <c r="N78" s="20"/>
      <c r="O78" s="15">
        <f t="shared" si="7"/>
        <v>175000</v>
      </c>
      <c r="P78" s="15">
        <f t="shared" si="8"/>
        <v>2319000</v>
      </c>
      <c r="Q78" s="15">
        <f t="shared" si="9"/>
        <v>2931000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130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975000</v>
      </c>
      <c r="J83" s="16"/>
      <c r="K83" s="15">
        <v>665000</v>
      </c>
      <c r="L83" s="15">
        <f t="shared" si="6"/>
        <v>2600</v>
      </c>
      <c r="M83" s="20"/>
      <c r="N83" s="20"/>
      <c r="O83" s="15">
        <f t="shared" si="7"/>
        <v>32500</v>
      </c>
      <c r="P83" s="15">
        <f t="shared" si="8"/>
        <v>700100</v>
      </c>
      <c r="Q83" s="15">
        <f t="shared" si="9"/>
        <v>274900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196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1430800</v>
      </c>
      <c r="J85" s="16"/>
      <c r="K85" s="15">
        <v>630000</v>
      </c>
      <c r="L85" s="15">
        <f t="shared" si="6"/>
        <v>3920</v>
      </c>
      <c r="M85" s="20"/>
      <c r="N85" s="20"/>
      <c r="O85" s="15">
        <f t="shared" si="7"/>
        <v>49000</v>
      </c>
      <c r="P85" s="15">
        <f t="shared" si="8"/>
        <v>682920</v>
      </c>
      <c r="Q85" s="15">
        <f t="shared" si="9"/>
        <v>747880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102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754800</v>
      </c>
      <c r="J92" s="16"/>
      <c r="K92" s="15">
        <v>210000</v>
      </c>
      <c r="L92" s="15">
        <f t="shared" si="6"/>
        <v>2040</v>
      </c>
      <c r="M92" s="16"/>
      <c r="N92" s="16"/>
      <c r="O92" s="15">
        <f t="shared" si="7"/>
        <v>25500</v>
      </c>
      <c r="P92" s="15">
        <f t="shared" si="8"/>
        <v>237540</v>
      </c>
      <c r="Q92" s="15">
        <f t="shared" si="9"/>
        <v>517260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217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1605800</v>
      </c>
      <c r="J95" s="16"/>
      <c r="K95" s="15">
        <v>420000</v>
      </c>
      <c r="L95" s="15">
        <f t="shared" si="6"/>
        <v>4340</v>
      </c>
      <c r="M95" s="20"/>
      <c r="N95" s="20"/>
      <c r="O95" s="15">
        <f t="shared" si="7"/>
        <v>54250</v>
      </c>
      <c r="P95" s="15">
        <f t="shared" si="8"/>
        <v>478590</v>
      </c>
      <c r="Q95" s="15">
        <f t="shared" si="9"/>
        <v>1127210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188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1334800</v>
      </c>
      <c r="J102" s="16"/>
      <c r="K102" s="15">
        <v>210000</v>
      </c>
      <c r="L102" s="15">
        <f t="shared" si="6"/>
        <v>3760</v>
      </c>
      <c r="M102" s="20"/>
      <c r="N102" s="20"/>
      <c r="O102" s="15">
        <f t="shared" si="7"/>
        <v>47000</v>
      </c>
      <c r="P102" s="15">
        <f t="shared" si="8"/>
        <v>260760</v>
      </c>
      <c r="Q102" s="15">
        <f t="shared" si="9"/>
        <v>1074040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965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7237500</v>
      </c>
      <c r="J114" s="16"/>
      <c r="K114" s="15"/>
      <c r="L114" s="15">
        <f t="shared" si="6"/>
        <v>19300</v>
      </c>
      <c r="M114" s="16"/>
      <c r="N114" s="16"/>
      <c r="O114" s="15">
        <f t="shared" si="7"/>
        <v>241250</v>
      </c>
      <c r="P114" s="15">
        <f t="shared" si="8"/>
        <v>260550</v>
      </c>
      <c r="Q114" s="15">
        <f t="shared" si="9"/>
        <v>6976950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71</v>
      </c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525400</v>
      </c>
      <c r="J118" s="20"/>
      <c r="K118" s="15">
        <v>420000</v>
      </c>
      <c r="L118" s="15">
        <f t="shared" si="6"/>
        <v>1420</v>
      </c>
      <c r="M118" s="16"/>
      <c r="N118" s="16"/>
      <c r="O118" s="15">
        <f t="shared" si="7"/>
        <v>17750</v>
      </c>
      <c r="P118" s="15">
        <f t="shared" si="8"/>
        <v>439170</v>
      </c>
      <c r="Q118" s="15">
        <f t="shared" si="9"/>
        <v>86230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291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2153400</v>
      </c>
      <c r="J119" s="16"/>
      <c r="K119" s="15"/>
      <c r="L119" s="15">
        <f t="shared" si="6"/>
        <v>5820</v>
      </c>
      <c r="M119" s="16"/>
      <c r="N119" s="16"/>
      <c r="O119" s="15">
        <f t="shared" si="7"/>
        <v>72750</v>
      </c>
      <c r="P119" s="15">
        <f t="shared" si="8"/>
        <v>78570</v>
      </c>
      <c r="Q119" s="15">
        <f t="shared" si="9"/>
        <v>2074830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46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345000</v>
      </c>
      <c r="J120" s="16"/>
      <c r="K120" s="15">
        <v>225000</v>
      </c>
      <c r="L120" s="15">
        <f t="shared" si="6"/>
        <v>920</v>
      </c>
      <c r="M120" s="16"/>
      <c r="N120" s="16"/>
      <c r="O120" s="15">
        <f t="shared" si="7"/>
        <v>11500</v>
      </c>
      <c r="P120" s="15">
        <f t="shared" si="8"/>
        <v>237420</v>
      </c>
      <c r="Q120" s="15">
        <f t="shared" si="9"/>
        <v>107580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73</v>
      </c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540200</v>
      </c>
      <c r="J121" s="16"/>
      <c r="K121" s="15">
        <v>210000</v>
      </c>
      <c r="L121" s="15">
        <f t="shared" si="6"/>
        <v>1460</v>
      </c>
      <c r="M121" s="16"/>
      <c r="N121" s="16"/>
      <c r="O121" s="15">
        <f t="shared" si="7"/>
        <v>18250</v>
      </c>
      <c r="P121" s="15">
        <f t="shared" si="8"/>
        <v>229710</v>
      </c>
      <c r="Q121" s="15">
        <f t="shared" si="9"/>
        <v>310490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78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569400</v>
      </c>
      <c r="J123" s="20"/>
      <c r="K123" s="15">
        <v>210000</v>
      </c>
      <c r="L123" s="15">
        <f t="shared" si="6"/>
        <v>1560</v>
      </c>
      <c r="M123" s="20"/>
      <c r="N123" s="20"/>
      <c r="O123" s="15">
        <f t="shared" si="7"/>
        <v>19500</v>
      </c>
      <c r="P123" s="15">
        <f t="shared" si="8"/>
        <v>231060</v>
      </c>
      <c r="Q123" s="15">
        <f t="shared" si="9"/>
        <v>338340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204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1489200</v>
      </c>
      <c r="J126" s="16"/>
      <c r="K126" s="15"/>
      <c r="L126" s="15">
        <f t="shared" si="6"/>
        <v>4080</v>
      </c>
      <c r="M126" s="20"/>
      <c r="N126" s="20"/>
      <c r="O126" s="15">
        <f t="shared" si="7"/>
        <v>51000</v>
      </c>
      <c r="P126" s="15">
        <f t="shared" si="8"/>
        <v>55080</v>
      </c>
      <c r="Q126" s="15">
        <f t="shared" si="9"/>
        <v>1434120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250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1850000</v>
      </c>
      <c r="J127" s="20"/>
      <c r="K127" s="15"/>
      <c r="L127" s="15">
        <f t="shared" si="6"/>
        <v>5000</v>
      </c>
      <c r="M127" s="16"/>
      <c r="N127" s="16"/>
      <c r="O127" s="15">
        <f t="shared" si="7"/>
        <v>62500</v>
      </c>
      <c r="P127" s="15">
        <f t="shared" si="8"/>
        <v>67500</v>
      </c>
      <c r="Q127" s="15">
        <f t="shared" si="9"/>
        <v>1782500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161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1207500</v>
      </c>
      <c r="J128" s="16"/>
      <c r="K128" s="15"/>
      <c r="L128" s="15">
        <f t="shared" si="6"/>
        <v>3220</v>
      </c>
      <c r="M128" s="16"/>
      <c r="N128" s="16"/>
      <c r="O128" s="15">
        <f t="shared" si="7"/>
        <v>40250</v>
      </c>
      <c r="P128" s="15">
        <f t="shared" si="8"/>
        <v>43470</v>
      </c>
      <c r="Q128" s="15">
        <f t="shared" si="9"/>
        <v>1164030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36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270000</v>
      </c>
      <c r="J129" s="16"/>
      <c r="K129" s="23">
        <v>225000</v>
      </c>
      <c r="L129" s="15">
        <f t="shared" si="6"/>
        <v>720</v>
      </c>
      <c r="M129" s="16"/>
      <c r="N129" s="16"/>
      <c r="O129" s="15">
        <f t="shared" si="7"/>
        <v>9000</v>
      </c>
      <c r="P129" s="15">
        <f t="shared" si="8"/>
        <v>234720</v>
      </c>
      <c r="Q129" s="15">
        <f t="shared" si="9"/>
        <v>35280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759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5616600</v>
      </c>
      <c r="J130" s="16"/>
      <c r="K130" s="15">
        <v>1050000</v>
      </c>
      <c r="L130" s="15">
        <f t="shared" si="6"/>
        <v>15180</v>
      </c>
      <c r="M130" s="20"/>
      <c r="N130" s="20"/>
      <c r="O130" s="15">
        <f t="shared" si="7"/>
        <v>189750</v>
      </c>
      <c r="P130" s="15">
        <f t="shared" si="8"/>
        <v>1254930</v>
      </c>
      <c r="Q130" s="15">
        <f t="shared" si="9"/>
        <v>4361670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211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1561400</v>
      </c>
      <c r="J133" s="16"/>
      <c r="K133" s="15">
        <v>630000</v>
      </c>
      <c r="L133" s="15">
        <f t="shared" ref="L133:L196" si="12">D133*20</f>
        <v>4220</v>
      </c>
      <c r="M133" s="20"/>
      <c r="N133" s="20"/>
      <c r="O133" s="15">
        <f t="shared" ref="O133:O196" si="13">250*D133</f>
        <v>52750</v>
      </c>
      <c r="P133" s="15">
        <f t="shared" ref="P133:P196" si="14">SUM(J133:O133)</f>
        <v>686970</v>
      </c>
      <c r="Q133" s="15">
        <f t="shared" ref="Q133:Q196" si="15">I133-P133</f>
        <v>874430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166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1211800</v>
      </c>
      <c r="J134" s="20"/>
      <c r="K134" s="15">
        <v>420000</v>
      </c>
      <c r="L134" s="15">
        <f t="shared" si="12"/>
        <v>3320</v>
      </c>
      <c r="M134" s="20"/>
      <c r="N134" s="20"/>
      <c r="O134" s="15">
        <f t="shared" si="13"/>
        <v>41500</v>
      </c>
      <c r="P134" s="15">
        <f t="shared" si="14"/>
        <v>464820</v>
      </c>
      <c r="Q134" s="15">
        <f t="shared" si="15"/>
        <v>746980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206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1524400</v>
      </c>
      <c r="J139" s="16"/>
      <c r="K139" s="15">
        <v>630000</v>
      </c>
      <c r="L139" s="15">
        <f t="shared" si="12"/>
        <v>4120</v>
      </c>
      <c r="M139" s="16"/>
      <c r="N139" s="16"/>
      <c r="O139" s="15">
        <f t="shared" si="13"/>
        <v>51500</v>
      </c>
      <c r="P139" s="15">
        <f t="shared" si="14"/>
        <v>685620</v>
      </c>
      <c r="Q139" s="15">
        <f t="shared" si="15"/>
        <v>838780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98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715400</v>
      </c>
      <c r="J145" s="16"/>
      <c r="K145" s="15"/>
      <c r="L145" s="15">
        <f t="shared" si="12"/>
        <v>1960</v>
      </c>
      <c r="M145" s="16"/>
      <c r="N145" s="16"/>
      <c r="O145" s="15">
        <f t="shared" si="13"/>
        <v>24500</v>
      </c>
      <c r="P145" s="15">
        <f t="shared" si="14"/>
        <v>26460</v>
      </c>
      <c r="Q145" s="15">
        <f t="shared" si="15"/>
        <v>688940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117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854100</v>
      </c>
      <c r="J146" s="16"/>
      <c r="K146" s="15">
        <v>210000</v>
      </c>
      <c r="L146" s="15">
        <f t="shared" si="12"/>
        <v>2340</v>
      </c>
      <c r="M146" s="16"/>
      <c r="N146" s="16"/>
      <c r="O146" s="15">
        <f t="shared" si="13"/>
        <v>29250</v>
      </c>
      <c r="P146" s="15">
        <f t="shared" si="14"/>
        <v>241590</v>
      </c>
      <c r="Q146" s="15">
        <f t="shared" si="15"/>
        <v>612510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265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1987500</v>
      </c>
      <c r="J149" s="16"/>
      <c r="K149" s="15">
        <v>420000</v>
      </c>
      <c r="L149" s="15">
        <f t="shared" si="12"/>
        <v>5300</v>
      </c>
      <c r="M149" s="16"/>
      <c r="N149" s="16"/>
      <c r="O149" s="15">
        <f t="shared" si="13"/>
        <v>66250</v>
      </c>
      <c r="P149" s="15">
        <f t="shared" si="14"/>
        <v>491550</v>
      </c>
      <c r="Q149" s="15">
        <f t="shared" si="15"/>
        <v>1495950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80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584000</v>
      </c>
      <c r="J156" s="16"/>
      <c r="K156" s="15">
        <v>210000</v>
      </c>
      <c r="L156" s="15">
        <f t="shared" si="12"/>
        <v>1600</v>
      </c>
      <c r="M156" s="20"/>
      <c r="N156" s="20"/>
      <c r="O156" s="15">
        <f t="shared" si="13"/>
        <v>20000</v>
      </c>
      <c r="P156" s="15">
        <f t="shared" si="14"/>
        <v>231600</v>
      </c>
      <c r="Q156" s="15">
        <f t="shared" si="15"/>
        <v>352400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98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725200</v>
      </c>
      <c r="J157" s="20"/>
      <c r="K157" s="15">
        <v>210000</v>
      </c>
      <c r="L157" s="15">
        <f t="shared" si="12"/>
        <v>1960</v>
      </c>
      <c r="M157" s="16"/>
      <c r="N157" s="16"/>
      <c r="O157" s="15">
        <f t="shared" si="13"/>
        <v>24500</v>
      </c>
      <c r="P157" s="15">
        <f t="shared" si="14"/>
        <v>236460</v>
      </c>
      <c r="Q157" s="15">
        <f t="shared" si="15"/>
        <v>488740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156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1154400</v>
      </c>
      <c r="J165" s="16"/>
      <c r="K165" s="15">
        <v>420000</v>
      </c>
      <c r="L165" s="15">
        <f t="shared" si="12"/>
        <v>3120</v>
      </c>
      <c r="M165" s="20"/>
      <c r="N165" s="20"/>
      <c r="O165" s="15">
        <f t="shared" si="13"/>
        <v>39000</v>
      </c>
      <c r="P165" s="15">
        <f t="shared" si="14"/>
        <v>462120</v>
      </c>
      <c r="Q165" s="15">
        <f t="shared" si="15"/>
        <v>692280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296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2190400</v>
      </c>
      <c r="J169" s="16"/>
      <c r="K169" s="15">
        <v>630000</v>
      </c>
      <c r="L169" s="15">
        <f t="shared" si="12"/>
        <v>5920</v>
      </c>
      <c r="M169" s="16"/>
      <c r="N169" s="16"/>
      <c r="O169" s="15">
        <f t="shared" si="13"/>
        <v>74000</v>
      </c>
      <c r="P169" s="15">
        <f t="shared" si="14"/>
        <v>709920</v>
      </c>
      <c r="Q169" s="15">
        <f t="shared" si="15"/>
        <v>1480480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15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326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2445000</v>
      </c>
      <c r="J175" s="16"/>
      <c r="K175" s="15">
        <v>630000</v>
      </c>
      <c r="L175" s="15">
        <f t="shared" si="12"/>
        <v>6520</v>
      </c>
      <c r="M175" s="16"/>
      <c r="N175" s="16"/>
      <c r="O175" s="15">
        <f t="shared" si="13"/>
        <v>81500</v>
      </c>
      <c r="P175" s="15">
        <f t="shared" si="14"/>
        <v>718020</v>
      </c>
      <c r="Q175" s="15">
        <f t="shared" si="15"/>
        <v>1726980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/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0</v>
      </c>
      <c r="Q180" s="15">
        <f t="shared" si="15"/>
        <v>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54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405000</v>
      </c>
      <c r="J182" s="16"/>
      <c r="K182" s="15"/>
      <c r="L182" s="15">
        <f t="shared" si="12"/>
        <v>1080</v>
      </c>
      <c r="M182" s="20"/>
      <c r="N182" s="20"/>
      <c r="O182" s="15">
        <f t="shared" si="13"/>
        <v>13500</v>
      </c>
      <c r="P182" s="15">
        <f t="shared" si="14"/>
        <v>14580</v>
      </c>
      <c r="Q182" s="15">
        <f t="shared" si="15"/>
        <v>390420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210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1575000</v>
      </c>
      <c r="J185" s="16"/>
      <c r="K185" s="15">
        <v>420000</v>
      </c>
      <c r="L185" s="15">
        <f t="shared" si="12"/>
        <v>4200</v>
      </c>
      <c r="M185" s="20"/>
      <c r="N185" s="20"/>
      <c r="O185" s="15">
        <f t="shared" si="13"/>
        <v>52500</v>
      </c>
      <c r="P185" s="15">
        <f t="shared" si="14"/>
        <v>476700</v>
      </c>
      <c r="Q185" s="15">
        <f t="shared" si="15"/>
        <v>1098300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181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1303200</v>
      </c>
      <c r="J187" s="16"/>
      <c r="K187" s="15">
        <v>210000</v>
      </c>
      <c r="L187" s="15">
        <f t="shared" si="12"/>
        <v>3620</v>
      </c>
      <c r="M187" s="20"/>
      <c r="N187" s="20"/>
      <c r="O187" s="15">
        <f t="shared" si="13"/>
        <v>45250</v>
      </c>
      <c r="P187" s="15">
        <f t="shared" si="14"/>
        <v>258870</v>
      </c>
      <c r="Q187" s="15">
        <f t="shared" si="15"/>
        <v>1044330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229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1625900</v>
      </c>
      <c r="J189" s="20"/>
      <c r="K189" s="15"/>
      <c r="L189" s="15">
        <f t="shared" si="12"/>
        <v>4580</v>
      </c>
      <c r="M189" s="20"/>
      <c r="N189" s="20"/>
      <c r="O189" s="15">
        <f t="shared" si="13"/>
        <v>57250</v>
      </c>
      <c r="P189" s="15">
        <f t="shared" si="14"/>
        <v>61830</v>
      </c>
      <c r="Q189" s="15">
        <f t="shared" si="15"/>
        <v>1564070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214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1583600</v>
      </c>
      <c r="J193" s="16"/>
      <c r="K193" s="15">
        <v>420000</v>
      </c>
      <c r="L193" s="15">
        <f t="shared" si="12"/>
        <v>4280</v>
      </c>
      <c r="M193" s="16"/>
      <c r="N193" s="16"/>
      <c r="O193" s="15">
        <f t="shared" si="13"/>
        <v>53500</v>
      </c>
      <c r="P193" s="15">
        <f t="shared" si="14"/>
        <v>477780</v>
      </c>
      <c r="Q193" s="15">
        <f t="shared" si="15"/>
        <v>1105820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17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124100</v>
      </c>
      <c r="J200" s="16">
        <v>100000</v>
      </c>
      <c r="K200" s="15"/>
      <c r="L200" s="15">
        <f t="shared" si="18"/>
        <v>340</v>
      </c>
      <c r="M200" s="16"/>
      <c r="N200" s="16"/>
      <c r="O200" s="15">
        <f t="shared" si="19"/>
        <v>4250</v>
      </c>
      <c r="P200" s="15">
        <f t="shared" si="20"/>
        <v>104590</v>
      </c>
      <c r="Q200" s="15">
        <f t="shared" si="21"/>
        <v>19510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75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562500</v>
      </c>
      <c r="J203" s="16"/>
      <c r="K203" s="15">
        <v>210000</v>
      </c>
      <c r="L203" s="15">
        <f t="shared" si="18"/>
        <v>1500</v>
      </c>
      <c r="M203" s="20"/>
      <c r="N203" s="20"/>
      <c r="O203" s="15">
        <f t="shared" si="19"/>
        <v>18750</v>
      </c>
      <c r="P203" s="15">
        <f t="shared" si="20"/>
        <v>230250</v>
      </c>
      <c r="Q203" s="15">
        <f t="shared" si="21"/>
        <v>332250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134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1005000</v>
      </c>
      <c r="J211" s="16"/>
      <c r="K211" s="15">
        <v>420000</v>
      </c>
      <c r="L211" s="15">
        <f t="shared" si="18"/>
        <v>2680</v>
      </c>
      <c r="M211" s="16"/>
      <c r="N211" s="16"/>
      <c r="O211" s="15">
        <f t="shared" si="19"/>
        <v>33500</v>
      </c>
      <c r="P211" s="15">
        <f t="shared" si="20"/>
        <v>456180</v>
      </c>
      <c r="Q211" s="15">
        <f t="shared" si="21"/>
        <v>548820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166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1245000</v>
      </c>
      <c r="J220" s="16"/>
      <c r="K220" s="15">
        <v>420000</v>
      </c>
      <c r="L220" s="15">
        <f t="shared" si="18"/>
        <v>3320</v>
      </c>
      <c r="M220" s="16"/>
      <c r="N220" s="16"/>
      <c r="O220" s="15">
        <f t="shared" si="19"/>
        <v>41500</v>
      </c>
      <c r="P220" s="15">
        <f t="shared" si="20"/>
        <v>464820</v>
      </c>
      <c r="Q220" s="15">
        <f t="shared" si="21"/>
        <v>780180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129</v>
      </c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954600</v>
      </c>
      <c r="J222" s="16"/>
      <c r="K222" s="15">
        <v>210000</v>
      </c>
      <c r="L222" s="15">
        <f t="shared" si="18"/>
        <v>2580</v>
      </c>
      <c r="M222" s="16"/>
      <c r="N222" s="16"/>
      <c r="O222" s="15">
        <f t="shared" si="19"/>
        <v>32250</v>
      </c>
      <c r="P222" s="15">
        <f t="shared" si="20"/>
        <v>244830</v>
      </c>
      <c r="Q222" s="15">
        <f t="shared" si="21"/>
        <v>709770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70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525000</v>
      </c>
      <c r="J225" s="16"/>
      <c r="K225" s="15">
        <v>225000</v>
      </c>
      <c r="L225" s="15">
        <f t="shared" si="18"/>
        <v>1400</v>
      </c>
      <c r="M225" s="20"/>
      <c r="N225" s="20"/>
      <c r="O225" s="15">
        <f t="shared" si="19"/>
        <v>17500</v>
      </c>
      <c r="P225" s="15">
        <f t="shared" si="20"/>
        <v>243900</v>
      </c>
      <c r="Q225" s="15">
        <f t="shared" si="21"/>
        <v>281100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232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1716800</v>
      </c>
      <c r="J228" s="16"/>
      <c r="K228" s="15">
        <v>420000</v>
      </c>
      <c r="L228" s="15">
        <f t="shared" si="18"/>
        <v>4640</v>
      </c>
      <c r="M228" s="20"/>
      <c r="N228" s="20"/>
      <c r="O228" s="15">
        <f t="shared" si="19"/>
        <v>58000</v>
      </c>
      <c r="P228" s="15">
        <f t="shared" si="20"/>
        <v>482640</v>
      </c>
      <c r="Q228" s="15">
        <f t="shared" si="21"/>
        <v>1234160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372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2790000</v>
      </c>
      <c r="J231" s="16"/>
      <c r="K231" s="15">
        <v>1065000</v>
      </c>
      <c r="L231" s="15">
        <f t="shared" si="18"/>
        <v>7440</v>
      </c>
      <c r="M231" s="16"/>
      <c r="N231" s="16"/>
      <c r="O231" s="15">
        <f t="shared" si="19"/>
        <v>93000</v>
      </c>
      <c r="P231" s="15">
        <f t="shared" si="20"/>
        <v>1165440</v>
      </c>
      <c r="Q231" s="15">
        <f t="shared" si="21"/>
        <v>1624560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136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965600</v>
      </c>
      <c r="J237" s="16"/>
      <c r="K237" s="15">
        <v>210000</v>
      </c>
      <c r="L237" s="15">
        <f t="shared" si="18"/>
        <v>2720</v>
      </c>
      <c r="M237" s="20"/>
      <c r="N237" s="20"/>
      <c r="O237" s="15">
        <f t="shared" si="19"/>
        <v>34000</v>
      </c>
      <c r="P237" s="15">
        <f t="shared" si="20"/>
        <v>246720</v>
      </c>
      <c r="Q237" s="15">
        <f t="shared" si="21"/>
        <v>718880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102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744600</v>
      </c>
      <c r="J238" s="20"/>
      <c r="K238" s="15">
        <v>420000</v>
      </c>
      <c r="L238" s="15">
        <f t="shared" si="18"/>
        <v>2040</v>
      </c>
      <c r="M238" s="20"/>
      <c r="N238" s="20"/>
      <c r="O238" s="15">
        <f t="shared" si="19"/>
        <v>25500</v>
      </c>
      <c r="P238" s="15">
        <f t="shared" si="20"/>
        <v>447540</v>
      </c>
      <c r="Q238" s="15">
        <f t="shared" si="21"/>
        <v>297060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280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2100000</v>
      </c>
      <c r="J246" s="16"/>
      <c r="K246" s="15">
        <v>630000</v>
      </c>
      <c r="L246" s="15">
        <f t="shared" si="18"/>
        <v>5600</v>
      </c>
      <c r="M246" s="16"/>
      <c r="N246" s="16"/>
      <c r="O246" s="15">
        <f t="shared" si="19"/>
        <v>70000</v>
      </c>
      <c r="P246" s="15">
        <f t="shared" si="20"/>
        <v>705600</v>
      </c>
      <c r="Q246" s="15">
        <f t="shared" si="21"/>
        <v>1394400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174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1287600</v>
      </c>
      <c r="J247" s="16"/>
      <c r="K247" s="15">
        <v>420000</v>
      </c>
      <c r="L247" s="15">
        <f t="shared" si="18"/>
        <v>3480</v>
      </c>
      <c r="M247" s="20"/>
      <c r="N247" s="20"/>
      <c r="O247" s="15">
        <f t="shared" si="19"/>
        <v>43500</v>
      </c>
      <c r="P247" s="15">
        <f t="shared" si="20"/>
        <v>466980</v>
      </c>
      <c r="Q247" s="15">
        <f t="shared" si="21"/>
        <v>820620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174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1287600</v>
      </c>
      <c r="J253" s="20"/>
      <c r="K253" s="15">
        <v>420000</v>
      </c>
      <c r="L253" s="15">
        <f t="shared" si="18"/>
        <v>3480</v>
      </c>
      <c r="M253" s="20"/>
      <c r="N253" s="20"/>
      <c r="O253" s="15">
        <f t="shared" si="19"/>
        <v>43500</v>
      </c>
      <c r="P253" s="15">
        <f t="shared" si="20"/>
        <v>466980</v>
      </c>
      <c r="Q253" s="15">
        <f t="shared" si="21"/>
        <v>820620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203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1522500</v>
      </c>
      <c r="J261" s="16"/>
      <c r="K261" s="15">
        <v>420000</v>
      </c>
      <c r="L261" s="15">
        <f t="shared" ref="L261:L324" si="24">D261*20</f>
        <v>4060</v>
      </c>
      <c r="M261" s="16"/>
      <c r="N261" s="16"/>
      <c r="O261" s="15">
        <f t="shared" ref="O261:O324" si="25">250*D261</f>
        <v>50750</v>
      </c>
      <c r="P261" s="15">
        <f t="shared" ref="P261:P324" si="26">SUM(J261:O261)</f>
        <v>474810</v>
      </c>
      <c r="Q261" s="15">
        <f t="shared" ref="Q261:Q324" si="27">I261-P261</f>
        <v>1047690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224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1680000</v>
      </c>
      <c r="J267" s="20"/>
      <c r="K267" s="15">
        <v>420000</v>
      </c>
      <c r="L267" s="15">
        <f t="shared" si="24"/>
        <v>4480</v>
      </c>
      <c r="M267" s="16"/>
      <c r="N267" s="16"/>
      <c r="O267" s="15">
        <f t="shared" si="25"/>
        <v>56000</v>
      </c>
      <c r="P267" s="15">
        <f t="shared" si="26"/>
        <v>480480</v>
      </c>
      <c r="Q267" s="15">
        <f t="shared" si="27"/>
        <v>1199520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87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652500</v>
      </c>
      <c r="J270" s="20"/>
      <c r="K270" s="15">
        <v>210000</v>
      </c>
      <c r="L270" s="15">
        <f t="shared" si="24"/>
        <v>1740</v>
      </c>
      <c r="M270" s="16"/>
      <c r="N270" s="16"/>
      <c r="O270" s="15">
        <f t="shared" si="25"/>
        <v>21750</v>
      </c>
      <c r="P270" s="15">
        <f t="shared" si="26"/>
        <v>233490</v>
      </c>
      <c r="Q270" s="15">
        <f t="shared" si="27"/>
        <v>419010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160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1200000</v>
      </c>
      <c r="J275" s="16"/>
      <c r="K275" s="15">
        <v>210000</v>
      </c>
      <c r="L275" s="15">
        <f t="shared" si="24"/>
        <v>3200</v>
      </c>
      <c r="M275" s="16"/>
      <c r="N275" s="16"/>
      <c r="O275" s="15">
        <f t="shared" si="25"/>
        <v>40000</v>
      </c>
      <c r="P275" s="15">
        <f t="shared" si="26"/>
        <v>253200</v>
      </c>
      <c r="Q275" s="15">
        <f t="shared" si="27"/>
        <v>946800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714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5355000</v>
      </c>
      <c r="J282" s="16"/>
      <c r="K282" s="15"/>
      <c r="L282" s="15">
        <f t="shared" si="24"/>
        <v>14280</v>
      </c>
      <c r="M282" s="16"/>
      <c r="N282" s="16"/>
      <c r="O282" s="15">
        <f t="shared" si="25"/>
        <v>178500</v>
      </c>
      <c r="P282" s="15">
        <f t="shared" si="26"/>
        <v>192780</v>
      </c>
      <c r="Q282" s="15">
        <f t="shared" si="27"/>
        <v>5162220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120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888000</v>
      </c>
      <c r="J286" s="16"/>
      <c r="K286" s="15">
        <v>645000</v>
      </c>
      <c r="L286" s="15">
        <f t="shared" si="24"/>
        <v>2400</v>
      </c>
      <c r="M286" s="20"/>
      <c r="N286" s="20"/>
      <c r="O286" s="15">
        <f t="shared" si="25"/>
        <v>30000</v>
      </c>
      <c r="P286" s="15">
        <f t="shared" si="26"/>
        <v>677400</v>
      </c>
      <c r="Q286" s="15">
        <f t="shared" si="27"/>
        <v>210600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582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4365000</v>
      </c>
      <c r="J287" s="20"/>
      <c r="K287" s="15"/>
      <c r="L287" s="15">
        <f t="shared" si="24"/>
        <v>11640</v>
      </c>
      <c r="M287" s="16"/>
      <c r="N287" s="16"/>
      <c r="O287" s="15">
        <f t="shared" si="25"/>
        <v>145500</v>
      </c>
      <c r="P287" s="15">
        <f t="shared" si="26"/>
        <v>157140</v>
      </c>
      <c r="Q287" s="15">
        <f t="shared" si="27"/>
        <v>4207860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180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1314000</v>
      </c>
      <c r="J290" s="16"/>
      <c r="K290" s="15">
        <v>420000</v>
      </c>
      <c r="L290" s="15">
        <f t="shared" si="24"/>
        <v>3600</v>
      </c>
      <c r="M290" s="16"/>
      <c r="N290" s="16"/>
      <c r="O290" s="15">
        <f t="shared" si="25"/>
        <v>45000</v>
      </c>
      <c r="P290" s="15">
        <f t="shared" si="26"/>
        <v>468600</v>
      </c>
      <c r="Q290" s="15">
        <f t="shared" si="27"/>
        <v>845400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386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2856400</v>
      </c>
      <c r="J291" s="20"/>
      <c r="K291" s="15">
        <v>840000</v>
      </c>
      <c r="L291" s="15">
        <f t="shared" si="24"/>
        <v>7720</v>
      </c>
      <c r="M291" s="16"/>
      <c r="N291" s="16"/>
      <c r="O291" s="15">
        <f t="shared" si="25"/>
        <v>96500</v>
      </c>
      <c r="P291" s="15">
        <f t="shared" si="26"/>
        <v>944220</v>
      </c>
      <c r="Q291" s="15">
        <f t="shared" si="27"/>
        <v>1912180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213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1597500</v>
      </c>
      <c r="J294" s="16"/>
      <c r="K294" s="15">
        <v>855000</v>
      </c>
      <c r="L294" s="15">
        <f t="shared" si="24"/>
        <v>4260</v>
      </c>
      <c r="M294" s="20"/>
      <c r="N294" s="20"/>
      <c r="O294" s="15">
        <f t="shared" si="25"/>
        <v>53250</v>
      </c>
      <c r="P294" s="15">
        <f t="shared" si="26"/>
        <v>912510</v>
      </c>
      <c r="Q294" s="15">
        <f t="shared" si="27"/>
        <v>684990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65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481000</v>
      </c>
      <c r="J295" s="16"/>
      <c r="K295" s="15"/>
      <c r="L295" s="15">
        <f t="shared" si="24"/>
        <v>1300</v>
      </c>
      <c r="M295" s="16"/>
      <c r="N295" s="16"/>
      <c r="O295" s="15">
        <f t="shared" si="25"/>
        <v>16250</v>
      </c>
      <c r="P295" s="15">
        <f t="shared" si="26"/>
        <v>17550</v>
      </c>
      <c r="Q295" s="15">
        <f t="shared" si="27"/>
        <v>463450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188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1410000</v>
      </c>
      <c r="J296" s="20"/>
      <c r="K296" s="15">
        <v>855000</v>
      </c>
      <c r="L296" s="15">
        <f t="shared" si="24"/>
        <v>3760</v>
      </c>
      <c r="M296" s="20"/>
      <c r="N296" s="20"/>
      <c r="O296" s="15">
        <f t="shared" si="25"/>
        <v>47000</v>
      </c>
      <c r="P296" s="15">
        <f t="shared" si="26"/>
        <v>905760</v>
      </c>
      <c r="Q296" s="15">
        <f t="shared" si="27"/>
        <v>504240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858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6349200</v>
      </c>
      <c r="J298" s="20"/>
      <c r="K298" s="15"/>
      <c r="L298" s="15">
        <f t="shared" si="24"/>
        <v>17160</v>
      </c>
      <c r="M298" s="20"/>
      <c r="N298" s="20"/>
      <c r="O298" s="15">
        <f t="shared" si="25"/>
        <v>214500</v>
      </c>
      <c r="P298" s="15">
        <f t="shared" si="26"/>
        <v>231660</v>
      </c>
      <c r="Q298" s="15">
        <f t="shared" si="27"/>
        <v>6117540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422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3165000</v>
      </c>
      <c r="J315" s="16"/>
      <c r="K315" s="15"/>
      <c r="L315" s="15">
        <f t="shared" si="24"/>
        <v>8440</v>
      </c>
      <c r="M315" s="20"/>
      <c r="N315" s="20"/>
      <c r="O315" s="15">
        <f t="shared" si="25"/>
        <v>105500</v>
      </c>
      <c r="P315" s="15">
        <f t="shared" si="26"/>
        <v>113940</v>
      </c>
      <c r="Q315" s="15">
        <f t="shared" si="27"/>
        <v>3051060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349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2547700</v>
      </c>
      <c r="J316" s="16"/>
      <c r="K316" s="15">
        <v>630000</v>
      </c>
      <c r="L316" s="15">
        <f t="shared" si="24"/>
        <v>6980</v>
      </c>
      <c r="M316" s="16"/>
      <c r="N316" s="16"/>
      <c r="O316" s="15">
        <f t="shared" si="25"/>
        <v>87250</v>
      </c>
      <c r="P316" s="15">
        <f t="shared" si="26"/>
        <v>724230</v>
      </c>
      <c r="Q316" s="15">
        <f t="shared" si="27"/>
        <v>1823470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47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343100</v>
      </c>
      <c r="J319" s="20"/>
      <c r="K319" s="15"/>
      <c r="L319" s="15">
        <f t="shared" si="24"/>
        <v>940</v>
      </c>
      <c r="M319" s="20"/>
      <c r="N319" s="20"/>
      <c r="O319" s="15">
        <f t="shared" si="25"/>
        <v>11750</v>
      </c>
      <c r="P319" s="15">
        <f t="shared" si="26"/>
        <v>12690</v>
      </c>
      <c r="Q319" s="15">
        <f t="shared" si="27"/>
        <v>330410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133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997500</v>
      </c>
      <c r="J321" s="20"/>
      <c r="K321" s="15">
        <v>210000</v>
      </c>
      <c r="L321" s="15">
        <f t="shared" si="24"/>
        <v>2660</v>
      </c>
      <c r="M321" s="16"/>
      <c r="N321" s="16"/>
      <c r="O321" s="15">
        <f t="shared" si="25"/>
        <v>33250</v>
      </c>
      <c r="P321" s="15">
        <f t="shared" si="26"/>
        <v>245910</v>
      </c>
      <c r="Q321" s="15">
        <f t="shared" si="27"/>
        <v>751590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389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2839700</v>
      </c>
      <c r="J325" s="20"/>
      <c r="K325" s="15">
        <v>840000</v>
      </c>
      <c r="L325" s="15">
        <f t="shared" ref="L325:L388" si="30">D325*20</f>
        <v>7780</v>
      </c>
      <c r="M325" s="16"/>
      <c r="N325" s="16"/>
      <c r="O325" s="15">
        <f t="shared" ref="O325:O388" si="31">250*D325</f>
        <v>97250</v>
      </c>
      <c r="P325" s="15">
        <f t="shared" ref="P325:P388" si="32">SUM(J325:O325)</f>
        <v>945030</v>
      </c>
      <c r="Q325" s="15">
        <f t="shared" ref="Q325:Q388" si="33">I325-P325</f>
        <v>1894670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158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1137600</v>
      </c>
      <c r="J328" s="16"/>
      <c r="K328" s="15">
        <v>420000</v>
      </c>
      <c r="L328" s="15">
        <f t="shared" si="30"/>
        <v>3160</v>
      </c>
      <c r="M328" s="20"/>
      <c r="N328" s="20"/>
      <c r="O328" s="15">
        <f t="shared" si="31"/>
        <v>39500</v>
      </c>
      <c r="P328" s="15">
        <f t="shared" si="32"/>
        <v>462660</v>
      </c>
      <c r="Q328" s="15">
        <f t="shared" si="33"/>
        <v>674940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85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612000</v>
      </c>
      <c r="J335" s="16"/>
      <c r="K335" s="15">
        <v>210000</v>
      </c>
      <c r="L335" s="15">
        <f t="shared" si="30"/>
        <v>1700</v>
      </c>
      <c r="M335" s="16"/>
      <c r="N335" s="16"/>
      <c r="O335" s="15">
        <f t="shared" si="31"/>
        <v>21250</v>
      </c>
      <c r="P335" s="15">
        <f t="shared" si="32"/>
        <v>232950</v>
      </c>
      <c r="Q335" s="15">
        <f t="shared" si="33"/>
        <v>379050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149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1117500</v>
      </c>
      <c r="J339" s="16"/>
      <c r="K339" s="15">
        <v>420000</v>
      </c>
      <c r="L339" s="15">
        <f t="shared" si="30"/>
        <v>2980</v>
      </c>
      <c r="M339" s="20"/>
      <c r="N339" s="20"/>
      <c r="O339" s="15">
        <f t="shared" si="31"/>
        <v>37250</v>
      </c>
      <c r="P339" s="15">
        <f t="shared" si="32"/>
        <v>460230</v>
      </c>
      <c r="Q339" s="15">
        <f t="shared" si="33"/>
        <v>657270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310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2294000</v>
      </c>
      <c r="J344" s="20"/>
      <c r="K344" s="15">
        <v>655000</v>
      </c>
      <c r="L344" s="15">
        <f t="shared" si="30"/>
        <v>6200</v>
      </c>
      <c r="M344" s="16"/>
      <c r="N344" s="16"/>
      <c r="O344" s="15">
        <f t="shared" si="31"/>
        <v>77500</v>
      </c>
      <c r="P344" s="15">
        <f t="shared" si="32"/>
        <v>738700</v>
      </c>
      <c r="Q344" s="15">
        <f t="shared" si="33"/>
        <v>1555300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87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652500</v>
      </c>
      <c r="J350" s="16"/>
      <c r="K350" s="15">
        <v>435000</v>
      </c>
      <c r="L350" s="15">
        <f t="shared" si="30"/>
        <v>1740</v>
      </c>
      <c r="M350" s="16"/>
      <c r="N350" s="16"/>
      <c r="O350" s="15">
        <f t="shared" si="31"/>
        <v>21750</v>
      </c>
      <c r="P350" s="15">
        <f t="shared" si="32"/>
        <v>458490</v>
      </c>
      <c r="Q350" s="15">
        <f t="shared" si="33"/>
        <v>194010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190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1425000</v>
      </c>
      <c r="J353" s="20"/>
      <c r="K353" s="15">
        <v>420000</v>
      </c>
      <c r="L353" s="15">
        <f t="shared" si="30"/>
        <v>3800</v>
      </c>
      <c r="M353" s="20"/>
      <c r="N353" s="20"/>
      <c r="O353" s="15">
        <f t="shared" si="31"/>
        <v>47500</v>
      </c>
      <c r="P353" s="15">
        <f t="shared" si="32"/>
        <v>471300</v>
      </c>
      <c r="Q353" s="15">
        <f t="shared" si="33"/>
        <v>953700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/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0</v>
      </c>
      <c r="Q362" s="15">
        <f t="shared" si="33"/>
        <v>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57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427500</v>
      </c>
      <c r="J365" s="16"/>
      <c r="K365" s="15">
        <v>210000</v>
      </c>
      <c r="L365" s="15">
        <f t="shared" si="30"/>
        <v>1140</v>
      </c>
      <c r="M365" s="20"/>
      <c r="N365" s="20"/>
      <c r="O365" s="15">
        <f t="shared" si="31"/>
        <v>14250</v>
      </c>
      <c r="P365" s="15">
        <f t="shared" si="32"/>
        <v>225390</v>
      </c>
      <c r="Q365" s="15">
        <f t="shared" si="33"/>
        <v>202110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51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377400</v>
      </c>
      <c r="J368" s="16"/>
      <c r="K368" s="15">
        <v>210000</v>
      </c>
      <c r="L368" s="15">
        <f t="shared" si="30"/>
        <v>1020</v>
      </c>
      <c r="M368" s="16"/>
      <c r="N368" s="16"/>
      <c r="O368" s="15">
        <f t="shared" si="31"/>
        <v>12750</v>
      </c>
      <c r="P368" s="15">
        <f t="shared" si="32"/>
        <v>223770</v>
      </c>
      <c r="Q368" s="15">
        <f t="shared" si="33"/>
        <v>153630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32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233600</v>
      </c>
      <c r="J373" s="16"/>
      <c r="K373" s="15">
        <v>225000</v>
      </c>
      <c r="L373" s="15">
        <f t="shared" si="30"/>
        <v>640</v>
      </c>
      <c r="M373" s="16"/>
      <c r="N373" s="16"/>
      <c r="O373" s="15">
        <f t="shared" si="31"/>
        <v>8000</v>
      </c>
      <c r="P373" s="15">
        <f t="shared" si="32"/>
        <v>233640</v>
      </c>
      <c r="Q373" s="15">
        <f t="shared" si="33"/>
        <v>-40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83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605900</v>
      </c>
      <c r="J378" s="16"/>
      <c r="K378" s="15"/>
      <c r="L378" s="15">
        <f t="shared" si="30"/>
        <v>1660</v>
      </c>
      <c r="M378" s="16"/>
      <c r="N378" s="16"/>
      <c r="O378" s="15">
        <f t="shared" si="31"/>
        <v>20750</v>
      </c>
      <c r="P378" s="15">
        <f t="shared" si="32"/>
        <v>22410</v>
      </c>
      <c r="Q378" s="15">
        <f t="shared" si="33"/>
        <v>583490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f t="shared" si="34"/>
        <v>7200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234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1755000</v>
      </c>
      <c r="J387" s="16"/>
      <c r="K387" s="15">
        <v>420000</v>
      </c>
      <c r="L387" s="15">
        <f t="shared" si="30"/>
        <v>4680</v>
      </c>
      <c r="M387" s="16"/>
      <c r="N387" s="16"/>
      <c r="O387" s="15">
        <f t="shared" si="31"/>
        <v>58500</v>
      </c>
      <c r="P387" s="15">
        <f t="shared" si="32"/>
        <v>483180</v>
      </c>
      <c r="Q387" s="15">
        <f t="shared" si="33"/>
        <v>1271820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149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1102600</v>
      </c>
      <c r="J392" s="16">
        <v>105000</v>
      </c>
      <c r="K392" s="15">
        <v>420000</v>
      </c>
      <c r="L392" s="15">
        <f t="shared" si="36"/>
        <v>2980</v>
      </c>
      <c r="M392" s="16"/>
      <c r="N392" s="16"/>
      <c r="O392" s="15">
        <f t="shared" si="37"/>
        <v>37250</v>
      </c>
      <c r="P392" s="15">
        <f t="shared" si="38"/>
        <v>565230</v>
      </c>
      <c r="Q392" s="15">
        <f t="shared" si="39"/>
        <v>537370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45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337500</v>
      </c>
      <c r="J394" s="16"/>
      <c r="K394" s="15">
        <v>225000</v>
      </c>
      <c r="L394" s="15">
        <f t="shared" si="36"/>
        <v>900</v>
      </c>
      <c r="M394" s="16"/>
      <c r="N394" s="16"/>
      <c r="O394" s="15">
        <f t="shared" si="37"/>
        <v>11250</v>
      </c>
      <c r="P394" s="15">
        <f t="shared" si="38"/>
        <v>237150</v>
      </c>
      <c r="Q394" s="15">
        <f t="shared" si="39"/>
        <v>100350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160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1184000</v>
      </c>
      <c r="J395" s="16"/>
      <c r="K395" s="15">
        <v>420000</v>
      </c>
      <c r="L395" s="15">
        <f t="shared" si="36"/>
        <v>3200</v>
      </c>
      <c r="M395" s="16"/>
      <c r="N395" s="16"/>
      <c r="O395" s="15">
        <f t="shared" si="37"/>
        <v>40000</v>
      </c>
      <c r="P395" s="15">
        <f t="shared" si="38"/>
        <v>463200</v>
      </c>
      <c r="Q395" s="15">
        <f t="shared" si="39"/>
        <v>720800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89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658600</v>
      </c>
      <c r="J396" s="16"/>
      <c r="K396" s="15"/>
      <c r="L396" s="15">
        <f t="shared" si="36"/>
        <v>1780</v>
      </c>
      <c r="M396" s="16"/>
      <c r="N396" s="16"/>
      <c r="O396" s="15">
        <f t="shared" si="37"/>
        <v>22250</v>
      </c>
      <c r="P396" s="15">
        <f t="shared" si="38"/>
        <v>24030</v>
      </c>
      <c r="Q396" s="15">
        <f t="shared" si="39"/>
        <v>634570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222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1576200</v>
      </c>
      <c r="J398" s="16"/>
      <c r="K398" s="15"/>
      <c r="L398" s="15">
        <f t="shared" si="36"/>
        <v>4440</v>
      </c>
      <c r="M398" s="16"/>
      <c r="N398" s="16"/>
      <c r="O398" s="15">
        <f t="shared" si="37"/>
        <v>55500</v>
      </c>
      <c r="P398" s="15">
        <f t="shared" si="38"/>
        <v>59940</v>
      </c>
      <c r="Q398" s="15">
        <f t="shared" si="39"/>
        <v>1516260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107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802500</v>
      </c>
      <c r="J400" s="16"/>
      <c r="K400" s="15">
        <v>210000</v>
      </c>
      <c r="L400" s="15">
        <f t="shared" si="36"/>
        <v>2140</v>
      </c>
      <c r="M400" s="16"/>
      <c r="N400" s="16"/>
      <c r="O400" s="15">
        <f t="shared" si="37"/>
        <v>26750</v>
      </c>
      <c r="P400" s="15">
        <f t="shared" si="38"/>
        <v>238890</v>
      </c>
      <c r="Q400" s="15">
        <f t="shared" si="39"/>
        <v>563610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289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2167500</v>
      </c>
      <c r="J405" s="16"/>
      <c r="K405" s="15">
        <v>630000</v>
      </c>
      <c r="L405" s="15">
        <f t="shared" si="36"/>
        <v>5780</v>
      </c>
      <c r="M405" s="16"/>
      <c r="N405" s="16"/>
      <c r="O405" s="15">
        <f t="shared" si="37"/>
        <v>72250</v>
      </c>
      <c r="P405" s="15">
        <f t="shared" si="38"/>
        <v>708030</v>
      </c>
      <c r="Q405" s="15">
        <f t="shared" si="39"/>
        <v>1459470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108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788400</v>
      </c>
      <c r="J406" s="16"/>
      <c r="K406" s="15"/>
      <c r="L406" s="15">
        <f t="shared" si="36"/>
        <v>2160</v>
      </c>
      <c r="M406" s="16"/>
      <c r="N406" s="16"/>
      <c r="O406" s="15">
        <f t="shared" si="37"/>
        <v>27000</v>
      </c>
      <c r="P406" s="15">
        <f t="shared" si="38"/>
        <v>29160</v>
      </c>
      <c r="Q406" s="15">
        <f t="shared" si="39"/>
        <v>759240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211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1540300</v>
      </c>
      <c r="J409" s="16"/>
      <c r="K409" s="15">
        <v>420000</v>
      </c>
      <c r="L409" s="15">
        <f t="shared" si="36"/>
        <v>4220</v>
      </c>
      <c r="M409" s="16"/>
      <c r="N409" s="16"/>
      <c r="O409" s="15">
        <f t="shared" si="37"/>
        <v>52750</v>
      </c>
      <c r="P409" s="15">
        <f t="shared" si="38"/>
        <v>476970</v>
      </c>
      <c r="Q409" s="15">
        <f t="shared" si="39"/>
        <v>1063330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250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1850000</v>
      </c>
      <c r="J410" s="16"/>
      <c r="K410" s="15">
        <v>840000</v>
      </c>
      <c r="L410" s="15">
        <f t="shared" si="36"/>
        <v>5000</v>
      </c>
      <c r="M410" s="16"/>
      <c r="N410" s="16"/>
      <c r="O410" s="15">
        <f t="shared" si="37"/>
        <v>62500</v>
      </c>
      <c r="P410" s="15">
        <f t="shared" si="38"/>
        <v>907500</v>
      </c>
      <c r="Q410" s="15">
        <f t="shared" si="39"/>
        <v>942500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457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3336100</v>
      </c>
      <c r="J419" s="20"/>
      <c r="K419" s="20"/>
      <c r="L419" s="15">
        <f t="shared" si="36"/>
        <v>9140</v>
      </c>
      <c r="M419" s="16"/>
      <c r="N419" s="16"/>
      <c r="O419" s="15">
        <f t="shared" si="37"/>
        <v>114250</v>
      </c>
      <c r="P419" s="15">
        <f t="shared" si="38"/>
        <v>123390</v>
      </c>
      <c r="Q419" s="15">
        <f t="shared" si="39"/>
        <v>3212710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172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1272800</v>
      </c>
      <c r="J421" s="16"/>
      <c r="K421" s="15"/>
      <c r="L421" s="15">
        <f t="shared" si="36"/>
        <v>3440</v>
      </c>
      <c r="M421" s="16"/>
      <c r="N421" s="16"/>
      <c r="O421" s="15">
        <f t="shared" si="37"/>
        <v>43000</v>
      </c>
      <c r="P421" s="15">
        <f t="shared" si="38"/>
        <v>46440</v>
      </c>
      <c r="Q421" s="15">
        <f t="shared" si="39"/>
        <v>1226360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432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3153600</v>
      </c>
      <c r="J425" s="16"/>
      <c r="K425" s="15"/>
      <c r="L425" s="15">
        <f t="shared" si="36"/>
        <v>8640</v>
      </c>
      <c r="M425" s="16"/>
      <c r="N425" s="16"/>
      <c r="O425" s="15">
        <f t="shared" si="37"/>
        <v>108000</v>
      </c>
      <c r="P425" s="15">
        <f t="shared" si="38"/>
        <v>116640</v>
      </c>
      <c r="Q425" s="15">
        <f t="shared" si="39"/>
        <v>3036960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393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2868900</v>
      </c>
      <c r="J427" s="16"/>
      <c r="K427" s="15"/>
      <c r="L427" s="15">
        <f t="shared" si="36"/>
        <v>7860</v>
      </c>
      <c r="M427" s="16"/>
      <c r="N427" s="16"/>
      <c r="O427" s="15">
        <f t="shared" si="37"/>
        <v>98250</v>
      </c>
      <c r="P427" s="15">
        <f t="shared" si="38"/>
        <v>106110</v>
      </c>
      <c r="Q427" s="15">
        <f t="shared" si="39"/>
        <v>2762790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6500</v>
      </c>
      <c r="F433" s="15">
        <v>300</v>
      </c>
      <c r="G433" s="15">
        <v>400</v>
      </c>
      <c r="H433" s="15">
        <f t="shared" si="40"/>
        <v>7200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185</v>
      </c>
      <c r="E434" s="15">
        <v>6500</v>
      </c>
      <c r="F434" s="15">
        <v>200</v>
      </c>
      <c r="G434" s="15">
        <v>400</v>
      </c>
      <c r="H434" s="15">
        <f t="shared" si="40"/>
        <v>7100</v>
      </c>
      <c r="I434" s="15">
        <f t="shared" si="41"/>
        <v>1313500</v>
      </c>
      <c r="J434" s="16"/>
      <c r="K434" s="15"/>
      <c r="L434" s="15">
        <f t="shared" si="36"/>
        <v>3700</v>
      </c>
      <c r="M434" s="16"/>
      <c r="N434" s="16"/>
      <c r="O434" s="15">
        <f t="shared" si="37"/>
        <v>46250</v>
      </c>
      <c r="P434" s="15">
        <f t="shared" si="38"/>
        <v>49950</v>
      </c>
      <c r="Q434" s="15">
        <f t="shared" si="39"/>
        <v>1263550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414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2939400</v>
      </c>
      <c r="J437" s="16"/>
      <c r="K437" s="15">
        <v>840000</v>
      </c>
      <c r="L437" s="15">
        <f t="shared" si="36"/>
        <v>8280</v>
      </c>
      <c r="M437" s="16"/>
      <c r="N437" s="16"/>
      <c r="O437" s="15">
        <f t="shared" si="37"/>
        <v>103500</v>
      </c>
      <c r="P437" s="15">
        <f t="shared" si="38"/>
        <v>951780</v>
      </c>
      <c r="Q437" s="15">
        <f t="shared" si="39"/>
        <v>1987620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203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1522500</v>
      </c>
      <c r="J444" s="16">
        <v>210000</v>
      </c>
      <c r="K444" s="15">
        <v>420000</v>
      </c>
      <c r="L444" s="15">
        <f t="shared" si="36"/>
        <v>4060</v>
      </c>
      <c r="M444" s="16"/>
      <c r="N444" s="16"/>
      <c r="O444" s="15">
        <f t="shared" si="37"/>
        <v>50750</v>
      </c>
      <c r="P444" s="15">
        <f t="shared" si="38"/>
        <v>684810</v>
      </c>
      <c r="Q444" s="15">
        <f t="shared" si="39"/>
        <v>837690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115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851000</v>
      </c>
      <c r="J447" s="16"/>
      <c r="K447" s="15">
        <v>420000</v>
      </c>
      <c r="L447" s="15">
        <f t="shared" si="36"/>
        <v>2300</v>
      </c>
      <c r="M447" s="16"/>
      <c r="N447" s="16"/>
      <c r="O447" s="15">
        <f t="shared" si="37"/>
        <v>28750</v>
      </c>
      <c r="P447" s="15">
        <f t="shared" si="38"/>
        <v>451050</v>
      </c>
      <c r="Q447" s="15">
        <f t="shared" si="39"/>
        <v>399950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328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2460000</v>
      </c>
      <c r="J449" s="16"/>
      <c r="K449" s="15">
        <v>630000</v>
      </c>
      <c r="L449" s="15">
        <f t="shared" si="36"/>
        <v>6560</v>
      </c>
      <c r="M449" s="16"/>
      <c r="N449" s="16"/>
      <c r="O449" s="15">
        <f t="shared" si="37"/>
        <v>82000</v>
      </c>
      <c r="P449" s="15">
        <f t="shared" si="38"/>
        <v>718560</v>
      </c>
      <c r="Q449" s="15">
        <f t="shared" si="39"/>
        <v>1741440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161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1191400</v>
      </c>
      <c r="J451" s="16"/>
      <c r="K451" s="15">
        <v>420000</v>
      </c>
      <c r="L451" s="15">
        <f t="shared" si="36"/>
        <v>3220</v>
      </c>
      <c r="M451" s="16"/>
      <c r="N451" s="16"/>
      <c r="O451" s="15">
        <f t="shared" si="37"/>
        <v>40250</v>
      </c>
      <c r="P451" s="15">
        <f t="shared" si="38"/>
        <v>463470</v>
      </c>
      <c r="Q451" s="15">
        <f t="shared" si="39"/>
        <v>727930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/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180</v>
      </c>
      <c r="E454" s="15">
        <v>6500</v>
      </c>
      <c r="F454" s="15">
        <v>400</v>
      </c>
      <c r="G454" s="15">
        <v>400</v>
      </c>
      <c r="H454" s="15">
        <f t="shared" ref="H454:H473" si="46">SUM(E454:G454)</f>
        <v>7300</v>
      </c>
      <c r="I454" s="15">
        <f t="shared" ref="I454:I475" si="47">H454*D454</f>
        <v>1314000</v>
      </c>
      <c r="J454" s="16"/>
      <c r="K454" s="15"/>
      <c r="L454" s="15">
        <f t="shared" si="42"/>
        <v>3600</v>
      </c>
      <c r="M454" s="16"/>
      <c r="N454" s="16"/>
      <c r="O454" s="15">
        <f t="shared" si="43"/>
        <v>45000</v>
      </c>
      <c r="P454" s="15">
        <f t="shared" si="44"/>
        <v>48600</v>
      </c>
      <c r="Q454" s="15">
        <f t="shared" si="45"/>
        <v>1265400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46"/>
        <v>7300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46"/>
        <v>7200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87</v>
      </c>
      <c r="E457" s="15">
        <v>6500</v>
      </c>
      <c r="F457" s="15">
        <v>500</v>
      </c>
      <c r="G457" s="15">
        <v>400</v>
      </c>
      <c r="H457" s="15">
        <f t="shared" si="46"/>
        <v>7400</v>
      </c>
      <c r="I457" s="15">
        <f t="shared" si="47"/>
        <v>643800</v>
      </c>
      <c r="J457" s="16"/>
      <c r="K457" s="15">
        <v>210000</v>
      </c>
      <c r="L457" s="15">
        <f t="shared" si="42"/>
        <v>1740</v>
      </c>
      <c r="M457" s="16"/>
      <c r="N457" s="16"/>
      <c r="O457" s="15">
        <f t="shared" si="43"/>
        <v>21750</v>
      </c>
      <c r="P457" s="15">
        <f t="shared" si="44"/>
        <v>233490</v>
      </c>
      <c r="Q457" s="15">
        <f t="shared" si="45"/>
        <v>410310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46"/>
        <v>7200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126</v>
      </c>
      <c r="E459" s="15">
        <v>6500</v>
      </c>
      <c r="F459" s="15">
        <v>600</v>
      </c>
      <c r="G459" s="15">
        <v>400</v>
      </c>
      <c r="H459" s="15">
        <f t="shared" si="46"/>
        <v>7500</v>
      </c>
      <c r="I459" s="15">
        <f t="shared" si="47"/>
        <v>945000</v>
      </c>
      <c r="J459" s="16"/>
      <c r="K459" s="15">
        <v>210000</v>
      </c>
      <c r="L459" s="15">
        <f t="shared" si="42"/>
        <v>2520</v>
      </c>
      <c r="M459" s="16"/>
      <c r="N459" s="16"/>
      <c r="O459" s="15">
        <f t="shared" si="43"/>
        <v>31500</v>
      </c>
      <c r="P459" s="15">
        <f t="shared" si="44"/>
        <v>244020</v>
      </c>
      <c r="Q459" s="15">
        <f t="shared" si="45"/>
        <v>700980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384</v>
      </c>
      <c r="E460" s="15">
        <v>6500</v>
      </c>
      <c r="F460" s="15">
        <v>600</v>
      </c>
      <c r="G460" s="15">
        <v>400</v>
      </c>
      <c r="H460" s="15">
        <f t="shared" si="46"/>
        <v>7500</v>
      </c>
      <c r="I460" s="15">
        <f t="shared" si="47"/>
        <v>2880000</v>
      </c>
      <c r="J460" s="16"/>
      <c r="K460" s="15"/>
      <c r="L460" s="15">
        <f t="shared" si="42"/>
        <v>7680</v>
      </c>
      <c r="M460" s="16"/>
      <c r="N460" s="16"/>
      <c r="O460" s="15">
        <f t="shared" si="43"/>
        <v>96000</v>
      </c>
      <c r="P460" s="15">
        <f t="shared" si="44"/>
        <v>103680</v>
      </c>
      <c r="Q460" s="15">
        <f t="shared" si="45"/>
        <v>2776320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141</v>
      </c>
      <c r="E461" s="15">
        <v>6500</v>
      </c>
      <c r="F461" s="15">
        <v>400</v>
      </c>
      <c r="G461" s="15">
        <v>400</v>
      </c>
      <c r="H461" s="15">
        <f t="shared" si="46"/>
        <v>7300</v>
      </c>
      <c r="I461" s="15">
        <f t="shared" si="47"/>
        <v>1029300</v>
      </c>
      <c r="J461" s="16"/>
      <c r="K461" s="15">
        <v>210000</v>
      </c>
      <c r="L461" s="15">
        <f t="shared" si="42"/>
        <v>2820</v>
      </c>
      <c r="M461" s="16"/>
      <c r="N461" s="16"/>
      <c r="O461" s="15">
        <f t="shared" si="43"/>
        <v>35250</v>
      </c>
      <c r="P461" s="15">
        <f t="shared" si="44"/>
        <v>248070</v>
      </c>
      <c r="Q461" s="15">
        <f t="shared" si="45"/>
        <v>781230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209</v>
      </c>
      <c r="E462" s="15">
        <v>6500</v>
      </c>
      <c r="F462" s="15">
        <v>200</v>
      </c>
      <c r="G462" s="15">
        <v>400</v>
      </c>
      <c r="H462" s="15">
        <f t="shared" si="46"/>
        <v>7100</v>
      </c>
      <c r="I462" s="15">
        <f t="shared" si="47"/>
        <v>1483900</v>
      </c>
      <c r="J462" s="16"/>
      <c r="K462" s="15">
        <v>420000</v>
      </c>
      <c r="L462" s="15">
        <f t="shared" si="42"/>
        <v>4180</v>
      </c>
      <c r="M462" s="16"/>
      <c r="N462" s="16"/>
      <c r="O462" s="15">
        <f t="shared" si="43"/>
        <v>52250</v>
      </c>
      <c r="P462" s="15">
        <f t="shared" si="44"/>
        <v>476430</v>
      </c>
      <c r="Q462" s="15">
        <f t="shared" si="45"/>
        <v>1007470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130</v>
      </c>
      <c r="E463" s="15">
        <v>6500</v>
      </c>
      <c r="F463" s="15">
        <v>500</v>
      </c>
      <c r="G463" s="15">
        <v>400</v>
      </c>
      <c r="H463" s="15">
        <f t="shared" si="46"/>
        <v>7400</v>
      </c>
      <c r="I463" s="15">
        <f t="shared" si="47"/>
        <v>962000</v>
      </c>
      <c r="J463" s="16"/>
      <c r="K463" s="15">
        <v>210000</v>
      </c>
      <c r="L463" s="15">
        <f t="shared" si="42"/>
        <v>2600</v>
      </c>
      <c r="M463" s="16"/>
      <c r="N463" s="16"/>
      <c r="O463" s="15">
        <f t="shared" si="43"/>
        <v>32500</v>
      </c>
      <c r="P463" s="15">
        <f t="shared" si="44"/>
        <v>245100</v>
      </c>
      <c r="Q463" s="15">
        <f t="shared" si="45"/>
        <v>716900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83</v>
      </c>
      <c r="E464" s="15">
        <v>6500</v>
      </c>
      <c r="F464" s="15">
        <v>200</v>
      </c>
      <c r="G464" s="15">
        <v>400</v>
      </c>
      <c r="H464" s="15">
        <f t="shared" si="46"/>
        <v>7100</v>
      </c>
      <c r="I464" s="15">
        <f t="shared" si="47"/>
        <v>589300</v>
      </c>
      <c r="J464" s="16"/>
      <c r="K464" s="15">
        <v>210000</v>
      </c>
      <c r="L464" s="15">
        <f t="shared" si="42"/>
        <v>1660</v>
      </c>
      <c r="M464" s="16"/>
      <c r="N464" s="16"/>
      <c r="O464" s="15">
        <f t="shared" si="43"/>
        <v>20750</v>
      </c>
      <c r="P464" s="15">
        <f t="shared" si="44"/>
        <v>232410</v>
      </c>
      <c r="Q464" s="15">
        <f t="shared" si="45"/>
        <v>356890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304</v>
      </c>
      <c r="E465" s="15">
        <v>6500</v>
      </c>
      <c r="F465" s="15">
        <v>400</v>
      </c>
      <c r="G465" s="15">
        <v>400</v>
      </c>
      <c r="H465" s="15">
        <f t="shared" si="46"/>
        <v>7300</v>
      </c>
      <c r="I465" s="15">
        <f t="shared" si="47"/>
        <v>2219200</v>
      </c>
      <c r="J465" s="16"/>
      <c r="K465" s="15">
        <v>645000</v>
      </c>
      <c r="L465" s="15">
        <f t="shared" si="42"/>
        <v>6080</v>
      </c>
      <c r="M465" s="16"/>
      <c r="N465" s="16"/>
      <c r="O465" s="15">
        <f t="shared" si="43"/>
        <v>76000</v>
      </c>
      <c r="P465" s="15">
        <f t="shared" si="44"/>
        <v>727080</v>
      </c>
      <c r="Q465" s="15">
        <f t="shared" si="45"/>
        <v>1492120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132</v>
      </c>
      <c r="E466" s="15">
        <v>6500</v>
      </c>
      <c r="F466" s="15">
        <v>500</v>
      </c>
      <c r="G466" s="15">
        <v>400</v>
      </c>
      <c r="H466" s="15">
        <f t="shared" si="46"/>
        <v>7400</v>
      </c>
      <c r="I466" s="15">
        <f t="shared" si="47"/>
        <v>976800</v>
      </c>
      <c r="J466" s="16"/>
      <c r="K466" s="15"/>
      <c r="L466" s="15">
        <f t="shared" si="42"/>
        <v>2640</v>
      </c>
      <c r="M466" s="16"/>
      <c r="N466" s="16"/>
      <c r="O466" s="15">
        <f t="shared" si="43"/>
        <v>33000</v>
      </c>
      <c r="P466" s="15">
        <f t="shared" si="44"/>
        <v>35640</v>
      </c>
      <c r="Q466" s="15">
        <f t="shared" si="45"/>
        <v>941160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46"/>
        <v>7300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46"/>
        <v>7300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46"/>
        <v>7300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46"/>
        <v>7400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/>
      <c r="E471" s="15">
        <v>6500</v>
      </c>
      <c r="F471" s="15">
        <v>300</v>
      </c>
      <c r="G471" s="15">
        <v>400</v>
      </c>
      <c r="H471" s="15">
        <f t="shared" si="46"/>
        <v>7200</v>
      </c>
      <c r="I471" s="15">
        <f t="shared" si="47"/>
        <v>0</v>
      </c>
      <c r="J471" s="16"/>
      <c r="K471" s="15"/>
      <c r="L471" s="15">
        <f t="shared" si="42"/>
        <v>0</v>
      </c>
      <c r="M471" s="16"/>
      <c r="N471" s="16"/>
      <c r="O471" s="15">
        <f t="shared" si="43"/>
        <v>0</v>
      </c>
      <c r="P471" s="15">
        <f t="shared" si="44"/>
        <v>0</v>
      </c>
      <c r="Q471" s="15">
        <f t="shared" si="45"/>
        <v>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46"/>
        <v>7300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46"/>
        <v>7300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95</v>
      </c>
      <c r="E474" s="15">
        <v>6500</v>
      </c>
      <c r="F474" s="15">
        <v>500</v>
      </c>
      <c r="G474" s="15">
        <v>400</v>
      </c>
      <c r="H474" s="15">
        <f t="shared" ref="H474" si="48">SUM(E474:G474)</f>
        <v>7400</v>
      </c>
      <c r="I474" s="15">
        <f t="shared" si="47"/>
        <v>703000</v>
      </c>
      <c r="J474" s="16"/>
      <c r="K474" s="15">
        <v>210000</v>
      </c>
      <c r="L474" s="15">
        <f t="shared" si="42"/>
        <v>1900</v>
      </c>
      <c r="M474" s="16"/>
      <c r="N474" s="16"/>
      <c r="O474" s="15">
        <f>250*D474</f>
        <v>23750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1205</v>
      </c>
      <c r="E475" s="15">
        <v>6500</v>
      </c>
      <c r="F475" s="15">
        <v>600</v>
      </c>
      <c r="G475" s="15">
        <v>400</v>
      </c>
      <c r="H475" s="15">
        <f t="shared" ref="H475" si="49">SUM(E475:G475)</f>
        <v>7500</v>
      </c>
      <c r="I475" s="15">
        <f t="shared" si="47"/>
        <v>9037500</v>
      </c>
      <c r="J475" s="16"/>
      <c r="K475" s="15"/>
      <c r="L475" s="15">
        <f t="shared" ref="L475" si="50">D475*20</f>
        <v>24100</v>
      </c>
      <c r="M475" s="16"/>
      <c r="N475" s="16"/>
      <c r="O475" s="15">
        <f t="shared" ref="O475" si="51">250*D475</f>
        <v>301250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>
        <v>45</v>
      </c>
      <c r="E476" s="15">
        <v>6500</v>
      </c>
      <c r="F476" s="15">
        <v>400</v>
      </c>
      <c r="G476" s="15">
        <v>400</v>
      </c>
      <c r="H476" s="15">
        <f t="shared" ref="H476:H478" si="52">SUM(E476:G476)</f>
        <v>7300</v>
      </c>
      <c r="I476" s="15">
        <f t="shared" ref="I476:I478" si="53">H476*D476</f>
        <v>328500</v>
      </c>
      <c r="J476" s="16"/>
      <c r="K476" s="15"/>
      <c r="L476" s="15">
        <f t="shared" ref="L476:L478" si="54">D476*20</f>
        <v>900</v>
      </c>
      <c r="M476" s="16"/>
      <c r="N476" s="16"/>
      <c r="O476" s="15">
        <f t="shared" ref="O476:O478" si="55">250*D476</f>
        <v>11250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325</v>
      </c>
      <c r="E477" s="15">
        <v>6500</v>
      </c>
      <c r="F477" s="15">
        <v>400</v>
      </c>
      <c r="G477" s="15">
        <v>400</v>
      </c>
      <c r="H477" s="15">
        <f t="shared" si="52"/>
        <v>7300</v>
      </c>
      <c r="I477" s="15">
        <f t="shared" si="53"/>
        <v>2372500</v>
      </c>
      <c r="J477" s="16"/>
      <c r="K477" s="15"/>
      <c r="L477" s="15">
        <f t="shared" si="54"/>
        <v>6500</v>
      </c>
      <c r="M477" s="16"/>
      <c r="N477" s="16"/>
      <c r="O477" s="15">
        <f t="shared" si="55"/>
        <v>81250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268</v>
      </c>
      <c r="E478" s="15">
        <v>6500</v>
      </c>
      <c r="F478" s="15">
        <v>600</v>
      </c>
      <c r="G478" s="15">
        <v>400</v>
      </c>
      <c r="H478" s="15">
        <f t="shared" si="52"/>
        <v>7500</v>
      </c>
      <c r="I478" s="15">
        <f t="shared" si="53"/>
        <v>2010000</v>
      </c>
      <c r="J478" s="16"/>
      <c r="K478" s="15">
        <v>630000</v>
      </c>
      <c r="L478" s="15">
        <f t="shared" si="54"/>
        <v>5360</v>
      </c>
      <c r="M478" s="16"/>
      <c r="N478" s="16"/>
      <c r="O478" s="15">
        <f t="shared" si="55"/>
        <v>67000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6">SUM(D4:D478)</f>
        <v>31338</v>
      </c>
      <c r="E479" s="20">
        <f>SUM(E4:E478)</f>
        <v>3087500</v>
      </c>
      <c r="F479" s="20">
        <f t="shared" ref="F479:G479" si="57">SUM(F4:F478)</f>
        <v>178900</v>
      </c>
      <c r="G479" s="20">
        <f t="shared" si="57"/>
        <v>190000</v>
      </c>
      <c r="H479" s="20">
        <f t="shared" si="56"/>
        <v>3456400</v>
      </c>
      <c r="I479" s="20">
        <f>SUM(I4:I478)</f>
        <v>231865200</v>
      </c>
      <c r="J479" s="20">
        <f t="shared" si="56"/>
        <v>1040000</v>
      </c>
      <c r="K479" s="20">
        <f t="shared" si="56"/>
        <v>49700000</v>
      </c>
      <c r="L479" s="20">
        <f t="shared" si="56"/>
        <v>626760</v>
      </c>
      <c r="M479" s="20">
        <f t="shared" si="56"/>
        <v>0</v>
      </c>
      <c r="N479" s="20">
        <f t="shared" si="56"/>
        <v>0</v>
      </c>
      <c r="O479" s="20">
        <f t="shared" si="56"/>
        <v>7834500</v>
      </c>
      <c r="P479" s="20">
        <f t="shared" si="56"/>
        <v>57838000</v>
      </c>
      <c r="Q479" s="20">
        <f t="shared" si="56"/>
        <v>159575700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21 S / D 31 MEI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426</v>
      </c>
      <c r="F493" s="8" t="s">
        <v>427</v>
      </c>
      <c r="G493" s="8" t="s">
        <v>428</v>
      </c>
      <c r="H493" s="8" t="s">
        <v>429</v>
      </c>
      <c r="I493" s="8" t="s">
        <v>430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425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165</v>
      </c>
      <c r="E495" s="16">
        <v>7300</v>
      </c>
      <c r="F495" s="16"/>
      <c r="G495" s="16"/>
      <c r="H495" s="15">
        <f t="shared" ref="H495:H502" si="58">SUM(E495:G495)</f>
        <v>7300</v>
      </c>
      <c r="I495" s="15">
        <f t="shared" ref="I495:I502" si="59">D495*H495</f>
        <v>1204500</v>
      </c>
      <c r="J495" s="20"/>
      <c r="K495" s="15"/>
      <c r="L495" s="15"/>
      <c r="M495" s="20"/>
      <c r="N495" s="20"/>
      <c r="O495" s="22"/>
      <c r="P495" s="15">
        <f t="shared" ref="P495:P502" si="60">SUM(J495:O495)</f>
        <v>0</v>
      </c>
      <c r="Q495" s="15">
        <f t="shared" ref="Q495:Q502" si="61">I495-P495</f>
        <v>1204500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8"/>
        <v>7300</v>
      </c>
      <c r="I496" s="15">
        <f t="shared" si="59"/>
        <v>65700</v>
      </c>
      <c r="J496" s="20"/>
      <c r="K496" s="15"/>
      <c r="L496" s="15"/>
      <c r="M496" s="20"/>
      <c r="N496" s="20"/>
      <c r="O496" s="22"/>
      <c r="P496" s="15">
        <f t="shared" si="60"/>
        <v>0</v>
      </c>
      <c r="Q496" s="15">
        <f t="shared" si="61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70</v>
      </c>
      <c r="E497" s="16">
        <v>7300</v>
      </c>
      <c r="F497" s="16"/>
      <c r="G497" s="16"/>
      <c r="H497" s="15">
        <f t="shared" si="58"/>
        <v>7300</v>
      </c>
      <c r="I497" s="15">
        <f t="shared" si="59"/>
        <v>511000</v>
      </c>
      <c r="J497" s="20"/>
      <c r="K497" s="15"/>
      <c r="L497" s="15"/>
      <c r="M497" s="20"/>
      <c r="N497" s="20"/>
      <c r="O497" s="22"/>
      <c r="P497" s="15">
        <f t="shared" si="60"/>
        <v>0</v>
      </c>
      <c r="Q497" s="15">
        <f t="shared" si="61"/>
        <v>511000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260</v>
      </c>
      <c r="E498" s="16">
        <v>7300</v>
      </c>
      <c r="F498" s="16"/>
      <c r="G498" s="16"/>
      <c r="H498" s="15">
        <f t="shared" si="58"/>
        <v>7300</v>
      </c>
      <c r="I498" s="15">
        <f t="shared" si="59"/>
        <v>1898000</v>
      </c>
      <c r="J498" s="20"/>
      <c r="K498" s="15"/>
      <c r="L498" s="15"/>
      <c r="M498" s="20"/>
      <c r="N498" s="20"/>
      <c r="O498" s="22"/>
      <c r="P498" s="15">
        <f t="shared" si="60"/>
        <v>0</v>
      </c>
      <c r="Q498" s="15">
        <f t="shared" si="61"/>
        <v>1898000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210</v>
      </c>
      <c r="E499" s="16">
        <v>7300</v>
      </c>
      <c r="F499" s="16"/>
      <c r="G499" s="16"/>
      <c r="H499" s="15">
        <f t="shared" si="58"/>
        <v>7300</v>
      </c>
      <c r="I499" s="15">
        <f t="shared" si="59"/>
        <v>1533000</v>
      </c>
      <c r="J499" s="20"/>
      <c r="K499" s="15"/>
      <c r="L499" s="15"/>
      <c r="M499" s="20"/>
      <c r="N499" s="20"/>
      <c r="O499" s="22"/>
      <c r="P499" s="15">
        <f t="shared" si="60"/>
        <v>0</v>
      </c>
      <c r="Q499" s="15">
        <f t="shared" si="61"/>
        <v>1533000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8"/>
        <v>7300</v>
      </c>
      <c r="I500" s="15">
        <f t="shared" si="59"/>
        <v>511000</v>
      </c>
      <c r="J500" s="20"/>
      <c r="K500" s="15"/>
      <c r="L500" s="15"/>
      <c r="M500" s="20"/>
      <c r="N500" s="20"/>
      <c r="O500" s="22"/>
      <c r="P500" s="15">
        <f t="shared" si="60"/>
        <v>0</v>
      </c>
      <c r="Q500" s="15">
        <f t="shared" si="6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8"/>
        <v>7300</v>
      </c>
      <c r="I501" s="15">
        <f t="shared" si="59"/>
        <v>146000</v>
      </c>
      <c r="J501" s="20"/>
      <c r="K501" s="15"/>
      <c r="L501" s="15"/>
      <c r="M501" s="20"/>
      <c r="N501" s="20"/>
      <c r="O501" s="22"/>
      <c r="P501" s="15">
        <f t="shared" si="60"/>
        <v>0</v>
      </c>
      <c r="Q501" s="15">
        <f t="shared" si="61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8"/>
        <v>7300</v>
      </c>
      <c r="I502" s="15">
        <f t="shared" si="59"/>
        <v>0</v>
      </c>
      <c r="J502" s="20"/>
      <c r="K502" s="15"/>
      <c r="L502" s="15"/>
      <c r="M502" s="20"/>
      <c r="N502" s="20"/>
      <c r="O502" s="22"/>
      <c r="P502" s="15">
        <f t="shared" si="60"/>
        <v>0</v>
      </c>
      <c r="Q502" s="15">
        <f t="shared" si="6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62">H503-P503</f>
        <v>0</v>
      </c>
      <c r="R503" s="36"/>
    </row>
    <row r="504" spans="1:18" ht="16.5" x14ac:dyDescent="0.25">
      <c r="A504" s="44"/>
      <c r="B504" s="68" t="s">
        <v>393</v>
      </c>
      <c r="C504" s="69"/>
      <c r="D504" s="22">
        <f>SUM(D494:D503)</f>
        <v>864</v>
      </c>
      <c r="E504" s="22">
        <f t="shared" ref="E504:Q504" si="63">SUM(E494:E503)</f>
        <v>65700</v>
      </c>
      <c r="F504" s="22">
        <f t="shared" ref="F504:G504" si="64">SUM(F494:F503)</f>
        <v>0</v>
      </c>
      <c r="G504" s="22">
        <f t="shared" si="64"/>
        <v>0</v>
      </c>
      <c r="H504" s="22">
        <f t="shared" si="63"/>
        <v>65700</v>
      </c>
      <c r="I504" s="22">
        <f t="shared" si="63"/>
        <v>6307200</v>
      </c>
      <c r="J504" s="22">
        <f t="shared" si="63"/>
        <v>0</v>
      </c>
      <c r="K504" s="22">
        <f t="shared" si="63"/>
        <v>0</v>
      </c>
      <c r="L504" s="22">
        <f t="shared" si="63"/>
        <v>0</v>
      </c>
      <c r="M504" s="22">
        <f t="shared" si="63"/>
        <v>0</v>
      </c>
      <c r="N504" s="22">
        <f t="shared" si="63"/>
        <v>0</v>
      </c>
      <c r="O504" s="22">
        <f t="shared" si="63"/>
        <v>0</v>
      </c>
      <c r="P504" s="22">
        <f t="shared" si="63"/>
        <v>0</v>
      </c>
      <c r="Q504" s="22">
        <f t="shared" si="63"/>
        <v>6307200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21 S / D 31 MEI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427</v>
      </c>
      <c r="G515" s="55" t="s">
        <v>428</v>
      </c>
      <c r="H515" s="55" t="s">
        <v>429</v>
      </c>
      <c r="I515" s="55" t="s">
        <v>432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461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442</v>
      </c>
      <c r="C517" s="60" t="s">
        <v>443</v>
      </c>
      <c r="D517" s="61"/>
      <c r="E517" s="16">
        <v>8000</v>
      </c>
      <c r="F517" s="16"/>
      <c r="G517" s="16"/>
      <c r="H517" s="15">
        <f t="shared" ref="H517:H524" si="65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66">SUM(J517:O517)</f>
        <v>0</v>
      </c>
      <c r="Q517" s="15">
        <f t="shared" ref="Q517:Q524" si="67">I517-P517</f>
        <v>0</v>
      </c>
      <c r="R517" s="59"/>
    </row>
    <row r="518" spans="1:18" ht="16.5" x14ac:dyDescent="0.3">
      <c r="A518" s="56"/>
      <c r="B518" s="57" t="s">
        <v>395</v>
      </c>
      <c r="C518" s="58" t="s">
        <v>470</v>
      </c>
      <c r="D518" s="62">
        <v>640</v>
      </c>
      <c r="E518" s="16">
        <v>8000</v>
      </c>
      <c r="F518" s="16"/>
      <c r="G518" s="16"/>
      <c r="H518" s="15">
        <f t="shared" si="65"/>
        <v>8000</v>
      </c>
      <c r="I518" s="15">
        <f t="shared" ref="I518:I524" si="68">D518*H518</f>
        <v>5120000</v>
      </c>
      <c r="J518" s="15"/>
      <c r="K518" s="15"/>
      <c r="L518" s="15"/>
      <c r="M518" s="15"/>
      <c r="N518" s="15"/>
      <c r="O518" s="15"/>
      <c r="P518" s="15">
        <f t="shared" si="66"/>
        <v>0</v>
      </c>
      <c r="Q518" s="15">
        <f t="shared" si="67"/>
        <v>5120000</v>
      </c>
      <c r="R518" s="59"/>
    </row>
    <row r="519" spans="1:18" ht="16.5" x14ac:dyDescent="0.3">
      <c r="A519" s="56"/>
      <c r="B519" s="57" t="s">
        <v>468</v>
      </c>
      <c r="C519" s="58" t="s">
        <v>414</v>
      </c>
      <c r="D519" s="61">
        <v>880</v>
      </c>
      <c r="E519" s="16">
        <v>7400</v>
      </c>
      <c r="F519" s="16"/>
      <c r="G519" s="16"/>
      <c r="H519" s="15">
        <f t="shared" si="65"/>
        <v>7400</v>
      </c>
      <c r="I519" s="15">
        <f t="shared" si="68"/>
        <v>6512000</v>
      </c>
      <c r="J519" s="15"/>
      <c r="K519" s="15"/>
      <c r="L519" s="15"/>
      <c r="M519" s="15"/>
      <c r="N519" s="15"/>
      <c r="O519" s="15"/>
      <c r="P519" s="15">
        <f t="shared" si="66"/>
        <v>0</v>
      </c>
      <c r="Q519" s="15">
        <f t="shared" si="67"/>
        <v>6512000</v>
      </c>
      <c r="R519" s="59"/>
    </row>
    <row r="520" spans="1:18" ht="16.5" x14ac:dyDescent="0.3">
      <c r="A520" s="56"/>
      <c r="B520" s="57" t="s">
        <v>463</v>
      </c>
      <c r="C520" s="58" t="s">
        <v>469</v>
      </c>
      <c r="D520" s="61">
        <v>673</v>
      </c>
      <c r="E520" s="16">
        <v>7400</v>
      </c>
      <c r="F520" s="16"/>
      <c r="G520" s="16"/>
      <c r="H520" s="15">
        <f t="shared" si="65"/>
        <v>7400</v>
      </c>
      <c r="I520" s="15">
        <f t="shared" si="68"/>
        <v>4980200</v>
      </c>
      <c r="J520" s="15"/>
      <c r="K520" s="15"/>
      <c r="L520" s="15"/>
      <c r="M520" s="15"/>
      <c r="N520" s="15"/>
      <c r="O520" s="15"/>
      <c r="P520" s="15">
        <f t="shared" si="66"/>
        <v>0</v>
      </c>
      <c r="Q520" s="15">
        <f t="shared" si="67"/>
        <v>4980200</v>
      </c>
      <c r="R520" s="59"/>
    </row>
    <row r="521" spans="1:18" ht="16.5" x14ac:dyDescent="0.3">
      <c r="A521" s="56"/>
      <c r="B521" s="60" t="s">
        <v>475</v>
      </c>
      <c r="C521" s="58" t="s">
        <v>471</v>
      </c>
      <c r="D521" s="61">
        <v>2758</v>
      </c>
      <c r="E521" s="16">
        <v>8000</v>
      </c>
      <c r="F521" s="16"/>
      <c r="G521" s="16"/>
      <c r="H521" s="15">
        <f t="shared" si="65"/>
        <v>8000</v>
      </c>
      <c r="I521" s="15">
        <f t="shared" si="68"/>
        <v>22064000</v>
      </c>
      <c r="J521" s="15"/>
      <c r="K521" s="15"/>
      <c r="L521" s="15"/>
      <c r="M521" s="15"/>
      <c r="N521" s="15"/>
      <c r="O521" s="15"/>
      <c r="P521" s="15">
        <f t="shared" si="66"/>
        <v>0</v>
      </c>
      <c r="Q521" s="15">
        <f t="shared" si="67"/>
        <v>22064000</v>
      </c>
      <c r="R521" s="59"/>
    </row>
    <row r="522" spans="1:18" ht="16.5" x14ac:dyDescent="0.3">
      <c r="A522" s="56"/>
      <c r="B522" s="58" t="s">
        <v>396</v>
      </c>
      <c r="C522" s="58" t="s">
        <v>462</v>
      </c>
      <c r="D522" s="61">
        <v>970</v>
      </c>
      <c r="E522" s="61">
        <v>7500</v>
      </c>
      <c r="F522" s="61"/>
      <c r="G522" s="61"/>
      <c r="H522" s="15">
        <f t="shared" si="65"/>
        <v>7500</v>
      </c>
      <c r="I522" s="15">
        <f t="shared" si="68"/>
        <v>7275000</v>
      </c>
      <c r="J522" s="15"/>
      <c r="K522" s="15"/>
      <c r="L522" s="15"/>
      <c r="M522" s="15"/>
      <c r="N522" s="15"/>
      <c r="O522" s="15"/>
      <c r="P522" s="15">
        <f t="shared" si="66"/>
        <v>0</v>
      </c>
      <c r="Q522" s="15">
        <f t="shared" si="67"/>
        <v>7275000</v>
      </c>
      <c r="R522" s="59"/>
    </row>
    <row r="523" spans="1:18" ht="16.5" x14ac:dyDescent="0.3">
      <c r="A523" s="56"/>
      <c r="B523" s="58" t="s">
        <v>464</v>
      </c>
      <c r="C523" s="58" t="s">
        <v>460</v>
      </c>
      <c r="D523" s="61"/>
      <c r="E523" s="61">
        <v>7500</v>
      </c>
      <c r="F523" s="61"/>
      <c r="G523" s="61"/>
      <c r="H523" s="15">
        <f t="shared" si="65"/>
        <v>7500</v>
      </c>
      <c r="I523" s="15">
        <f t="shared" si="68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66"/>
        <v>0</v>
      </c>
      <c r="Q523" s="15">
        <f t="shared" si="67"/>
        <v>0</v>
      </c>
      <c r="R523" s="59"/>
    </row>
    <row r="524" spans="1:18" ht="16.5" x14ac:dyDescent="0.3">
      <c r="A524" s="56"/>
      <c r="B524" s="58" t="s">
        <v>411</v>
      </c>
      <c r="C524" s="58"/>
      <c r="D524" s="61"/>
      <c r="E524" s="61"/>
      <c r="F524" s="61"/>
      <c r="G524" s="61"/>
      <c r="H524" s="15">
        <f t="shared" si="65"/>
        <v>0</v>
      </c>
      <c r="I524" s="15">
        <f t="shared" si="68"/>
        <v>0</v>
      </c>
      <c r="J524" s="15"/>
      <c r="K524" s="15"/>
      <c r="L524" s="15"/>
      <c r="M524" s="15"/>
      <c r="N524" s="15"/>
      <c r="O524" s="15"/>
      <c r="P524" s="15">
        <f t="shared" si="66"/>
        <v>0</v>
      </c>
      <c r="Q524" s="15">
        <f t="shared" si="67"/>
        <v>0</v>
      </c>
      <c r="R524" s="59"/>
    </row>
    <row r="525" spans="1:18" ht="16.5" x14ac:dyDescent="0.25">
      <c r="A525" s="74" t="s">
        <v>397</v>
      </c>
      <c r="B525" s="75"/>
      <c r="C525" s="76"/>
      <c r="D525" s="22">
        <f>SUM(D516:D524)</f>
        <v>5921</v>
      </c>
      <c r="E525" s="22">
        <f>SUM(E516:E524)</f>
        <v>61000</v>
      </c>
      <c r="F525" s="22">
        <f t="shared" ref="F525:G525" si="69">SUM(F516:F524)</f>
        <v>0</v>
      </c>
      <c r="G525" s="22">
        <f t="shared" si="69"/>
        <v>0</v>
      </c>
      <c r="H525" s="22">
        <f t="shared" ref="H525:Q525" si="70">SUM(H516:H524)</f>
        <v>60800</v>
      </c>
      <c r="I525" s="22">
        <f t="shared" si="70"/>
        <v>45951200</v>
      </c>
      <c r="J525" s="22">
        <f t="shared" si="70"/>
        <v>0</v>
      </c>
      <c r="K525" s="22">
        <f t="shared" si="70"/>
        <v>0</v>
      </c>
      <c r="L525" s="22">
        <f t="shared" si="70"/>
        <v>0</v>
      </c>
      <c r="M525" s="22">
        <f t="shared" si="70"/>
        <v>0</v>
      </c>
      <c r="N525" s="22">
        <f t="shared" si="70"/>
        <v>0</v>
      </c>
      <c r="O525" s="22">
        <f t="shared" si="70"/>
        <v>0</v>
      </c>
      <c r="P525" s="22">
        <f t="shared" si="70"/>
        <v>0</v>
      </c>
      <c r="Q525" s="22">
        <f t="shared" si="70"/>
        <v>45951200</v>
      </c>
      <c r="R525" s="47"/>
    </row>
    <row r="526" spans="1:18" ht="16.5" x14ac:dyDescent="0.25">
      <c r="A526" s="74" t="s">
        <v>398</v>
      </c>
      <c r="B526" s="75"/>
      <c r="C526" s="76"/>
      <c r="D526" s="22">
        <f>SUM(D504,D479,D525)</f>
        <v>38123</v>
      </c>
      <c r="E526" s="22">
        <f t="shared" ref="E526:Q526" si="71">SUM(E504,E479,E525)</f>
        <v>3214200</v>
      </c>
      <c r="F526" s="22">
        <f t="shared" si="71"/>
        <v>178900</v>
      </c>
      <c r="G526" s="22">
        <f t="shared" si="71"/>
        <v>190000</v>
      </c>
      <c r="H526" s="22">
        <f t="shared" si="71"/>
        <v>3582900</v>
      </c>
      <c r="I526" s="22">
        <f t="shared" si="71"/>
        <v>284123600</v>
      </c>
      <c r="J526" s="22">
        <f t="shared" si="71"/>
        <v>1040000</v>
      </c>
      <c r="K526" s="22">
        <f t="shared" si="71"/>
        <v>49700000</v>
      </c>
      <c r="L526" s="22">
        <f t="shared" si="71"/>
        <v>626760</v>
      </c>
      <c r="M526" s="22">
        <f t="shared" si="71"/>
        <v>0</v>
      </c>
      <c r="N526" s="22">
        <f t="shared" si="71"/>
        <v>0</v>
      </c>
      <c r="O526" s="22">
        <f t="shared" si="71"/>
        <v>7834500</v>
      </c>
      <c r="P526" s="22">
        <f t="shared" si="71"/>
        <v>57838000</v>
      </c>
      <c r="Q526" s="22">
        <f t="shared" si="71"/>
        <v>211834100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467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399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400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401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402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26:C526"/>
    <mergeCell ref="A525:C525"/>
    <mergeCell ref="A492:R492"/>
    <mergeCell ref="A514:R51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ASUS X454YA</cp:lastModifiedBy>
  <dcterms:created xsi:type="dcterms:W3CDTF">2016-09-20T21:29:33Z</dcterms:created>
  <dcterms:modified xsi:type="dcterms:W3CDTF">2026-06-11T00:20:43Z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