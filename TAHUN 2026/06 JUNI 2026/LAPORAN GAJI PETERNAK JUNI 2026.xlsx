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2"/>
  </bookViews>
  <sheets>
    <sheet name="1" sheetId="1" r:id="rId1"/>
    <sheet name="2" sheetId="2" r:id="rId2"/>
    <sheet name="3" sheetId="3" r:id="rId3"/>
  </sheets>
  <calcPr calcId="144525"/>
</workbook>
</file>

<file path=xl/calcChain.xml><?xml version="1.0" encoding="utf-8"?>
<calcChain xmlns="http://schemas.openxmlformats.org/spreadsheetml/2006/main">
  <c r="N483" i="3" l="1"/>
  <c r="R483" i="3"/>
  <c r="M483" i="3"/>
  <c r="K483" i="3"/>
  <c r="J483" i="3"/>
  <c r="H483" i="3"/>
  <c r="G483" i="3"/>
  <c r="F483" i="3"/>
  <c r="E483" i="3"/>
  <c r="D483" i="3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G529" i="3" l="1"/>
  <c r="G508" i="3"/>
  <c r="G530" i="3" s="1"/>
  <c r="G529" i="2"/>
  <c r="G508" i="2"/>
  <c r="G530" i="2" s="1"/>
  <c r="F529" i="3"/>
  <c r="F508" i="3"/>
  <c r="F529" i="2"/>
  <c r="F508" i="2"/>
  <c r="F530" i="2"/>
  <c r="F530" i="3" l="1"/>
  <c r="L456" i="2" l="1"/>
  <c r="O529" i="1" l="1"/>
  <c r="N529" i="1"/>
  <c r="M529" i="1"/>
  <c r="L529" i="1"/>
  <c r="K529" i="1"/>
  <c r="J529" i="1"/>
  <c r="G529" i="1"/>
  <c r="F529" i="1"/>
  <c r="E529" i="1"/>
  <c r="D529" i="1"/>
  <c r="P528" i="1"/>
  <c r="H528" i="1"/>
  <c r="I528" i="1" s="1"/>
  <c r="P527" i="1"/>
  <c r="H527" i="1"/>
  <c r="I527" i="1" s="1"/>
  <c r="Q527" i="1" s="1"/>
  <c r="P526" i="1"/>
  <c r="I526" i="1"/>
  <c r="Q526" i="1" s="1"/>
  <c r="H526" i="1"/>
  <c r="P525" i="1"/>
  <c r="H525" i="1"/>
  <c r="I525" i="1" s="1"/>
  <c r="P524" i="1"/>
  <c r="H524" i="1"/>
  <c r="I524" i="1" s="1"/>
  <c r="P523" i="1"/>
  <c r="H523" i="1"/>
  <c r="I523" i="1" s="1"/>
  <c r="Q523" i="1" s="1"/>
  <c r="P522" i="1"/>
  <c r="I522" i="1"/>
  <c r="Q522" i="1" s="1"/>
  <c r="H522" i="1"/>
  <c r="P521" i="1"/>
  <c r="H521" i="1"/>
  <c r="I521" i="1" s="1"/>
  <c r="P520" i="1"/>
  <c r="P529" i="1" s="1"/>
  <c r="I520" i="1"/>
  <c r="O508" i="1"/>
  <c r="N508" i="1"/>
  <c r="M508" i="1"/>
  <c r="L508" i="1"/>
  <c r="K508" i="1"/>
  <c r="J508" i="1"/>
  <c r="G508" i="1"/>
  <c r="F508" i="1"/>
  <c r="E508" i="1"/>
  <c r="D508" i="1"/>
  <c r="Q507" i="1"/>
  <c r="P506" i="1"/>
  <c r="H506" i="1"/>
  <c r="I506" i="1" s="1"/>
  <c r="Q506" i="1" s="1"/>
  <c r="P505" i="1"/>
  <c r="H505" i="1"/>
  <c r="I505" i="1" s="1"/>
  <c r="Q505" i="1" s="1"/>
  <c r="P504" i="1"/>
  <c r="H504" i="1"/>
  <c r="I504" i="1" s="1"/>
  <c r="Q504" i="1" s="1"/>
  <c r="P503" i="1"/>
  <c r="H503" i="1"/>
  <c r="I503" i="1" s="1"/>
  <c r="P502" i="1"/>
  <c r="H502" i="1"/>
  <c r="I502" i="1" s="1"/>
  <c r="Q502" i="1" s="1"/>
  <c r="P501" i="1"/>
  <c r="H501" i="1"/>
  <c r="I501" i="1" s="1"/>
  <c r="Q501" i="1" s="1"/>
  <c r="P500" i="1"/>
  <c r="H500" i="1"/>
  <c r="I500" i="1" s="1"/>
  <c r="Q500" i="1" s="1"/>
  <c r="P499" i="1"/>
  <c r="H499" i="1"/>
  <c r="I499" i="1" s="1"/>
  <c r="P498" i="1"/>
  <c r="P508" i="1" s="1"/>
  <c r="H498" i="1"/>
  <c r="A496" i="1"/>
  <c r="A518" i="1" s="1"/>
  <c r="O478" i="1"/>
  <c r="L478" i="1"/>
  <c r="H478" i="1"/>
  <c r="I478" i="1" s="1"/>
  <c r="O477" i="1"/>
  <c r="L477" i="1"/>
  <c r="H477" i="1"/>
  <c r="I477" i="1" s="1"/>
  <c r="O476" i="1"/>
  <c r="L476" i="1"/>
  <c r="H476" i="1"/>
  <c r="I476" i="1" s="1"/>
  <c r="O475" i="1"/>
  <c r="L475" i="1"/>
  <c r="H475" i="1"/>
  <c r="I475" i="1" s="1"/>
  <c r="O474" i="1"/>
  <c r="L474" i="1"/>
  <c r="H474" i="1"/>
  <c r="I474" i="1" s="1"/>
  <c r="O473" i="1"/>
  <c r="L473" i="1"/>
  <c r="H473" i="1"/>
  <c r="I473" i="1" s="1"/>
  <c r="O472" i="1"/>
  <c r="L472" i="1"/>
  <c r="H472" i="1"/>
  <c r="I472" i="1" s="1"/>
  <c r="O471" i="1"/>
  <c r="L471" i="1"/>
  <c r="H471" i="1"/>
  <c r="I471" i="1" s="1"/>
  <c r="O470" i="1"/>
  <c r="L470" i="1"/>
  <c r="H470" i="1"/>
  <c r="I470" i="1" s="1"/>
  <c r="O469" i="1"/>
  <c r="L469" i="1"/>
  <c r="H469" i="1"/>
  <c r="I469" i="1" s="1"/>
  <c r="O468" i="1"/>
  <c r="L468" i="1"/>
  <c r="H468" i="1"/>
  <c r="I468" i="1" s="1"/>
  <c r="O467" i="1"/>
  <c r="L467" i="1"/>
  <c r="H467" i="1"/>
  <c r="I467" i="1" s="1"/>
  <c r="O466" i="1"/>
  <c r="L466" i="1"/>
  <c r="H466" i="1"/>
  <c r="I466" i="1" s="1"/>
  <c r="O465" i="1"/>
  <c r="L465" i="1"/>
  <c r="H465" i="1"/>
  <c r="I465" i="1" s="1"/>
  <c r="O464" i="1"/>
  <c r="L464" i="1"/>
  <c r="H464" i="1"/>
  <c r="I464" i="1" s="1"/>
  <c r="O463" i="1"/>
  <c r="L463" i="1"/>
  <c r="H463" i="1"/>
  <c r="I463" i="1" s="1"/>
  <c r="O462" i="1"/>
  <c r="L462" i="1"/>
  <c r="H462" i="1"/>
  <c r="I462" i="1" s="1"/>
  <c r="O461" i="1"/>
  <c r="L461" i="1"/>
  <c r="H461" i="1"/>
  <c r="I461" i="1" s="1"/>
  <c r="O460" i="1"/>
  <c r="L460" i="1"/>
  <c r="H460" i="1"/>
  <c r="I460" i="1" s="1"/>
  <c r="O459" i="1"/>
  <c r="L459" i="1"/>
  <c r="H459" i="1"/>
  <c r="I459" i="1" s="1"/>
  <c r="O458" i="1"/>
  <c r="L458" i="1"/>
  <c r="H458" i="1"/>
  <c r="I458" i="1" s="1"/>
  <c r="O457" i="1"/>
  <c r="L457" i="1"/>
  <c r="H457" i="1"/>
  <c r="I457" i="1" s="1"/>
  <c r="O456" i="1"/>
  <c r="L456" i="1"/>
  <c r="H456" i="1"/>
  <c r="I456" i="1" s="1"/>
  <c r="O455" i="1"/>
  <c r="L455" i="1"/>
  <c r="H455" i="1"/>
  <c r="I455" i="1" s="1"/>
  <c r="O454" i="1"/>
  <c r="L454" i="1"/>
  <c r="H454" i="1"/>
  <c r="I454" i="1" s="1"/>
  <c r="O453" i="1"/>
  <c r="L453" i="1"/>
  <c r="H453" i="1"/>
  <c r="I453" i="1" s="1"/>
  <c r="O452" i="1"/>
  <c r="L452" i="1"/>
  <c r="H452" i="1"/>
  <c r="I452" i="1" s="1"/>
  <c r="O451" i="1"/>
  <c r="L451" i="1"/>
  <c r="H451" i="1"/>
  <c r="I451" i="1" s="1"/>
  <c r="O450" i="1"/>
  <c r="L450" i="1"/>
  <c r="H450" i="1"/>
  <c r="I450" i="1" s="1"/>
  <c r="O449" i="1"/>
  <c r="L449" i="1"/>
  <c r="H449" i="1"/>
  <c r="I449" i="1" s="1"/>
  <c r="O448" i="1"/>
  <c r="L448" i="1"/>
  <c r="H448" i="1"/>
  <c r="I448" i="1" s="1"/>
  <c r="O447" i="1"/>
  <c r="L447" i="1"/>
  <c r="H447" i="1"/>
  <c r="I447" i="1" s="1"/>
  <c r="O446" i="1"/>
  <c r="L446" i="1"/>
  <c r="H446" i="1"/>
  <c r="I446" i="1" s="1"/>
  <c r="O445" i="1"/>
  <c r="L445" i="1"/>
  <c r="H445" i="1"/>
  <c r="I445" i="1" s="1"/>
  <c r="O444" i="1"/>
  <c r="L444" i="1"/>
  <c r="H444" i="1"/>
  <c r="I444" i="1" s="1"/>
  <c r="O443" i="1"/>
  <c r="L443" i="1"/>
  <c r="H443" i="1"/>
  <c r="I443" i="1" s="1"/>
  <c r="O442" i="1"/>
  <c r="L442" i="1"/>
  <c r="H442" i="1"/>
  <c r="I442" i="1" s="1"/>
  <c r="O441" i="1"/>
  <c r="L441" i="1"/>
  <c r="H441" i="1"/>
  <c r="I441" i="1" s="1"/>
  <c r="O440" i="1"/>
  <c r="L440" i="1"/>
  <c r="H440" i="1"/>
  <c r="I440" i="1" s="1"/>
  <c r="O439" i="1"/>
  <c r="L439" i="1"/>
  <c r="H439" i="1"/>
  <c r="I439" i="1" s="1"/>
  <c r="O438" i="1"/>
  <c r="L438" i="1"/>
  <c r="H438" i="1"/>
  <c r="I438" i="1" s="1"/>
  <c r="O437" i="1"/>
  <c r="L437" i="1"/>
  <c r="H437" i="1"/>
  <c r="I437" i="1" s="1"/>
  <c r="O436" i="1"/>
  <c r="L436" i="1"/>
  <c r="H436" i="1"/>
  <c r="I436" i="1" s="1"/>
  <c r="O435" i="1"/>
  <c r="L435" i="1"/>
  <c r="H435" i="1"/>
  <c r="I435" i="1" s="1"/>
  <c r="O434" i="1"/>
  <c r="L434" i="1"/>
  <c r="H434" i="1"/>
  <c r="I434" i="1" s="1"/>
  <c r="O433" i="1"/>
  <c r="L433" i="1"/>
  <c r="H433" i="1"/>
  <c r="I433" i="1" s="1"/>
  <c r="O432" i="1"/>
  <c r="L432" i="1"/>
  <c r="H432" i="1"/>
  <c r="I432" i="1" s="1"/>
  <c r="O431" i="1"/>
  <c r="L431" i="1"/>
  <c r="H431" i="1"/>
  <c r="I431" i="1" s="1"/>
  <c r="O430" i="1"/>
  <c r="L430" i="1"/>
  <c r="H430" i="1"/>
  <c r="I430" i="1" s="1"/>
  <c r="O429" i="1"/>
  <c r="L429" i="1"/>
  <c r="H429" i="1"/>
  <c r="I429" i="1" s="1"/>
  <c r="O428" i="1"/>
  <c r="L428" i="1"/>
  <c r="H428" i="1"/>
  <c r="I428" i="1" s="1"/>
  <c r="O427" i="1"/>
  <c r="L427" i="1"/>
  <c r="H427" i="1"/>
  <c r="I427" i="1" s="1"/>
  <c r="O426" i="1"/>
  <c r="L426" i="1"/>
  <c r="H426" i="1"/>
  <c r="I426" i="1" s="1"/>
  <c r="O425" i="1"/>
  <c r="L425" i="1"/>
  <c r="H425" i="1"/>
  <c r="I425" i="1" s="1"/>
  <c r="O424" i="1"/>
  <c r="L424" i="1"/>
  <c r="H424" i="1"/>
  <c r="I424" i="1" s="1"/>
  <c r="O423" i="1"/>
  <c r="L423" i="1"/>
  <c r="H423" i="1"/>
  <c r="I423" i="1" s="1"/>
  <c r="O422" i="1"/>
  <c r="L422" i="1"/>
  <c r="H422" i="1"/>
  <c r="I422" i="1" s="1"/>
  <c r="O421" i="1"/>
  <c r="L421" i="1"/>
  <c r="H421" i="1"/>
  <c r="I421" i="1" s="1"/>
  <c r="O420" i="1"/>
  <c r="L420" i="1"/>
  <c r="H420" i="1"/>
  <c r="I420" i="1" s="1"/>
  <c r="O419" i="1"/>
  <c r="L419" i="1"/>
  <c r="H419" i="1"/>
  <c r="I419" i="1" s="1"/>
  <c r="O418" i="1"/>
  <c r="L418" i="1"/>
  <c r="H418" i="1"/>
  <c r="I418" i="1" s="1"/>
  <c r="O417" i="1"/>
  <c r="L417" i="1"/>
  <c r="H417" i="1"/>
  <c r="I417" i="1" s="1"/>
  <c r="O416" i="1"/>
  <c r="L416" i="1"/>
  <c r="H416" i="1"/>
  <c r="I416" i="1" s="1"/>
  <c r="O415" i="1"/>
  <c r="L415" i="1"/>
  <c r="H415" i="1"/>
  <c r="I415" i="1" s="1"/>
  <c r="O414" i="1"/>
  <c r="L414" i="1"/>
  <c r="H414" i="1"/>
  <c r="I414" i="1" s="1"/>
  <c r="O413" i="1"/>
  <c r="L413" i="1"/>
  <c r="H413" i="1"/>
  <c r="I413" i="1" s="1"/>
  <c r="O412" i="1"/>
  <c r="L412" i="1"/>
  <c r="H412" i="1"/>
  <c r="I412" i="1" s="1"/>
  <c r="O411" i="1"/>
  <c r="L411" i="1"/>
  <c r="H411" i="1"/>
  <c r="I411" i="1" s="1"/>
  <c r="O410" i="1"/>
  <c r="L410" i="1"/>
  <c r="H410" i="1"/>
  <c r="I410" i="1" s="1"/>
  <c r="O409" i="1"/>
  <c r="L409" i="1"/>
  <c r="H409" i="1"/>
  <c r="I409" i="1" s="1"/>
  <c r="O408" i="1"/>
  <c r="L408" i="1"/>
  <c r="H408" i="1"/>
  <c r="I408" i="1" s="1"/>
  <c r="O407" i="1"/>
  <c r="L407" i="1"/>
  <c r="H407" i="1"/>
  <c r="I407" i="1" s="1"/>
  <c r="O406" i="1"/>
  <c r="L406" i="1"/>
  <c r="H406" i="1"/>
  <c r="I406" i="1" s="1"/>
  <c r="O405" i="1"/>
  <c r="L405" i="1"/>
  <c r="H405" i="1"/>
  <c r="I405" i="1" s="1"/>
  <c r="O404" i="1"/>
  <c r="L404" i="1"/>
  <c r="H404" i="1"/>
  <c r="I404" i="1" s="1"/>
  <c r="O403" i="1"/>
  <c r="L403" i="1"/>
  <c r="H403" i="1"/>
  <c r="I403" i="1" s="1"/>
  <c r="O402" i="1"/>
  <c r="L402" i="1"/>
  <c r="H402" i="1"/>
  <c r="I402" i="1" s="1"/>
  <c r="O401" i="1"/>
  <c r="L401" i="1"/>
  <c r="H401" i="1"/>
  <c r="I401" i="1" s="1"/>
  <c r="O400" i="1"/>
  <c r="L400" i="1"/>
  <c r="H400" i="1"/>
  <c r="I400" i="1" s="1"/>
  <c r="O399" i="1"/>
  <c r="L399" i="1"/>
  <c r="H399" i="1"/>
  <c r="I399" i="1" s="1"/>
  <c r="O398" i="1"/>
  <c r="L398" i="1"/>
  <c r="H398" i="1"/>
  <c r="I398" i="1" s="1"/>
  <c r="O397" i="1"/>
  <c r="L397" i="1"/>
  <c r="H397" i="1"/>
  <c r="I397" i="1" s="1"/>
  <c r="O396" i="1"/>
  <c r="L396" i="1"/>
  <c r="H396" i="1"/>
  <c r="I396" i="1" s="1"/>
  <c r="O395" i="1"/>
  <c r="L395" i="1"/>
  <c r="H395" i="1"/>
  <c r="I395" i="1" s="1"/>
  <c r="O394" i="1"/>
  <c r="L394" i="1"/>
  <c r="H394" i="1"/>
  <c r="I394" i="1" s="1"/>
  <c r="O393" i="1"/>
  <c r="L393" i="1"/>
  <c r="H393" i="1"/>
  <c r="I393" i="1" s="1"/>
  <c r="O392" i="1"/>
  <c r="L392" i="1"/>
  <c r="H392" i="1"/>
  <c r="I392" i="1" s="1"/>
  <c r="O391" i="1"/>
  <c r="L391" i="1"/>
  <c r="H391" i="1"/>
  <c r="I391" i="1" s="1"/>
  <c r="O390" i="1"/>
  <c r="L390" i="1"/>
  <c r="H390" i="1"/>
  <c r="I390" i="1" s="1"/>
  <c r="O389" i="1"/>
  <c r="L389" i="1"/>
  <c r="H389" i="1"/>
  <c r="I389" i="1" s="1"/>
  <c r="O388" i="1"/>
  <c r="L388" i="1"/>
  <c r="H388" i="1"/>
  <c r="I388" i="1" s="1"/>
  <c r="O387" i="1"/>
  <c r="L387" i="1"/>
  <c r="H387" i="1"/>
  <c r="I387" i="1" s="1"/>
  <c r="O386" i="1"/>
  <c r="L386" i="1"/>
  <c r="H386" i="1"/>
  <c r="I386" i="1" s="1"/>
  <c r="O385" i="1"/>
  <c r="L385" i="1"/>
  <c r="H385" i="1"/>
  <c r="I385" i="1" s="1"/>
  <c r="O384" i="1"/>
  <c r="L384" i="1"/>
  <c r="H384" i="1"/>
  <c r="I384" i="1" s="1"/>
  <c r="O383" i="1"/>
  <c r="L383" i="1"/>
  <c r="H383" i="1"/>
  <c r="I383" i="1" s="1"/>
  <c r="O382" i="1"/>
  <c r="L382" i="1"/>
  <c r="H382" i="1"/>
  <c r="I382" i="1" s="1"/>
  <c r="O381" i="1"/>
  <c r="L381" i="1"/>
  <c r="H381" i="1"/>
  <c r="I381" i="1" s="1"/>
  <c r="O380" i="1"/>
  <c r="L380" i="1"/>
  <c r="H380" i="1"/>
  <c r="I380" i="1" s="1"/>
  <c r="O379" i="1"/>
  <c r="L379" i="1"/>
  <c r="H379" i="1"/>
  <c r="I379" i="1" s="1"/>
  <c r="O378" i="1"/>
  <c r="L378" i="1"/>
  <c r="H378" i="1"/>
  <c r="I378" i="1" s="1"/>
  <c r="O377" i="1"/>
  <c r="L377" i="1"/>
  <c r="H377" i="1"/>
  <c r="I377" i="1" s="1"/>
  <c r="O376" i="1"/>
  <c r="L376" i="1"/>
  <c r="H376" i="1"/>
  <c r="I376" i="1" s="1"/>
  <c r="O375" i="1"/>
  <c r="L375" i="1"/>
  <c r="H375" i="1"/>
  <c r="I375" i="1" s="1"/>
  <c r="O374" i="1"/>
  <c r="L374" i="1"/>
  <c r="H374" i="1"/>
  <c r="I374" i="1" s="1"/>
  <c r="O373" i="1"/>
  <c r="L373" i="1"/>
  <c r="H373" i="1"/>
  <c r="I373" i="1" s="1"/>
  <c r="O372" i="1"/>
  <c r="L372" i="1"/>
  <c r="H372" i="1"/>
  <c r="I372" i="1" s="1"/>
  <c r="O371" i="1"/>
  <c r="L371" i="1"/>
  <c r="H371" i="1"/>
  <c r="I371" i="1" s="1"/>
  <c r="O370" i="1"/>
  <c r="L370" i="1"/>
  <c r="H370" i="1"/>
  <c r="I370" i="1" s="1"/>
  <c r="O369" i="1"/>
  <c r="L369" i="1"/>
  <c r="H369" i="1"/>
  <c r="I369" i="1" s="1"/>
  <c r="O368" i="1"/>
  <c r="L368" i="1"/>
  <c r="H368" i="1"/>
  <c r="I368" i="1" s="1"/>
  <c r="O367" i="1"/>
  <c r="L367" i="1"/>
  <c r="H367" i="1"/>
  <c r="I367" i="1" s="1"/>
  <c r="O366" i="1"/>
  <c r="L366" i="1"/>
  <c r="H366" i="1"/>
  <c r="I366" i="1" s="1"/>
  <c r="O365" i="1"/>
  <c r="L365" i="1"/>
  <c r="H365" i="1"/>
  <c r="I365" i="1" s="1"/>
  <c r="O364" i="1"/>
  <c r="L364" i="1"/>
  <c r="H364" i="1"/>
  <c r="I364" i="1" s="1"/>
  <c r="O363" i="1"/>
  <c r="L363" i="1"/>
  <c r="H363" i="1"/>
  <c r="I363" i="1" s="1"/>
  <c r="O362" i="1"/>
  <c r="L362" i="1"/>
  <c r="H362" i="1"/>
  <c r="I362" i="1" s="1"/>
  <c r="O361" i="1"/>
  <c r="L361" i="1"/>
  <c r="H361" i="1"/>
  <c r="I361" i="1" s="1"/>
  <c r="O360" i="1"/>
  <c r="L360" i="1"/>
  <c r="H360" i="1"/>
  <c r="I360" i="1" s="1"/>
  <c r="O359" i="1"/>
  <c r="L359" i="1"/>
  <c r="H359" i="1"/>
  <c r="I359" i="1" s="1"/>
  <c r="O358" i="1"/>
  <c r="L358" i="1"/>
  <c r="H358" i="1"/>
  <c r="I358" i="1" s="1"/>
  <c r="O357" i="1"/>
  <c r="L357" i="1"/>
  <c r="H357" i="1"/>
  <c r="I357" i="1" s="1"/>
  <c r="O356" i="1"/>
  <c r="L356" i="1"/>
  <c r="H356" i="1"/>
  <c r="I356" i="1" s="1"/>
  <c r="O355" i="1"/>
  <c r="L355" i="1"/>
  <c r="H355" i="1"/>
  <c r="I355" i="1" s="1"/>
  <c r="O354" i="1"/>
  <c r="L354" i="1"/>
  <c r="H354" i="1"/>
  <c r="I354" i="1" s="1"/>
  <c r="O353" i="1"/>
  <c r="L353" i="1"/>
  <c r="H353" i="1"/>
  <c r="I353" i="1" s="1"/>
  <c r="O352" i="1"/>
  <c r="L352" i="1"/>
  <c r="H352" i="1"/>
  <c r="I352" i="1" s="1"/>
  <c r="O351" i="1"/>
  <c r="L351" i="1"/>
  <c r="H351" i="1"/>
  <c r="I351" i="1" s="1"/>
  <c r="O350" i="1"/>
  <c r="L350" i="1"/>
  <c r="H350" i="1"/>
  <c r="I350" i="1" s="1"/>
  <c r="O349" i="1"/>
  <c r="L349" i="1"/>
  <c r="H349" i="1"/>
  <c r="I349" i="1" s="1"/>
  <c r="O348" i="1"/>
  <c r="L348" i="1"/>
  <c r="H348" i="1"/>
  <c r="I348" i="1" s="1"/>
  <c r="O347" i="1"/>
  <c r="L347" i="1"/>
  <c r="H347" i="1"/>
  <c r="I347" i="1" s="1"/>
  <c r="O346" i="1"/>
  <c r="L346" i="1"/>
  <c r="H346" i="1"/>
  <c r="I346" i="1" s="1"/>
  <c r="O345" i="1"/>
  <c r="L345" i="1"/>
  <c r="H345" i="1"/>
  <c r="I345" i="1" s="1"/>
  <c r="O344" i="1"/>
  <c r="L344" i="1"/>
  <c r="H344" i="1"/>
  <c r="I344" i="1" s="1"/>
  <c r="O343" i="1"/>
  <c r="L343" i="1"/>
  <c r="H343" i="1"/>
  <c r="I343" i="1" s="1"/>
  <c r="O342" i="1"/>
  <c r="L342" i="1"/>
  <c r="H342" i="1"/>
  <c r="I342" i="1" s="1"/>
  <c r="O341" i="1"/>
  <c r="L341" i="1"/>
  <c r="H341" i="1"/>
  <c r="I341" i="1" s="1"/>
  <c r="O340" i="1"/>
  <c r="L340" i="1"/>
  <c r="H340" i="1"/>
  <c r="I340" i="1" s="1"/>
  <c r="O339" i="1"/>
  <c r="L339" i="1"/>
  <c r="H339" i="1"/>
  <c r="I339" i="1" s="1"/>
  <c r="O338" i="1"/>
  <c r="L338" i="1"/>
  <c r="H338" i="1"/>
  <c r="I338" i="1" s="1"/>
  <c r="O337" i="1"/>
  <c r="L337" i="1"/>
  <c r="H337" i="1"/>
  <c r="I337" i="1" s="1"/>
  <c r="O336" i="1"/>
  <c r="L336" i="1"/>
  <c r="H336" i="1"/>
  <c r="I336" i="1" s="1"/>
  <c r="O335" i="1"/>
  <c r="L335" i="1"/>
  <c r="H335" i="1"/>
  <c r="I335" i="1" s="1"/>
  <c r="O334" i="1"/>
  <c r="L334" i="1"/>
  <c r="H334" i="1"/>
  <c r="I334" i="1" s="1"/>
  <c r="O333" i="1"/>
  <c r="L333" i="1"/>
  <c r="H333" i="1"/>
  <c r="I333" i="1" s="1"/>
  <c r="O332" i="1"/>
  <c r="L332" i="1"/>
  <c r="H332" i="1"/>
  <c r="I332" i="1" s="1"/>
  <c r="O331" i="1"/>
  <c r="L331" i="1"/>
  <c r="H331" i="1"/>
  <c r="I331" i="1" s="1"/>
  <c r="O330" i="1"/>
  <c r="L330" i="1"/>
  <c r="H330" i="1"/>
  <c r="I330" i="1" s="1"/>
  <c r="O329" i="1"/>
  <c r="L329" i="1"/>
  <c r="H329" i="1"/>
  <c r="I329" i="1" s="1"/>
  <c r="O328" i="1"/>
  <c r="L328" i="1"/>
  <c r="H328" i="1"/>
  <c r="I328" i="1" s="1"/>
  <c r="O327" i="1"/>
  <c r="L327" i="1"/>
  <c r="H327" i="1"/>
  <c r="I327" i="1" s="1"/>
  <c r="O326" i="1"/>
  <c r="L326" i="1"/>
  <c r="H326" i="1"/>
  <c r="I326" i="1" s="1"/>
  <c r="O325" i="1"/>
  <c r="L325" i="1"/>
  <c r="H325" i="1"/>
  <c r="I325" i="1" s="1"/>
  <c r="O324" i="1"/>
  <c r="L324" i="1"/>
  <c r="H324" i="1"/>
  <c r="I324" i="1" s="1"/>
  <c r="O323" i="1"/>
  <c r="L323" i="1"/>
  <c r="H323" i="1"/>
  <c r="I323" i="1" s="1"/>
  <c r="O322" i="1"/>
  <c r="L322" i="1"/>
  <c r="H322" i="1"/>
  <c r="I322" i="1" s="1"/>
  <c r="O321" i="1"/>
  <c r="L321" i="1"/>
  <c r="H321" i="1"/>
  <c r="I321" i="1" s="1"/>
  <c r="O320" i="1"/>
  <c r="L320" i="1"/>
  <c r="H320" i="1"/>
  <c r="I320" i="1" s="1"/>
  <c r="O319" i="1"/>
  <c r="L319" i="1"/>
  <c r="H319" i="1"/>
  <c r="I319" i="1" s="1"/>
  <c r="O318" i="1"/>
  <c r="L318" i="1"/>
  <c r="H318" i="1"/>
  <c r="I318" i="1" s="1"/>
  <c r="O317" i="1"/>
  <c r="L317" i="1"/>
  <c r="H317" i="1"/>
  <c r="I317" i="1" s="1"/>
  <c r="O316" i="1"/>
  <c r="L316" i="1"/>
  <c r="H316" i="1"/>
  <c r="I316" i="1" s="1"/>
  <c r="O315" i="1"/>
  <c r="L315" i="1"/>
  <c r="H315" i="1"/>
  <c r="I315" i="1" s="1"/>
  <c r="O314" i="1"/>
  <c r="L314" i="1"/>
  <c r="H314" i="1"/>
  <c r="I314" i="1" s="1"/>
  <c r="O313" i="1"/>
  <c r="L313" i="1"/>
  <c r="H313" i="1"/>
  <c r="I313" i="1" s="1"/>
  <c r="O312" i="1"/>
  <c r="L312" i="1"/>
  <c r="H312" i="1"/>
  <c r="I312" i="1" s="1"/>
  <c r="O311" i="1"/>
  <c r="L311" i="1"/>
  <c r="H311" i="1"/>
  <c r="I311" i="1" s="1"/>
  <c r="O310" i="1"/>
  <c r="L310" i="1"/>
  <c r="H310" i="1"/>
  <c r="I310" i="1" s="1"/>
  <c r="O309" i="1"/>
  <c r="L309" i="1"/>
  <c r="H309" i="1"/>
  <c r="I309" i="1" s="1"/>
  <c r="O308" i="1"/>
  <c r="L308" i="1"/>
  <c r="H308" i="1"/>
  <c r="I308" i="1" s="1"/>
  <c r="O307" i="1"/>
  <c r="L307" i="1"/>
  <c r="H307" i="1"/>
  <c r="I307" i="1" s="1"/>
  <c r="O306" i="1"/>
  <c r="L306" i="1"/>
  <c r="H306" i="1"/>
  <c r="I306" i="1" s="1"/>
  <c r="O305" i="1"/>
  <c r="L305" i="1"/>
  <c r="H305" i="1"/>
  <c r="I305" i="1" s="1"/>
  <c r="O304" i="1"/>
  <c r="L304" i="1"/>
  <c r="H304" i="1"/>
  <c r="I304" i="1" s="1"/>
  <c r="O303" i="1"/>
  <c r="L303" i="1"/>
  <c r="H303" i="1"/>
  <c r="I303" i="1" s="1"/>
  <c r="O302" i="1"/>
  <c r="L302" i="1"/>
  <c r="H302" i="1"/>
  <c r="I302" i="1" s="1"/>
  <c r="O301" i="1"/>
  <c r="L301" i="1"/>
  <c r="H301" i="1"/>
  <c r="I301" i="1" s="1"/>
  <c r="O300" i="1"/>
  <c r="L300" i="1"/>
  <c r="H300" i="1"/>
  <c r="I300" i="1" s="1"/>
  <c r="O299" i="1"/>
  <c r="L299" i="1"/>
  <c r="H299" i="1"/>
  <c r="I299" i="1" s="1"/>
  <c r="O298" i="1"/>
  <c r="L298" i="1"/>
  <c r="H298" i="1"/>
  <c r="I298" i="1" s="1"/>
  <c r="O297" i="1"/>
  <c r="L297" i="1"/>
  <c r="H297" i="1"/>
  <c r="I297" i="1" s="1"/>
  <c r="O296" i="1"/>
  <c r="L296" i="1"/>
  <c r="H296" i="1"/>
  <c r="I296" i="1" s="1"/>
  <c r="O295" i="1"/>
  <c r="L295" i="1"/>
  <c r="H295" i="1"/>
  <c r="I295" i="1" s="1"/>
  <c r="O294" i="1"/>
  <c r="L294" i="1"/>
  <c r="H294" i="1"/>
  <c r="I294" i="1" s="1"/>
  <c r="O293" i="1"/>
  <c r="L293" i="1"/>
  <c r="H293" i="1"/>
  <c r="I293" i="1" s="1"/>
  <c r="O292" i="1"/>
  <c r="L292" i="1"/>
  <c r="H292" i="1"/>
  <c r="I292" i="1" s="1"/>
  <c r="O291" i="1"/>
  <c r="L291" i="1"/>
  <c r="H291" i="1"/>
  <c r="I291" i="1" s="1"/>
  <c r="O290" i="1"/>
  <c r="L290" i="1"/>
  <c r="H290" i="1"/>
  <c r="I290" i="1" s="1"/>
  <c r="O289" i="1"/>
  <c r="L289" i="1"/>
  <c r="H289" i="1"/>
  <c r="I289" i="1" s="1"/>
  <c r="O288" i="1"/>
  <c r="L288" i="1"/>
  <c r="H288" i="1"/>
  <c r="I288" i="1" s="1"/>
  <c r="O287" i="1"/>
  <c r="L287" i="1"/>
  <c r="H287" i="1"/>
  <c r="I287" i="1" s="1"/>
  <c r="O286" i="1"/>
  <c r="L286" i="1"/>
  <c r="H286" i="1"/>
  <c r="I286" i="1" s="1"/>
  <c r="O285" i="1"/>
  <c r="L285" i="1"/>
  <c r="H285" i="1"/>
  <c r="I285" i="1" s="1"/>
  <c r="O284" i="1"/>
  <c r="L284" i="1"/>
  <c r="H284" i="1"/>
  <c r="I284" i="1" s="1"/>
  <c r="O283" i="1"/>
  <c r="L283" i="1"/>
  <c r="H283" i="1"/>
  <c r="I283" i="1" s="1"/>
  <c r="O282" i="1"/>
  <c r="L282" i="1"/>
  <c r="H282" i="1"/>
  <c r="I282" i="1" s="1"/>
  <c r="O281" i="1"/>
  <c r="L281" i="1"/>
  <c r="H281" i="1"/>
  <c r="I281" i="1" s="1"/>
  <c r="O280" i="1"/>
  <c r="L280" i="1"/>
  <c r="H280" i="1"/>
  <c r="I280" i="1" s="1"/>
  <c r="O279" i="1"/>
  <c r="L279" i="1"/>
  <c r="H279" i="1"/>
  <c r="I279" i="1" s="1"/>
  <c r="O278" i="1"/>
  <c r="L278" i="1"/>
  <c r="H278" i="1"/>
  <c r="I278" i="1" s="1"/>
  <c r="O277" i="1"/>
  <c r="L277" i="1"/>
  <c r="H277" i="1"/>
  <c r="I277" i="1" s="1"/>
  <c r="O276" i="1"/>
  <c r="L276" i="1"/>
  <c r="H276" i="1"/>
  <c r="I276" i="1" s="1"/>
  <c r="O275" i="1"/>
  <c r="L275" i="1"/>
  <c r="H275" i="1"/>
  <c r="I275" i="1" s="1"/>
  <c r="O274" i="1"/>
  <c r="L274" i="1"/>
  <c r="H274" i="1"/>
  <c r="I274" i="1" s="1"/>
  <c r="O273" i="1"/>
  <c r="L273" i="1"/>
  <c r="H273" i="1"/>
  <c r="I273" i="1" s="1"/>
  <c r="O272" i="1"/>
  <c r="L272" i="1"/>
  <c r="H272" i="1"/>
  <c r="I272" i="1" s="1"/>
  <c r="O271" i="1"/>
  <c r="L271" i="1"/>
  <c r="H271" i="1"/>
  <c r="I271" i="1" s="1"/>
  <c r="O270" i="1"/>
  <c r="L270" i="1"/>
  <c r="H270" i="1"/>
  <c r="I270" i="1" s="1"/>
  <c r="O269" i="1"/>
  <c r="L269" i="1"/>
  <c r="H269" i="1"/>
  <c r="I269" i="1" s="1"/>
  <c r="O268" i="1"/>
  <c r="L268" i="1"/>
  <c r="H268" i="1"/>
  <c r="I268" i="1" s="1"/>
  <c r="O267" i="1"/>
  <c r="L267" i="1"/>
  <c r="H267" i="1"/>
  <c r="I267" i="1" s="1"/>
  <c r="O266" i="1"/>
  <c r="L266" i="1"/>
  <c r="H266" i="1"/>
  <c r="I266" i="1" s="1"/>
  <c r="O265" i="1"/>
  <c r="L265" i="1"/>
  <c r="H265" i="1"/>
  <c r="I265" i="1" s="1"/>
  <c r="O264" i="1"/>
  <c r="L264" i="1"/>
  <c r="H264" i="1"/>
  <c r="I264" i="1" s="1"/>
  <c r="O263" i="1"/>
  <c r="L263" i="1"/>
  <c r="H263" i="1"/>
  <c r="I263" i="1" s="1"/>
  <c r="O262" i="1"/>
  <c r="L262" i="1"/>
  <c r="H262" i="1"/>
  <c r="I262" i="1" s="1"/>
  <c r="O261" i="1"/>
  <c r="L261" i="1"/>
  <c r="H261" i="1"/>
  <c r="I261" i="1" s="1"/>
  <c r="O260" i="1"/>
  <c r="L260" i="1"/>
  <c r="H260" i="1"/>
  <c r="I260" i="1" s="1"/>
  <c r="O259" i="1"/>
  <c r="L259" i="1"/>
  <c r="H259" i="1"/>
  <c r="I259" i="1" s="1"/>
  <c r="O258" i="1"/>
  <c r="L258" i="1"/>
  <c r="H258" i="1"/>
  <c r="I258" i="1" s="1"/>
  <c r="O257" i="1"/>
  <c r="L257" i="1"/>
  <c r="H257" i="1"/>
  <c r="I257" i="1" s="1"/>
  <c r="O256" i="1"/>
  <c r="L256" i="1"/>
  <c r="H256" i="1"/>
  <c r="I256" i="1" s="1"/>
  <c r="O255" i="1"/>
  <c r="L255" i="1"/>
  <c r="H255" i="1"/>
  <c r="I255" i="1" s="1"/>
  <c r="O254" i="1"/>
  <c r="L254" i="1"/>
  <c r="H254" i="1"/>
  <c r="I254" i="1" s="1"/>
  <c r="O253" i="1"/>
  <c r="L253" i="1"/>
  <c r="H253" i="1"/>
  <c r="I253" i="1" s="1"/>
  <c r="O252" i="1"/>
  <c r="L252" i="1"/>
  <c r="H252" i="1"/>
  <c r="I252" i="1" s="1"/>
  <c r="O251" i="1"/>
  <c r="L251" i="1"/>
  <c r="H251" i="1"/>
  <c r="I251" i="1" s="1"/>
  <c r="O250" i="1"/>
  <c r="L250" i="1"/>
  <c r="H250" i="1"/>
  <c r="I250" i="1" s="1"/>
  <c r="O249" i="1"/>
  <c r="L249" i="1"/>
  <c r="H249" i="1"/>
  <c r="I249" i="1" s="1"/>
  <c r="O248" i="1"/>
  <c r="L248" i="1"/>
  <c r="H248" i="1"/>
  <c r="I248" i="1" s="1"/>
  <c r="O247" i="1"/>
  <c r="L247" i="1"/>
  <c r="H247" i="1"/>
  <c r="I247" i="1" s="1"/>
  <c r="O246" i="1"/>
  <c r="L246" i="1"/>
  <c r="H246" i="1"/>
  <c r="I246" i="1" s="1"/>
  <c r="O245" i="1"/>
  <c r="L245" i="1"/>
  <c r="H245" i="1"/>
  <c r="I245" i="1" s="1"/>
  <c r="O244" i="1"/>
  <c r="L244" i="1"/>
  <c r="H244" i="1"/>
  <c r="I244" i="1" s="1"/>
  <c r="O243" i="1"/>
  <c r="L243" i="1"/>
  <c r="H243" i="1"/>
  <c r="I243" i="1" s="1"/>
  <c r="O242" i="1"/>
  <c r="L242" i="1"/>
  <c r="H242" i="1"/>
  <c r="I242" i="1" s="1"/>
  <c r="O241" i="1"/>
  <c r="L241" i="1"/>
  <c r="H241" i="1"/>
  <c r="I241" i="1" s="1"/>
  <c r="O240" i="1"/>
  <c r="L240" i="1"/>
  <c r="H240" i="1"/>
  <c r="I240" i="1" s="1"/>
  <c r="O239" i="1"/>
  <c r="L239" i="1"/>
  <c r="H239" i="1"/>
  <c r="I239" i="1" s="1"/>
  <c r="O238" i="1"/>
  <c r="L238" i="1"/>
  <c r="H238" i="1"/>
  <c r="I238" i="1" s="1"/>
  <c r="O237" i="1"/>
  <c r="L237" i="1"/>
  <c r="H237" i="1"/>
  <c r="I237" i="1" s="1"/>
  <c r="O236" i="1"/>
  <c r="L236" i="1"/>
  <c r="H236" i="1"/>
  <c r="I236" i="1" s="1"/>
  <c r="O235" i="1"/>
  <c r="L235" i="1"/>
  <c r="H235" i="1"/>
  <c r="I235" i="1" s="1"/>
  <c r="O234" i="1"/>
  <c r="L234" i="1"/>
  <c r="H234" i="1"/>
  <c r="I234" i="1" s="1"/>
  <c r="O233" i="1"/>
  <c r="L233" i="1"/>
  <c r="H233" i="1"/>
  <c r="I233" i="1" s="1"/>
  <c r="O232" i="1"/>
  <c r="L232" i="1"/>
  <c r="H232" i="1"/>
  <c r="I232" i="1" s="1"/>
  <c r="O231" i="1"/>
  <c r="L231" i="1"/>
  <c r="H231" i="1"/>
  <c r="I231" i="1" s="1"/>
  <c r="O230" i="1"/>
  <c r="L230" i="1"/>
  <c r="H230" i="1"/>
  <c r="I230" i="1" s="1"/>
  <c r="O229" i="1"/>
  <c r="L229" i="1"/>
  <c r="H229" i="1"/>
  <c r="I229" i="1" s="1"/>
  <c r="O228" i="1"/>
  <c r="L228" i="1"/>
  <c r="H228" i="1"/>
  <c r="I228" i="1" s="1"/>
  <c r="O227" i="1"/>
  <c r="L227" i="1"/>
  <c r="H227" i="1"/>
  <c r="I227" i="1" s="1"/>
  <c r="O226" i="1"/>
  <c r="L226" i="1"/>
  <c r="H226" i="1"/>
  <c r="I226" i="1" s="1"/>
  <c r="O225" i="1"/>
  <c r="L225" i="1"/>
  <c r="H225" i="1"/>
  <c r="I225" i="1" s="1"/>
  <c r="O224" i="1"/>
  <c r="L224" i="1"/>
  <c r="H224" i="1"/>
  <c r="I224" i="1" s="1"/>
  <c r="O223" i="1"/>
  <c r="L223" i="1"/>
  <c r="H223" i="1"/>
  <c r="I223" i="1" s="1"/>
  <c r="O222" i="1"/>
  <c r="L222" i="1"/>
  <c r="H222" i="1"/>
  <c r="I222" i="1" s="1"/>
  <c r="O221" i="1"/>
  <c r="L221" i="1"/>
  <c r="H221" i="1"/>
  <c r="I221" i="1" s="1"/>
  <c r="O220" i="1"/>
  <c r="L220" i="1"/>
  <c r="H220" i="1"/>
  <c r="I220" i="1" s="1"/>
  <c r="O219" i="1"/>
  <c r="L219" i="1"/>
  <c r="H219" i="1"/>
  <c r="I219" i="1" s="1"/>
  <c r="O218" i="1"/>
  <c r="L218" i="1"/>
  <c r="H218" i="1"/>
  <c r="I218" i="1" s="1"/>
  <c r="O217" i="1"/>
  <c r="L217" i="1"/>
  <c r="H217" i="1"/>
  <c r="I217" i="1" s="1"/>
  <c r="O216" i="1"/>
  <c r="L216" i="1"/>
  <c r="H216" i="1"/>
  <c r="I216" i="1" s="1"/>
  <c r="O215" i="1"/>
  <c r="L215" i="1"/>
  <c r="H215" i="1"/>
  <c r="I215" i="1" s="1"/>
  <c r="O214" i="1"/>
  <c r="L214" i="1"/>
  <c r="H214" i="1"/>
  <c r="I214" i="1" s="1"/>
  <c r="O213" i="1"/>
  <c r="L213" i="1"/>
  <c r="H213" i="1"/>
  <c r="I213" i="1" s="1"/>
  <c r="O212" i="1"/>
  <c r="L212" i="1"/>
  <c r="H212" i="1"/>
  <c r="I212" i="1" s="1"/>
  <c r="O211" i="1"/>
  <c r="L211" i="1"/>
  <c r="H211" i="1"/>
  <c r="I211" i="1" s="1"/>
  <c r="O210" i="1"/>
  <c r="L210" i="1"/>
  <c r="H210" i="1"/>
  <c r="I210" i="1" s="1"/>
  <c r="O209" i="1"/>
  <c r="L209" i="1"/>
  <c r="H209" i="1"/>
  <c r="I209" i="1" s="1"/>
  <c r="O208" i="1"/>
  <c r="L208" i="1"/>
  <c r="H208" i="1"/>
  <c r="I208" i="1" s="1"/>
  <c r="O207" i="1"/>
  <c r="L207" i="1"/>
  <c r="H207" i="1"/>
  <c r="I207" i="1" s="1"/>
  <c r="O206" i="1"/>
  <c r="L206" i="1"/>
  <c r="H206" i="1"/>
  <c r="I206" i="1" s="1"/>
  <c r="O205" i="1"/>
  <c r="L205" i="1"/>
  <c r="H205" i="1"/>
  <c r="I205" i="1" s="1"/>
  <c r="O204" i="1"/>
  <c r="L204" i="1"/>
  <c r="H204" i="1"/>
  <c r="I204" i="1" s="1"/>
  <c r="O203" i="1"/>
  <c r="L203" i="1"/>
  <c r="H203" i="1"/>
  <c r="I203" i="1" s="1"/>
  <c r="O202" i="1"/>
  <c r="L202" i="1"/>
  <c r="H202" i="1"/>
  <c r="I202" i="1" s="1"/>
  <c r="O201" i="1"/>
  <c r="L201" i="1"/>
  <c r="H201" i="1"/>
  <c r="I201" i="1" s="1"/>
  <c r="O200" i="1"/>
  <c r="L200" i="1"/>
  <c r="H200" i="1"/>
  <c r="I200" i="1" s="1"/>
  <c r="O199" i="1"/>
  <c r="L199" i="1"/>
  <c r="H199" i="1"/>
  <c r="I199" i="1" s="1"/>
  <c r="O198" i="1"/>
  <c r="L198" i="1"/>
  <c r="H198" i="1"/>
  <c r="I198" i="1" s="1"/>
  <c r="O197" i="1"/>
  <c r="L197" i="1"/>
  <c r="H197" i="1"/>
  <c r="I197" i="1" s="1"/>
  <c r="O196" i="1"/>
  <c r="L196" i="1"/>
  <c r="H196" i="1"/>
  <c r="I196" i="1" s="1"/>
  <c r="O195" i="1"/>
  <c r="L195" i="1"/>
  <c r="H195" i="1"/>
  <c r="I195" i="1" s="1"/>
  <c r="O194" i="1"/>
  <c r="L194" i="1"/>
  <c r="H194" i="1"/>
  <c r="I194" i="1" s="1"/>
  <c r="O193" i="1"/>
  <c r="L193" i="1"/>
  <c r="H193" i="1"/>
  <c r="I193" i="1" s="1"/>
  <c r="O192" i="1"/>
  <c r="L192" i="1"/>
  <c r="H192" i="1"/>
  <c r="I192" i="1" s="1"/>
  <c r="O191" i="1"/>
  <c r="L191" i="1"/>
  <c r="H191" i="1"/>
  <c r="I191" i="1" s="1"/>
  <c r="O190" i="1"/>
  <c r="L190" i="1"/>
  <c r="H190" i="1"/>
  <c r="I190" i="1" s="1"/>
  <c r="O189" i="1"/>
  <c r="L189" i="1"/>
  <c r="H189" i="1"/>
  <c r="I189" i="1" s="1"/>
  <c r="O188" i="1"/>
  <c r="L188" i="1"/>
  <c r="H188" i="1"/>
  <c r="I188" i="1" s="1"/>
  <c r="O187" i="1"/>
  <c r="L187" i="1"/>
  <c r="H187" i="1"/>
  <c r="I187" i="1" s="1"/>
  <c r="O186" i="1"/>
  <c r="L186" i="1"/>
  <c r="H186" i="1"/>
  <c r="I186" i="1" s="1"/>
  <c r="O185" i="1"/>
  <c r="L185" i="1"/>
  <c r="H185" i="1"/>
  <c r="I185" i="1" s="1"/>
  <c r="O184" i="1"/>
  <c r="L184" i="1"/>
  <c r="H184" i="1"/>
  <c r="I184" i="1" s="1"/>
  <c r="O183" i="1"/>
  <c r="L183" i="1"/>
  <c r="H183" i="1"/>
  <c r="I183" i="1" s="1"/>
  <c r="O182" i="1"/>
  <c r="L182" i="1"/>
  <c r="H182" i="1"/>
  <c r="I182" i="1" s="1"/>
  <c r="O181" i="1"/>
  <c r="L181" i="1"/>
  <c r="H181" i="1"/>
  <c r="I181" i="1" s="1"/>
  <c r="O180" i="1"/>
  <c r="L180" i="1"/>
  <c r="H180" i="1"/>
  <c r="I180" i="1" s="1"/>
  <c r="O179" i="1"/>
  <c r="L179" i="1"/>
  <c r="H179" i="1"/>
  <c r="I179" i="1" s="1"/>
  <c r="O178" i="1"/>
  <c r="L178" i="1"/>
  <c r="H178" i="1"/>
  <c r="I178" i="1" s="1"/>
  <c r="O177" i="1"/>
  <c r="L177" i="1"/>
  <c r="H177" i="1"/>
  <c r="I177" i="1" s="1"/>
  <c r="O176" i="1"/>
  <c r="L176" i="1"/>
  <c r="H176" i="1"/>
  <c r="I176" i="1" s="1"/>
  <c r="O175" i="1"/>
  <c r="L175" i="1"/>
  <c r="H175" i="1"/>
  <c r="I175" i="1" s="1"/>
  <c r="O174" i="1"/>
  <c r="L174" i="1"/>
  <c r="H174" i="1"/>
  <c r="I174" i="1" s="1"/>
  <c r="O173" i="1"/>
  <c r="L173" i="1"/>
  <c r="H173" i="1"/>
  <c r="I173" i="1" s="1"/>
  <c r="O172" i="1"/>
  <c r="L172" i="1"/>
  <c r="H172" i="1"/>
  <c r="I172" i="1" s="1"/>
  <c r="O171" i="1"/>
  <c r="L171" i="1"/>
  <c r="H171" i="1"/>
  <c r="I171" i="1" s="1"/>
  <c r="O170" i="1"/>
  <c r="L170" i="1"/>
  <c r="H170" i="1"/>
  <c r="I170" i="1" s="1"/>
  <c r="O169" i="1"/>
  <c r="L169" i="1"/>
  <c r="H169" i="1"/>
  <c r="I169" i="1" s="1"/>
  <c r="O168" i="1"/>
  <c r="L168" i="1"/>
  <c r="H168" i="1"/>
  <c r="I168" i="1" s="1"/>
  <c r="O167" i="1"/>
  <c r="L167" i="1"/>
  <c r="H167" i="1"/>
  <c r="I167" i="1" s="1"/>
  <c r="O166" i="1"/>
  <c r="L166" i="1"/>
  <c r="H166" i="1"/>
  <c r="I166" i="1" s="1"/>
  <c r="O165" i="1"/>
  <c r="L165" i="1"/>
  <c r="H165" i="1"/>
  <c r="I165" i="1" s="1"/>
  <c r="O164" i="1"/>
  <c r="L164" i="1"/>
  <c r="H164" i="1"/>
  <c r="I164" i="1" s="1"/>
  <c r="O163" i="1"/>
  <c r="L163" i="1"/>
  <c r="H163" i="1"/>
  <c r="I163" i="1" s="1"/>
  <c r="O162" i="1"/>
  <c r="L162" i="1"/>
  <c r="H162" i="1"/>
  <c r="I162" i="1" s="1"/>
  <c r="O161" i="1"/>
  <c r="L161" i="1"/>
  <c r="H161" i="1"/>
  <c r="I161" i="1" s="1"/>
  <c r="O160" i="1"/>
  <c r="L160" i="1"/>
  <c r="H160" i="1"/>
  <c r="I160" i="1" s="1"/>
  <c r="O159" i="1"/>
  <c r="L159" i="1"/>
  <c r="H159" i="1"/>
  <c r="I159" i="1" s="1"/>
  <c r="O158" i="1"/>
  <c r="L158" i="1"/>
  <c r="H158" i="1"/>
  <c r="I158" i="1" s="1"/>
  <c r="O157" i="1"/>
  <c r="L157" i="1"/>
  <c r="H157" i="1"/>
  <c r="I157" i="1" s="1"/>
  <c r="O156" i="1"/>
  <c r="L156" i="1"/>
  <c r="H156" i="1"/>
  <c r="I156" i="1" s="1"/>
  <c r="O155" i="1"/>
  <c r="L155" i="1"/>
  <c r="H155" i="1"/>
  <c r="I155" i="1" s="1"/>
  <c r="O154" i="1"/>
  <c r="L154" i="1"/>
  <c r="H154" i="1"/>
  <c r="I154" i="1" s="1"/>
  <c r="O153" i="1"/>
  <c r="L153" i="1"/>
  <c r="H153" i="1"/>
  <c r="I153" i="1" s="1"/>
  <c r="O152" i="1"/>
  <c r="L152" i="1"/>
  <c r="H152" i="1"/>
  <c r="I152" i="1" s="1"/>
  <c r="O151" i="1"/>
  <c r="L151" i="1"/>
  <c r="H151" i="1"/>
  <c r="I151" i="1" s="1"/>
  <c r="O150" i="1"/>
  <c r="L150" i="1"/>
  <c r="H150" i="1"/>
  <c r="I150" i="1" s="1"/>
  <c r="O149" i="1"/>
  <c r="L149" i="1"/>
  <c r="H149" i="1"/>
  <c r="I149" i="1" s="1"/>
  <c r="O148" i="1"/>
  <c r="L148" i="1"/>
  <c r="H148" i="1"/>
  <c r="I148" i="1" s="1"/>
  <c r="O147" i="1"/>
  <c r="L147" i="1"/>
  <c r="H147" i="1"/>
  <c r="I147" i="1" s="1"/>
  <c r="O146" i="1"/>
  <c r="L146" i="1"/>
  <c r="H146" i="1"/>
  <c r="I146" i="1" s="1"/>
  <c r="O145" i="1"/>
  <c r="L145" i="1"/>
  <c r="H145" i="1"/>
  <c r="I145" i="1" s="1"/>
  <c r="O144" i="1"/>
  <c r="L144" i="1"/>
  <c r="H144" i="1"/>
  <c r="I144" i="1" s="1"/>
  <c r="O143" i="1"/>
  <c r="L143" i="1"/>
  <c r="H143" i="1"/>
  <c r="I143" i="1" s="1"/>
  <c r="O142" i="1"/>
  <c r="L142" i="1"/>
  <c r="H142" i="1"/>
  <c r="I142" i="1" s="1"/>
  <c r="O141" i="1"/>
  <c r="L141" i="1"/>
  <c r="H141" i="1"/>
  <c r="I141" i="1" s="1"/>
  <c r="O140" i="1"/>
  <c r="L140" i="1"/>
  <c r="H140" i="1"/>
  <c r="I140" i="1" s="1"/>
  <c r="O139" i="1"/>
  <c r="L139" i="1"/>
  <c r="H139" i="1"/>
  <c r="I139" i="1" s="1"/>
  <c r="O138" i="1"/>
  <c r="L138" i="1"/>
  <c r="H138" i="1"/>
  <c r="I138" i="1" s="1"/>
  <c r="O137" i="1"/>
  <c r="L137" i="1"/>
  <c r="H137" i="1"/>
  <c r="I137" i="1" s="1"/>
  <c r="O136" i="1"/>
  <c r="L136" i="1"/>
  <c r="H136" i="1"/>
  <c r="I136" i="1" s="1"/>
  <c r="O135" i="1"/>
  <c r="L135" i="1"/>
  <c r="H135" i="1"/>
  <c r="I135" i="1" s="1"/>
  <c r="O134" i="1"/>
  <c r="L134" i="1"/>
  <c r="H134" i="1"/>
  <c r="I134" i="1" s="1"/>
  <c r="O133" i="1"/>
  <c r="L133" i="1"/>
  <c r="H133" i="1"/>
  <c r="I133" i="1" s="1"/>
  <c r="O132" i="1"/>
  <c r="L132" i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L5" i="1"/>
  <c r="H5" i="1"/>
  <c r="I5" i="1" s="1"/>
  <c r="O4" i="1"/>
  <c r="L4" i="1"/>
  <c r="H4" i="1"/>
  <c r="Q503" i="1" l="1"/>
  <c r="P77" i="1"/>
  <c r="P89" i="1"/>
  <c r="Q89" i="1" s="1"/>
  <c r="P113" i="1"/>
  <c r="Q113" i="1" s="1"/>
  <c r="P117" i="1"/>
  <c r="Q117" i="1" s="1"/>
  <c r="P171" i="1"/>
  <c r="P455" i="1"/>
  <c r="Q455" i="1" s="1"/>
  <c r="P38" i="1"/>
  <c r="Q38" i="1" s="1"/>
  <c r="P186" i="1"/>
  <c r="P366" i="1"/>
  <c r="P6" i="1"/>
  <c r="Q6" i="1" s="1"/>
  <c r="P85" i="1"/>
  <c r="Q85" i="1" s="1"/>
  <c r="P54" i="1"/>
  <c r="Q54" i="1" s="1"/>
  <c r="P242" i="1"/>
  <c r="Q242" i="1" s="1"/>
  <c r="P13" i="1"/>
  <c r="Q13" i="1" s="1"/>
  <c r="P45" i="1"/>
  <c r="Q45" i="1" s="1"/>
  <c r="P61" i="1"/>
  <c r="Q61" i="1" s="1"/>
  <c r="P70" i="1"/>
  <c r="Q70" i="1" s="1"/>
  <c r="P79" i="1"/>
  <c r="Q79" i="1" s="1"/>
  <c r="P87" i="1"/>
  <c r="Q87" i="1" s="1"/>
  <c r="P95" i="1"/>
  <c r="Q95" i="1" s="1"/>
  <c r="P205" i="1"/>
  <c r="Q205" i="1" s="1"/>
  <c r="P209" i="1"/>
  <c r="Q209" i="1" s="1"/>
  <c r="P249" i="1"/>
  <c r="Q249" i="1" s="1"/>
  <c r="P285" i="1"/>
  <c r="Q285" i="1" s="1"/>
  <c r="P293" i="1"/>
  <c r="Q293" i="1" s="1"/>
  <c r="P441" i="1"/>
  <c r="Q441" i="1" s="1"/>
  <c r="P12" i="1"/>
  <c r="Q12" i="1" s="1"/>
  <c r="P20" i="1"/>
  <c r="Q20" i="1" s="1"/>
  <c r="P26" i="1"/>
  <c r="Q26" i="1" s="1"/>
  <c r="P42" i="1"/>
  <c r="Q42" i="1" s="1"/>
  <c r="P50" i="1"/>
  <c r="Q50" i="1" s="1"/>
  <c r="P58" i="1"/>
  <c r="Q58" i="1" s="1"/>
  <c r="P74" i="1"/>
  <c r="Q74" i="1" s="1"/>
  <c r="P122" i="1"/>
  <c r="Q122" i="1" s="1"/>
  <c r="P125" i="1"/>
  <c r="Q125" i="1" s="1"/>
  <c r="P178" i="1"/>
  <c r="Q178" i="1" s="1"/>
  <c r="P223" i="1"/>
  <c r="Q223" i="1" s="1"/>
  <c r="P241" i="1"/>
  <c r="Q241" i="1" s="1"/>
  <c r="P277" i="1"/>
  <c r="Q277" i="1" s="1"/>
  <c r="P315" i="1"/>
  <c r="Q315" i="1" s="1"/>
  <c r="P377" i="1"/>
  <c r="Q377" i="1" s="1"/>
  <c r="P34" i="1"/>
  <c r="Q34" i="1" s="1"/>
  <c r="P48" i="1"/>
  <c r="Q48" i="1" s="1"/>
  <c r="P100" i="1"/>
  <c r="Q100" i="1" s="1"/>
  <c r="P173" i="1"/>
  <c r="Q173" i="1" s="1"/>
  <c r="P177" i="1"/>
  <c r="Q177" i="1" s="1"/>
  <c r="P181" i="1"/>
  <c r="Q181" i="1" s="1"/>
  <c r="Q186" i="1"/>
  <c r="P187" i="1"/>
  <c r="Q187" i="1" s="1"/>
  <c r="P243" i="1"/>
  <c r="Q243" i="1" s="1"/>
  <c r="P263" i="1"/>
  <c r="Q263" i="1" s="1"/>
  <c r="P267" i="1"/>
  <c r="Q267" i="1" s="1"/>
  <c r="P302" i="1"/>
  <c r="Q302" i="1" s="1"/>
  <c r="P379" i="1"/>
  <c r="Q379" i="1" s="1"/>
  <c r="P381" i="1"/>
  <c r="Q381" i="1" s="1"/>
  <c r="P393" i="1"/>
  <c r="Q393" i="1" s="1"/>
  <c r="P399" i="1"/>
  <c r="Q399" i="1" s="1"/>
  <c r="P403" i="1"/>
  <c r="Q403" i="1" s="1"/>
  <c r="P407" i="1"/>
  <c r="Q407" i="1" s="1"/>
  <c r="P443" i="1"/>
  <c r="Q443" i="1" s="1"/>
  <c r="P445" i="1"/>
  <c r="Q445" i="1" s="1"/>
  <c r="P91" i="1"/>
  <c r="Q91" i="1" s="1"/>
  <c r="P30" i="1"/>
  <c r="Q30" i="1" s="1"/>
  <c r="P353" i="1"/>
  <c r="Q353" i="1" s="1"/>
  <c r="P22" i="1"/>
  <c r="Q22" i="1" s="1"/>
  <c r="P69" i="1"/>
  <c r="Q69" i="1" s="1"/>
  <c r="P52" i="1"/>
  <c r="Q52" i="1" s="1"/>
  <c r="P218" i="1"/>
  <c r="Q218" i="1" s="1"/>
  <c r="P409" i="1"/>
  <c r="Q409" i="1" s="1"/>
  <c r="P339" i="1"/>
  <c r="Q339" i="1" s="1"/>
  <c r="P296" i="1"/>
  <c r="Q296" i="1" s="1"/>
  <c r="P10" i="1"/>
  <c r="Q10" i="1" s="1"/>
  <c r="P28" i="1"/>
  <c r="Q28" i="1" s="1"/>
  <c r="P44" i="1"/>
  <c r="Q44" i="1" s="1"/>
  <c r="P80" i="1"/>
  <c r="Q80" i="1" s="1"/>
  <c r="P84" i="1"/>
  <c r="Q84" i="1" s="1"/>
  <c r="P88" i="1"/>
  <c r="Q88" i="1" s="1"/>
  <c r="P92" i="1"/>
  <c r="Q92" i="1" s="1"/>
  <c r="P96" i="1"/>
  <c r="Q96" i="1" s="1"/>
  <c r="P371" i="1"/>
  <c r="Q371" i="1" s="1"/>
  <c r="P328" i="1"/>
  <c r="Q328" i="1" s="1"/>
  <c r="P332" i="1"/>
  <c r="Q332" i="1" s="1"/>
  <c r="P417" i="1"/>
  <c r="Q417" i="1" s="1"/>
  <c r="P14" i="1"/>
  <c r="Q14" i="1" s="1"/>
  <c r="P36" i="1"/>
  <c r="Q36" i="1" s="1"/>
  <c r="P68" i="1"/>
  <c r="Q68" i="1" s="1"/>
  <c r="P98" i="1"/>
  <c r="Q98" i="1" s="1"/>
  <c r="P106" i="1"/>
  <c r="Q106" i="1" s="1"/>
  <c r="P179" i="1"/>
  <c r="Q179" i="1" s="1"/>
  <c r="P210" i="1"/>
  <c r="Q210" i="1" s="1"/>
  <c r="P231" i="1"/>
  <c r="Q231" i="1" s="1"/>
  <c r="P235" i="1"/>
  <c r="Q235" i="1" s="1"/>
  <c r="P250" i="1"/>
  <c r="Q250" i="1" s="1"/>
  <c r="P261" i="1"/>
  <c r="Q261" i="1" s="1"/>
  <c r="P269" i="1"/>
  <c r="Q269" i="1" s="1"/>
  <c r="P278" i="1"/>
  <c r="Q278" i="1" s="1"/>
  <c r="P357" i="1"/>
  <c r="Q357" i="1" s="1"/>
  <c r="P387" i="1"/>
  <c r="Q387" i="1" s="1"/>
  <c r="P397" i="1"/>
  <c r="Q397" i="1" s="1"/>
  <c r="P435" i="1"/>
  <c r="Q435" i="1" s="1"/>
  <c r="P457" i="1"/>
  <c r="Q457" i="1" s="1"/>
  <c r="P473" i="1"/>
  <c r="Q473" i="1" s="1"/>
  <c r="P169" i="1"/>
  <c r="Q169" i="1" s="1"/>
  <c r="P118" i="1"/>
  <c r="Q118" i="1" s="1"/>
  <c r="P53" i="1"/>
  <c r="Q53" i="1" s="1"/>
  <c r="P447" i="1"/>
  <c r="Q447" i="1" s="1"/>
  <c r="P93" i="1"/>
  <c r="Q93" i="1" s="1"/>
  <c r="P76" i="1"/>
  <c r="Q76" i="1" s="1"/>
  <c r="P463" i="1"/>
  <c r="Q463" i="1" s="1"/>
  <c r="P81" i="1"/>
  <c r="Q81" i="1" s="1"/>
  <c r="P78" i="1"/>
  <c r="Q78" i="1" s="1"/>
  <c r="P129" i="1"/>
  <c r="Q129" i="1" s="1"/>
  <c r="P136" i="1"/>
  <c r="Q136" i="1" s="1"/>
  <c r="P147" i="1"/>
  <c r="Q147" i="1" s="1"/>
  <c r="P154" i="1"/>
  <c r="Q154" i="1" s="1"/>
  <c r="P157" i="1"/>
  <c r="Q157" i="1" s="1"/>
  <c r="P166" i="1"/>
  <c r="Q166" i="1" s="1"/>
  <c r="P167" i="1"/>
  <c r="Q167" i="1" s="1"/>
  <c r="P189" i="1"/>
  <c r="Q189" i="1" s="1"/>
  <c r="P229" i="1"/>
  <c r="Q229" i="1" s="1"/>
  <c r="P234" i="1"/>
  <c r="Q234" i="1" s="1"/>
  <c r="P32" i="1"/>
  <c r="Q32" i="1" s="1"/>
  <c r="P64" i="1"/>
  <c r="Q64" i="1" s="1"/>
  <c r="P104" i="1"/>
  <c r="Q104" i="1" s="1"/>
  <c r="P108" i="1"/>
  <c r="Q108" i="1" s="1"/>
  <c r="P112" i="1"/>
  <c r="Q112" i="1" s="1"/>
  <c r="P116" i="1"/>
  <c r="Q116" i="1" s="1"/>
  <c r="P128" i="1"/>
  <c r="Q128" i="1" s="1"/>
  <c r="P146" i="1"/>
  <c r="Q146" i="1" s="1"/>
  <c r="P153" i="1"/>
  <c r="Q153" i="1" s="1"/>
  <c r="P161" i="1"/>
  <c r="Q161" i="1" s="1"/>
  <c r="P162" i="1"/>
  <c r="Q162" i="1" s="1"/>
  <c r="P163" i="1"/>
  <c r="Q163" i="1" s="1"/>
  <c r="P197" i="1"/>
  <c r="Q197" i="1" s="1"/>
  <c r="P198" i="1"/>
  <c r="Q198" i="1" s="1"/>
  <c r="P199" i="1"/>
  <c r="Q199" i="1" s="1"/>
  <c r="P203" i="1"/>
  <c r="Q203" i="1" s="1"/>
  <c r="P219" i="1"/>
  <c r="Q219" i="1" s="1"/>
  <c r="P226" i="1"/>
  <c r="Q226" i="1" s="1"/>
  <c r="P227" i="1"/>
  <c r="Q227" i="1" s="1"/>
  <c r="P233" i="1"/>
  <c r="Q233" i="1" s="1"/>
  <c r="P255" i="1"/>
  <c r="Q255" i="1" s="1"/>
  <c r="P271" i="1"/>
  <c r="Q271" i="1" s="1"/>
  <c r="P282" i="1"/>
  <c r="Q282" i="1" s="1"/>
  <c r="P292" i="1"/>
  <c r="Q292" i="1" s="1"/>
  <c r="P383" i="1"/>
  <c r="Q383" i="1" s="1"/>
  <c r="P431" i="1"/>
  <c r="Q431" i="1" s="1"/>
  <c r="P16" i="1"/>
  <c r="Q16" i="1" s="1"/>
  <c r="P133" i="1"/>
  <c r="Q133" i="1" s="1"/>
  <c r="P361" i="1"/>
  <c r="Q361" i="1" s="1"/>
  <c r="P411" i="1"/>
  <c r="Q411" i="1" s="1"/>
  <c r="P413" i="1"/>
  <c r="Q413" i="1" s="1"/>
  <c r="P419" i="1"/>
  <c r="Q419" i="1" s="1"/>
  <c r="P423" i="1"/>
  <c r="Q423" i="1" s="1"/>
  <c r="P427" i="1"/>
  <c r="Q427" i="1" s="1"/>
  <c r="P429" i="1"/>
  <c r="Q429" i="1" s="1"/>
  <c r="P471" i="1"/>
  <c r="Q471" i="1" s="1"/>
  <c r="P373" i="1"/>
  <c r="Q373" i="1" s="1"/>
  <c r="P130" i="1"/>
  <c r="Q130" i="1" s="1"/>
  <c r="P62" i="1"/>
  <c r="Q62" i="1" s="1"/>
  <c r="P4" i="1"/>
  <c r="P83" i="1"/>
  <c r="Q83" i="1" s="1"/>
  <c r="P449" i="1"/>
  <c r="Q449" i="1" s="1"/>
  <c r="P365" i="1"/>
  <c r="Q365" i="1" s="1"/>
  <c r="P121" i="1"/>
  <c r="Q121" i="1" s="1"/>
  <c r="P211" i="1"/>
  <c r="Q211" i="1" s="1"/>
  <c r="P207" i="1"/>
  <c r="Q207" i="1" s="1"/>
  <c r="P193" i="1"/>
  <c r="Q193" i="1" s="1"/>
  <c r="P165" i="1"/>
  <c r="Q165" i="1" s="1"/>
  <c r="P66" i="1"/>
  <c r="Q66" i="1" s="1"/>
  <c r="P139" i="1"/>
  <c r="Q139" i="1" s="1"/>
  <c r="P5" i="1"/>
  <c r="Q5" i="1" s="1"/>
  <c r="P451" i="1"/>
  <c r="Q451" i="1" s="1"/>
  <c r="P37" i="1"/>
  <c r="Q37" i="1" s="1"/>
  <c r="P29" i="1"/>
  <c r="Q29" i="1" s="1"/>
  <c r="P18" i="1"/>
  <c r="Q18" i="1" s="1"/>
  <c r="P425" i="1"/>
  <c r="Q425" i="1" s="1"/>
  <c r="P298" i="1"/>
  <c r="Q298" i="1" s="1"/>
  <c r="P72" i="1"/>
  <c r="Q72" i="1" s="1"/>
  <c r="P110" i="1"/>
  <c r="Q110" i="1" s="1"/>
  <c r="P114" i="1"/>
  <c r="Q114" i="1" s="1"/>
  <c r="P137" i="1"/>
  <c r="Q137" i="1" s="1"/>
  <c r="P144" i="1"/>
  <c r="Q144" i="1" s="1"/>
  <c r="P155" i="1"/>
  <c r="Q155" i="1" s="1"/>
  <c r="Q171" i="1"/>
  <c r="P194" i="1"/>
  <c r="Q194" i="1" s="1"/>
  <c r="P201" i="1"/>
  <c r="Q201" i="1" s="1"/>
  <c r="P294" i="1"/>
  <c r="Q294" i="1" s="1"/>
  <c r="P304" i="1"/>
  <c r="Q304" i="1" s="1"/>
  <c r="P306" i="1"/>
  <c r="Q306" i="1" s="1"/>
  <c r="P308" i="1"/>
  <c r="Q308" i="1" s="1"/>
  <c r="P310" i="1"/>
  <c r="Q310" i="1" s="1"/>
  <c r="P322" i="1"/>
  <c r="Q322" i="1" s="1"/>
  <c r="P326" i="1"/>
  <c r="Q326" i="1" s="1"/>
  <c r="P60" i="1"/>
  <c r="Q60" i="1" s="1"/>
  <c r="P245" i="1"/>
  <c r="Q245" i="1" s="1"/>
  <c r="P247" i="1"/>
  <c r="Q247" i="1" s="1"/>
  <c r="P251" i="1"/>
  <c r="Q251" i="1" s="1"/>
  <c r="P258" i="1"/>
  <c r="Q258" i="1" s="1"/>
  <c r="P265" i="1"/>
  <c r="Q265" i="1" s="1"/>
  <c r="P274" i="1"/>
  <c r="Q274" i="1" s="1"/>
  <c r="P279" i="1"/>
  <c r="Q279" i="1" s="1"/>
  <c r="P286" i="1"/>
  <c r="Q286" i="1" s="1"/>
  <c r="P21" i="1"/>
  <c r="Q21" i="1" s="1"/>
  <c r="P40" i="1"/>
  <c r="Q40" i="1" s="1"/>
  <c r="P46" i="1"/>
  <c r="Q46" i="1" s="1"/>
  <c r="P102" i="1"/>
  <c r="Q102" i="1" s="1"/>
  <c r="P175" i="1"/>
  <c r="Q175" i="1" s="1"/>
  <c r="P237" i="1"/>
  <c r="Q237" i="1" s="1"/>
  <c r="P331" i="1"/>
  <c r="Q331" i="1" s="1"/>
  <c r="P341" i="1"/>
  <c r="Q341" i="1" s="1"/>
  <c r="P342" i="1"/>
  <c r="Q342" i="1" s="1"/>
  <c r="P350" i="1"/>
  <c r="Q350" i="1" s="1"/>
  <c r="P370" i="1"/>
  <c r="Q370" i="1" s="1"/>
  <c r="P375" i="1"/>
  <c r="Q375" i="1" s="1"/>
  <c r="P385" i="1"/>
  <c r="Q385" i="1" s="1"/>
  <c r="P433" i="1"/>
  <c r="Q433" i="1" s="1"/>
  <c r="P86" i="1"/>
  <c r="Q86" i="1" s="1"/>
  <c r="P90" i="1"/>
  <c r="Q90" i="1" s="1"/>
  <c r="P149" i="1"/>
  <c r="Q149" i="1" s="1"/>
  <c r="P183" i="1"/>
  <c r="Q183" i="1" s="1"/>
  <c r="P225" i="1"/>
  <c r="Q225" i="1" s="1"/>
  <c r="P273" i="1"/>
  <c r="Q273" i="1" s="1"/>
  <c r="P288" i="1"/>
  <c r="Q288" i="1" s="1"/>
  <c r="P334" i="1"/>
  <c r="Q334" i="1" s="1"/>
  <c r="Q366" i="1"/>
  <c r="P82" i="1"/>
  <c r="Q82" i="1" s="1"/>
  <c r="P94" i="1"/>
  <c r="Q94" i="1" s="1"/>
  <c r="P239" i="1"/>
  <c r="Q239" i="1" s="1"/>
  <c r="P257" i="1"/>
  <c r="Q257" i="1" s="1"/>
  <c r="P330" i="1"/>
  <c r="Q330" i="1" s="1"/>
  <c r="P465" i="1"/>
  <c r="Q465" i="1" s="1"/>
  <c r="P8" i="1"/>
  <c r="Q8" i="1" s="1"/>
  <c r="P24" i="1"/>
  <c r="Q24" i="1" s="1"/>
  <c r="P56" i="1"/>
  <c r="Q56" i="1" s="1"/>
  <c r="P111" i="1"/>
  <c r="Q111" i="1" s="1"/>
  <c r="P115" i="1"/>
  <c r="Q115" i="1" s="1"/>
  <c r="P119" i="1"/>
  <c r="Q119" i="1" s="1"/>
  <c r="P120" i="1"/>
  <c r="Q120" i="1" s="1"/>
  <c r="P123" i="1"/>
  <c r="Q123" i="1" s="1"/>
  <c r="P124" i="1"/>
  <c r="Q124" i="1" s="1"/>
  <c r="P131" i="1"/>
  <c r="Q131" i="1" s="1"/>
  <c r="P138" i="1"/>
  <c r="Q138" i="1" s="1"/>
  <c r="P141" i="1"/>
  <c r="Q141" i="1" s="1"/>
  <c r="P145" i="1"/>
  <c r="Q145" i="1" s="1"/>
  <c r="P152" i="1"/>
  <c r="Q152" i="1" s="1"/>
  <c r="P160" i="1"/>
  <c r="Q160" i="1" s="1"/>
  <c r="P170" i="1"/>
  <c r="Q170" i="1" s="1"/>
  <c r="P185" i="1"/>
  <c r="Q185" i="1" s="1"/>
  <c r="P191" i="1"/>
  <c r="Q191" i="1" s="1"/>
  <c r="P195" i="1"/>
  <c r="Q195" i="1" s="1"/>
  <c r="P202" i="1"/>
  <c r="Q202" i="1" s="1"/>
  <c r="P213" i="1"/>
  <c r="Q213" i="1" s="1"/>
  <c r="P215" i="1"/>
  <c r="Q215" i="1" s="1"/>
  <c r="P221" i="1"/>
  <c r="Q221" i="1" s="1"/>
  <c r="P253" i="1"/>
  <c r="Q253" i="1" s="1"/>
  <c r="P259" i="1"/>
  <c r="Q259" i="1" s="1"/>
  <c r="P266" i="1"/>
  <c r="Q266" i="1" s="1"/>
  <c r="P280" i="1"/>
  <c r="Q280" i="1" s="1"/>
  <c r="P320" i="1"/>
  <c r="Q320" i="1" s="1"/>
  <c r="P324" i="1"/>
  <c r="Q324" i="1" s="1"/>
  <c r="P345" i="1"/>
  <c r="Q345" i="1" s="1"/>
  <c r="P346" i="1"/>
  <c r="Q346" i="1" s="1"/>
  <c r="P358" i="1"/>
  <c r="Q358" i="1" s="1"/>
  <c r="P359" i="1"/>
  <c r="Q359" i="1" s="1"/>
  <c r="P391" i="1"/>
  <c r="Q391" i="1" s="1"/>
  <c r="P401" i="1"/>
  <c r="Q401" i="1" s="1"/>
  <c r="P415" i="1"/>
  <c r="Q415" i="1" s="1"/>
  <c r="P439" i="1"/>
  <c r="Q439" i="1" s="1"/>
  <c r="P461" i="1"/>
  <c r="Q461" i="1" s="1"/>
  <c r="P467" i="1"/>
  <c r="Q467" i="1" s="1"/>
  <c r="P9" i="1"/>
  <c r="Q9" i="1" s="1"/>
  <c r="P25" i="1"/>
  <c r="Q25" i="1" s="1"/>
  <c r="P41" i="1"/>
  <c r="Q41" i="1" s="1"/>
  <c r="P57" i="1"/>
  <c r="Q57" i="1" s="1"/>
  <c r="P73" i="1"/>
  <c r="Q73" i="1" s="1"/>
  <c r="P127" i="1"/>
  <c r="Q127" i="1" s="1"/>
  <c r="P135" i="1"/>
  <c r="Q135" i="1" s="1"/>
  <c r="P143" i="1"/>
  <c r="Q143" i="1" s="1"/>
  <c r="P151" i="1"/>
  <c r="Q151" i="1" s="1"/>
  <c r="P159" i="1"/>
  <c r="Q159" i="1" s="1"/>
  <c r="P182" i="1"/>
  <c r="Q182" i="1" s="1"/>
  <c r="P214" i="1"/>
  <c r="Q214" i="1" s="1"/>
  <c r="P217" i="1"/>
  <c r="Q217" i="1" s="1"/>
  <c r="P97" i="1"/>
  <c r="Q97" i="1" s="1"/>
  <c r="P99" i="1"/>
  <c r="Q99" i="1" s="1"/>
  <c r="P101" i="1"/>
  <c r="Q101" i="1" s="1"/>
  <c r="P103" i="1"/>
  <c r="Q103" i="1" s="1"/>
  <c r="P105" i="1"/>
  <c r="Q105" i="1" s="1"/>
  <c r="P107" i="1"/>
  <c r="Q107" i="1" s="1"/>
  <c r="P109" i="1"/>
  <c r="Q109" i="1" s="1"/>
  <c r="P17" i="1"/>
  <c r="Q17" i="1" s="1"/>
  <c r="P33" i="1"/>
  <c r="Q33" i="1" s="1"/>
  <c r="P49" i="1"/>
  <c r="Q49" i="1" s="1"/>
  <c r="P65" i="1"/>
  <c r="Q65" i="1" s="1"/>
  <c r="P174" i="1"/>
  <c r="Q174" i="1" s="1"/>
  <c r="P190" i="1"/>
  <c r="Q190" i="1" s="1"/>
  <c r="P206" i="1"/>
  <c r="Q206" i="1" s="1"/>
  <c r="P395" i="1"/>
  <c r="Q395" i="1" s="1"/>
  <c r="P459" i="1"/>
  <c r="Q459" i="1" s="1"/>
  <c r="J530" i="1"/>
  <c r="P230" i="1"/>
  <c r="Q230" i="1" s="1"/>
  <c r="P246" i="1"/>
  <c r="Q246" i="1" s="1"/>
  <c r="P262" i="1"/>
  <c r="Q262" i="1" s="1"/>
  <c r="P301" i="1"/>
  <c r="Q301" i="1" s="1"/>
  <c r="P307" i="1"/>
  <c r="Q307" i="1" s="1"/>
  <c r="P336" i="1"/>
  <c r="Q336" i="1" s="1"/>
  <c r="P338" i="1"/>
  <c r="Q338" i="1" s="1"/>
  <c r="P343" i="1"/>
  <c r="Q343" i="1" s="1"/>
  <c r="P355" i="1"/>
  <c r="Q355" i="1" s="1"/>
  <c r="P363" i="1"/>
  <c r="Q363" i="1" s="1"/>
  <c r="P367" i="1"/>
  <c r="Q367" i="1" s="1"/>
  <c r="P389" i="1"/>
  <c r="Q389" i="1" s="1"/>
  <c r="P421" i="1"/>
  <c r="Q421" i="1" s="1"/>
  <c r="P453" i="1"/>
  <c r="Q453" i="1" s="1"/>
  <c r="Q499" i="1"/>
  <c r="P222" i="1"/>
  <c r="Q222" i="1" s="1"/>
  <c r="P238" i="1"/>
  <c r="Q238" i="1" s="1"/>
  <c r="P254" i="1"/>
  <c r="Q254" i="1" s="1"/>
  <c r="P270" i="1"/>
  <c r="Q270" i="1" s="1"/>
  <c r="P276" i="1"/>
  <c r="Q276" i="1" s="1"/>
  <c r="P290" i="1"/>
  <c r="Q290" i="1" s="1"/>
  <c r="P295" i="1"/>
  <c r="Q295" i="1" s="1"/>
  <c r="P300" i="1"/>
  <c r="Q300" i="1" s="1"/>
  <c r="P349" i="1"/>
  <c r="Q349" i="1" s="1"/>
  <c r="P362" i="1"/>
  <c r="Q362" i="1" s="1"/>
  <c r="P369" i="1"/>
  <c r="Q369" i="1" s="1"/>
  <c r="P405" i="1"/>
  <c r="Q405" i="1" s="1"/>
  <c r="P437" i="1"/>
  <c r="Q437" i="1" s="1"/>
  <c r="P469" i="1"/>
  <c r="Q469" i="1" s="1"/>
  <c r="N530" i="1"/>
  <c r="Q524" i="1"/>
  <c r="P284" i="1"/>
  <c r="Q284" i="1" s="1"/>
  <c r="P312" i="1"/>
  <c r="Q312" i="1" s="1"/>
  <c r="P314" i="1"/>
  <c r="Q314" i="1" s="1"/>
  <c r="P316" i="1"/>
  <c r="Q316" i="1" s="1"/>
  <c r="P318" i="1"/>
  <c r="Q318" i="1" s="1"/>
  <c r="P323" i="1"/>
  <c r="Q323" i="1" s="1"/>
  <c r="P347" i="1"/>
  <c r="Q347" i="1" s="1"/>
  <c r="P351" i="1"/>
  <c r="Q351" i="1" s="1"/>
  <c r="P354" i="1"/>
  <c r="Q354" i="1" s="1"/>
  <c r="P374" i="1"/>
  <c r="Q374" i="1" s="1"/>
  <c r="E530" i="1"/>
  <c r="F530" i="1"/>
  <c r="Q520" i="1"/>
  <c r="Q525" i="1"/>
  <c r="Q528" i="1"/>
  <c r="I4" i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P43" i="1"/>
  <c r="Q43" i="1" s="1"/>
  <c r="P47" i="1"/>
  <c r="Q47" i="1" s="1"/>
  <c r="P51" i="1"/>
  <c r="Q51" i="1" s="1"/>
  <c r="P55" i="1"/>
  <c r="Q55" i="1" s="1"/>
  <c r="P59" i="1"/>
  <c r="Q59" i="1" s="1"/>
  <c r="P63" i="1"/>
  <c r="Q63" i="1" s="1"/>
  <c r="P67" i="1"/>
  <c r="Q67" i="1" s="1"/>
  <c r="P71" i="1"/>
  <c r="Q71" i="1" s="1"/>
  <c r="P75" i="1"/>
  <c r="Q75" i="1" s="1"/>
  <c r="Q77" i="1"/>
  <c r="K530" i="1"/>
  <c r="L530" i="1"/>
  <c r="P126" i="1"/>
  <c r="Q126" i="1" s="1"/>
  <c r="P134" i="1"/>
  <c r="Q134" i="1" s="1"/>
  <c r="P142" i="1"/>
  <c r="Q142" i="1" s="1"/>
  <c r="P150" i="1"/>
  <c r="Q150" i="1" s="1"/>
  <c r="P158" i="1"/>
  <c r="Q158" i="1" s="1"/>
  <c r="P287" i="1"/>
  <c r="Q287" i="1" s="1"/>
  <c r="P303" i="1"/>
  <c r="Q303" i="1" s="1"/>
  <c r="P311" i="1"/>
  <c r="Q311" i="1" s="1"/>
  <c r="P319" i="1"/>
  <c r="Q319" i="1" s="1"/>
  <c r="P327" i="1"/>
  <c r="Q327" i="1" s="1"/>
  <c r="P335" i="1"/>
  <c r="Q335" i="1" s="1"/>
  <c r="O530" i="1"/>
  <c r="P132" i="1"/>
  <c r="Q132" i="1" s="1"/>
  <c r="P140" i="1"/>
  <c r="Q140" i="1" s="1"/>
  <c r="P148" i="1"/>
  <c r="Q148" i="1" s="1"/>
  <c r="P156" i="1"/>
  <c r="Q156" i="1" s="1"/>
  <c r="P164" i="1"/>
  <c r="Q164" i="1" s="1"/>
  <c r="P168" i="1"/>
  <c r="Q168" i="1" s="1"/>
  <c r="P172" i="1"/>
  <c r="Q172" i="1" s="1"/>
  <c r="P176" i="1"/>
  <c r="Q176" i="1" s="1"/>
  <c r="P180" i="1"/>
  <c r="Q180" i="1" s="1"/>
  <c r="P184" i="1"/>
  <c r="Q184" i="1" s="1"/>
  <c r="P188" i="1"/>
  <c r="Q188" i="1" s="1"/>
  <c r="P192" i="1"/>
  <c r="Q192" i="1" s="1"/>
  <c r="P196" i="1"/>
  <c r="Q196" i="1" s="1"/>
  <c r="P200" i="1"/>
  <c r="Q200" i="1" s="1"/>
  <c r="P204" i="1"/>
  <c r="Q204" i="1" s="1"/>
  <c r="P208" i="1"/>
  <c r="Q208" i="1" s="1"/>
  <c r="P212" i="1"/>
  <c r="Q212" i="1" s="1"/>
  <c r="P216" i="1"/>
  <c r="Q216" i="1" s="1"/>
  <c r="P220" i="1"/>
  <c r="Q220" i="1" s="1"/>
  <c r="P224" i="1"/>
  <c r="Q224" i="1" s="1"/>
  <c r="P228" i="1"/>
  <c r="Q228" i="1" s="1"/>
  <c r="P232" i="1"/>
  <c r="Q232" i="1" s="1"/>
  <c r="P236" i="1"/>
  <c r="Q236" i="1" s="1"/>
  <c r="P240" i="1"/>
  <c r="Q240" i="1" s="1"/>
  <c r="P244" i="1"/>
  <c r="Q244" i="1" s="1"/>
  <c r="P248" i="1"/>
  <c r="Q248" i="1" s="1"/>
  <c r="P252" i="1"/>
  <c r="Q252" i="1" s="1"/>
  <c r="P256" i="1"/>
  <c r="Q256" i="1" s="1"/>
  <c r="P260" i="1"/>
  <c r="Q260" i="1" s="1"/>
  <c r="P264" i="1"/>
  <c r="Q264" i="1" s="1"/>
  <c r="P268" i="1"/>
  <c r="Q268" i="1" s="1"/>
  <c r="P272" i="1"/>
  <c r="Q272" i="1" s="1"/>
  <c r="P275" i="1"/>
  <c r="Q275" i="1" s="1"/>
  <c r="P283" i="1"/>
  <c r="Q283" i="1" s="1"/>
  <c r="P291" i="1"/>
  <c r="Q291" i="1" s="1"/>
  <c r="P299" i="1"/>
  <c r="Q299" i="1" s="1"/>
  <c r="P305" i="1"/>
  <c r="Q305" i="1" s="1"/>
  <c r="P309" i="1"/>
  <c r="Q309" i="1" s="1"/>
  <c r="P313" i="1"/>
  <c r="Q313" i="1" s="1"/>
  <c r="P317" i="1"/>
  <c r="Q317" i="1" s="1"/>
  <c r="P321" i="1"/>
  <c r="Q321" i="1" s="1"/>
  <c r="P325" i="1"/>
  <c r="Q325" i="1" s="1"/>
  <c r="P329" i="1"/>
  <c r="Q329" i="1" s="1"/>
  <c r="P333" i="1"/>
  <c r="Q333" i="1" s="1"/>
  <c r="P337" i="1"/>
  <c r="Q337" i="1" s="1"/>
  <c r="P281" i="1"/>
  <c r="Q281" i="1" s="1"/>
  <c r="P289" i="1"/>
  <c r="Q289" i="1" s="1"/>
  <c r="P297" i="1"/>
  <c r="Q297" i="1" s="1"/>
  <c r="Q521" i="1"/>
  <c r="I529" i="1"/>
  <c r="H529" i="1"/>
  <c r="P344" i="1"/>
  <c r="Q344" i="1" s="1"/>
  <c r="P352" i="1"/>
  <c r="Q352" i="1" s="1"/>
  <c r="P360" i="1"/>
  <c r="Q360" i="1" s="1"/>
  <c r="P368" i="1"/>
  <c r="Q368" i="1" s="1"/>
  <c r="P376" i="1"/>
  <c r="Q376" i="1" s="1"/>
  <c r="P380" i="1"/>
  <c r="Q380" i="1" s="1"/>
  <c r="P384" i="1"/>
  <c r="Q384" i="1" s="1"/>
  <c r="P388" i="1"/>
  <c r="Q388" i="1" s="1"/>
  <c r="P392" i="1"/>
  <c r="Q392" i="1" s="1"/>
  <c r="P396" i="1"/>
  <c r="Q396" i="1" s="1"/>
  <c r="P400" i="1"/>
  <c r="Q400" i="1" s="1"/>
  <c r="P404" i="1"/>
  <c r="Q404" i="1" s="1"/>
  <c r="P408" i="1"/>
  <c r="Q408" i="1" s="1"/>
  <c r="P412" i="1"/>
  <c r="Q412" i="1" s="1"/>
  <c r="P416" i="1"/>
  <c r="Q416" i="1" s="1"/>
  <c r="P420" i="1"/>
  <c r="Q420" i="1" s="1"/>
  <c r="P424" i="1"/>
  <c r="Q424" i="1" s="1"/>
  <c r="P428" i="1"/>
  <c r="Q428" i="1" s="1"/>
  <c r="P432" i="1"/>
  <c r="Q432" i="1" s="1"/>
  <c r="P436" i="1"/>
  <c r="Q436" i="1" s="1"/>
  <c r="P440" i="1"/>
  <c r="Q440" i="1" s="1"/>
  <c r="P444" i="1"/>
  <c r="Q444" i="1" s="1"/>
  <c r="P448" i="1"/>
  <c r="Q448" i="1" s="1"/>
  <c r="P452" i="1"/>
  <c r="Q452" i="1" s="1"/>
  <c r="P456" i="1"/>
  <c r="Q456" i="1" s="1"/>
  <c r="P460" i="1"/>
  <c r="Q460" i="1" s="1"/>
  <c r="P464" i="1"/>
  <c r="Q464" i="1" s="1"/>
  <c r="P468" i="1"/>
  <c r="Q468" i="1" s="1"/>
  <c r="P472" i="1"/>
  <c r="Q472" i="1" s="1"/>
  <c r="M530" i="1"/>
  <c r="P340" i="1"/>
  <c r="Q340" i="1" s="1"/>
  <c r="P348" i="1"/>
  <c r="Q348" i="1" s="1"/>
  <c r="P356" i="1"/>
  <c r="Q356" i="1" s="1"/>
  <c r="P364" i="1"/>
  <c r="Q364" i="1" s="1"/>
  <c r="P372" i="1"/>
  <c r="Q372" i="1" s="1"/>
  <c r="P378" i="1"/>
  <c r="Q378" i="1" s="1"/>
  <c r="P382" i="1"/>
  <c r="Q382" i="1" s="1"/>
  <c r="P386" i="1"/>
  <c r="Q386" i="1" s="1"/>
  <c r="P390" i="1"/>
  <c r="Q390" i="1" s="1"/>
  <c r="P394" i="1"/>
  <c r="Q394" i="1" s="1"/>
  <c r="P398" i="1"/>
  <c r="Q398" i="1" s="1"/>
  <c r="P402" i="1"/>
  <c r="Q402" i="1" s="1"/>
  <c r="P406" i="1"/>
  <c r="Q406" i="1" s="1"/>
  <c r="P410" i="1"/>
  <c r="Q410" i="1" s="1"/>
  <c r="P414" i="1"/>
  <c r="Q414" i="1" s="1"/>
  <c r="P418" i="1"/>
  <c r="Q418" i="1" s="1"/>
  <c r="P422" i="1"/>
  <c r="Q422" i="1" s="1"/>
  <c r="P426" i="1"/>
  <c r="Q426" i="1" s="1"/>
  <c r="P430" i="1"/>
  <c r="Q430" i="1" s="1"/>
  <c r="P434" i="1"/>
  <c r="Q434" i="1" s="1"/>
  <c r="P438" i="1"/>
  <c r="Q438" i="1" s="1"/>
  <c r="P442" i="1"/>
  <c r="Q442" i="1" s="1"/>
  <c r="P446" i="1"/>
  <c r="Q446" i="1" s="1"/>
  <c r="P450" i="1"/>
  <c r="Q450" i="1" s="1"/>
  <c r="P454" i="1"/>
  <c r="Q454" i="1" s="1"/>
  <c r="P458" i="1"/>
  <c r="Q458" i="1" s="1"/>
  <c r="P462" i="1"/>
  <c r="Q462" i="1" s="1"/>
  <c r="P466" i="1"/>
  <c r="Q466" i="1" s="1"/>
  <c r="P470" i="1"/>
  <c r="Q470" i="1" s="1"/>
  <c r="H508" i="1"/>
  <c r="I498" i="1"/>
  <c r="D530" i="1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O478" i="2"/>
  <c r="L478" i="2"/>
  <c r="H478" i="2"/>
  <c r="I478" i="2" s="1"/>
  <c r="O477" i="2"/>
  <c r="L477" i="2"/>
  <c r="H477" i="2"/>
  <c r="I477" i="2" s="1"/>
  <c r="O476" i="2"/>
  <c r="L476" i="2"/>
  <c r="H476" i="2"/>
  <c r="I476" i="2" s="1"/>
  <c r="Q529" i="1" l="1"/>
  <c r="H530" i="1"/>
  <c r="P530" i="1"/>
  <c r="Q4" i="1"/>
  <c r="I508" i="1"/>
  <c r="Q498" i="1"/>
  <c r="Q508" i="1" s="1"/>
  <c r="O474" i="3"/>
  <c r="O475" i="3"/>
  <c r="L475" i="3"/>
  <c r="H475" i="3"/>
  <c r="I475" i="3" s="1"/>
  <c r="I530" i="1" l="1"/>
  <c r="Q530" i="1"/>
  <c r="L474" i="2"/>
  <c r="O474" i="2"/>
  <c r="O459" i="2" l="1"/>
  <c r="L459" i="2"/>
  <c r="H459" i="2"/>
  <c r="I459" i="2" s="1"/>
  <c r="P459" i="2" l="1"/>
  <c r="Q459" i="2" s="1"/>
  <c r="L459" i="3" l="1"/>
  <c r="O459" i="3"/>
  <c r="H459" i="3"/>
  <c r="I459" i="3" s="1"/>
  <c r="P459" i="3" l="1"/>
  <c r="Q459" i="3" s="1"/>
  <c r="O529" i="3"/>
  <c r="N529" i="3"/>
  <c r="M529" i="3"/>
  <c r="L529" i="3"/>
  <c r="K529" i="3"/>
  <c r="J529" i="3"/>
  <c r="E529" i="3"/>
  <c r="D529" i="3"/>
  <c r="P528" i="3"/>
  <c r="H528" i="3"/>
  <c r="I528" i="3" s="1"/>
  <c r="P527" i="3"/>
  <c r="H527" i="3"/>
  <c r="I527" i="3" s="1"/>
  <c r="Q527" i="3" s="1"/>
  <c r="P526" i="3"/>
  <c r="H526" i="3"/>
  <c r="I526" i="3" s="1"/>
  <c r="P525" i="3"/>
  <c r="H525" i="3"/>
  <c r="I525" i="3" s="1"/>
  <c r="P524" i="3"/>
  <c r="H524" i="3"/>
  <c r="I524" i="3" s="1"/>
  <c r="P523" i="3"/>
  <c r="H523" i="3"/>
  <c r="I523" i="3" s="1"/>
  <c r="P522" i="3"/>
  <c r="H522" i="3"/>
  <c r="I522" i="3" s="1"/>
  <c r="P521" i="3"/>
  <c r="H521" i="3"/>
  <c r="I521" i="3" s="1"/>
  <c r="P520" i="3"/>
  <c r="I520" i="3"/>
  <c r="O508" i="3"/>
  <c r="N508" i="3"/>
  <c r="M508" i="3"/>
  <c r="L508" i="3"/>
  <c r="K508" i="3"/>
  <c r="J508" i="3"/>
  <c r="E508" i="3"/>
  <c r="D508" i="3"/>
  <c r="Q507" i="3"/>
  <c r="P506" i="3"/>
  <c r="H506" i="3"/>
  <c r="I506" i="3" s="1"/>
  <c r="Q506" i="3" s="1"/>
  <c r="P505" i="3"/>
  <c r="H505" i="3"/>
  <c r="I505" i="3" s="1"/>
  <c r="P504" i="3"/>
  <c r="H504" i="3"/>
  <c r="I504" i="3" s="1"/>
  <c r="Q504" i="3" s="1"/>
  <c r="P503" i="3"/>
  <c r="H503" i="3"/>
  <c r="I503" i="3" s="1"/>
  <c r="Q503" i="3" s="1"/>
  <c r="P502" i="3"/>
  <c r="H502" i="3"/>
  <c r="I502" i="3" s="1"/>
  <c r="P501" i="3"/>
  <c r="H501" i="3"/>
  <c r="I501" i="3" s="1"/>
  <c r="P500" i="3"/>
  <c r="H500" i="3"/>
  <c r="I500" i="3" s="1"/>
  <c r="P499" i="3"/>
  <c r="H499" i="3"/>
  <c r="I499" i="3" s="1"/>
  <c r="P498" i="3"/>
  <c r="H498" i="3"/>
  <c r="I498" i="3" s="1"/>
  <c r="Q498" i="3" s="1"/>
  <c r="A496" i="3"/>
  <c r="A518" i="3" s="1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O483" i="3" s="1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I4" i="3" s="1"/>
  <c r="O529" i="2"/>
  <c r="N529" i="2"/>
  <c r="M529" i="2"/>
  <c r="L529" i="2"/>
  <c r="K529" i="2"/>
  <c r="J529" i="2"/>
  <c r="E529" i="2"/>
  <c r="D529" i="2"/>
  <c r="P528" i="2"/>
  <c r="H528" i="2"/>
  <c r="I528" i="2" s="1"/>
  <c r="P527" i="2"/>
  <c r="H527" i="2"/>
  <c r="I527" i="2" s="1"/>
  <c r="P526" i="2"/>
  <c r="H526" i="2"/>
  <c r="I526" i="2" s="1"/>
  <c r="P525" i="2"/>
  <c r="H525" i="2"/>
  <c r="I525" i="2" s="1"/>
  <c r="P524" i="2"/>
  <c r="H524" i="2"/>
  <c r="I524" i="2" s="1"/>
  <c r="P523" i="2"/>
  <c r="H523" i="2"/>
  <c r="I523" i="2" s="1"/>
  <c r="P522" i="2"/>
  <c r="H522" i="2"/>
  <c r="I522" i="2" s="1"/>
  <c r="P521" i="2"/>
  <c r="H521" i="2"/>
  <c r="I521" i="2" s="1"/>
  <c r="P520" i="2"/>
  <c r="H520" i="2"/>
  <c r="I520" i="2" s="1"/>
  <c r="O508" i="2"/>
  <c r="N508" i="2"/>
  <c r="M508" i="2"/>
  <c r="L508" i="2"/>
  <c r="K508" i="2"/>
  <c r="J508" i="2"/>
  <c r="E508" i="2"/>
  <c r="D508" i="2"/>
  <c r="Q507" i="2"/>
  <c r="P506" i="2"/>
  <c r="H506" i="2"/>
  <c r="I506" i="2" s="1"/>
  <c r="P505" i="2"/>
  <c r="H505" i="2"/>
  <c r="I505" i="2" s="1"/>
  <c r="P504" i="2"/>
  <c r="H504" i="2"/>
  <c r="I504" i="2" s="1"/>
  <c r="P503" i="2"/>
  <c r="H503" i="2"/>
  <c r="I503" i="2" s="1"/>
  <c r="P502" i="2"/>
  <c r="H502" i="2"/>
  <c r="I502" i="2" s="1"/>
  <c r="Q502" i="2" s="1"/>
  <c r="P501" i="2"/>
  <c r="H501" i="2"/>
  <c r="I501" i="2" s="1"/>
  <c r="P500" i="2"/>
  <c r="H500" i="2"/>
  <c r="I500" i="2" s="1"/>
  <c r="P499" i="2"/>
  <c r="H499" i="2"/>
  <c r="I499" i="2" s="1"/>
  <c r="P498" i="2"/>
  <c r="H498" i="2"/>
  <c r="A518" i="2"/>
  <c r="O475" i="2"/>
  <c r="L475" i="2"/>
  <c r="H475" i="2"/>
  <c r="I475" i="2" s="1"/>
  <c r="P474" i="2"/>
  <c r="H474" i="2"/>
  <c r="I474" i="2" s="1"/>
  <c r="O473" i="2"/>
  <c r="L473" i="2"/>
  <c r="H473" i="2"/>
  <c r="I473" i="2" s="1"/>
  <c r="O472" i="2"/>
  <c r="L472" i="2"/>
  <c r="H472" i="2"/>
  <c r="I472" i="2" s="1"/>
  <c r="O471" i="2"/>
  <c r="L471" i="2"/>
  <c r="H471" i="2"/>
  <c r="I471" i="2" s="1"/>
  <c r="O470" i="2"/>
  <c r="L470" i="2"/>
  <c r="H470" i="2"/>
  <c r="I470" i="2" s="1"/>
  <c r="O469" i="2"/>
  <c r="L469" i="2"/>
  <c r="H469" i="2"/>
  <c r="I469" i="2" s="1"/>
  <c r="O468" i="2"/>
  <c r="L468" i="2"/>
  <c r="H468" i="2"/>
  <c r="I468" i="2" s="1"/>
  <c r="O467" i="2"/>
  <c r="L467" i="2"/>
  <c r="H467" i="2"/>
  <c r="I467" i="2" s="1"/>
  <c r="O466" i="2"/>
  <c r="L466" i="2"/>
  <c r="H466" i="2"/>
  <c r="I466" i="2" s="1"/>
  <c r="O465" i="2"/>
  <c r="L465" i="2"/>
  <c r="H465" i="2"/>
  <c r="I465" i="2" s="1"/>
  <c r="O464" i="2"/>
  <c r="L464" i="2"/>
  <c r="H464" i="2"/>
  <c r="I464" i="2" s="1"/>
  <c r="O463" i="2"/>
  <c r="L463" i="2"/>
  <c r="H463" i="2"/>
  <c r="I463" i="2" s="1"/>
  <c r="O462" i="2"/>
  <c r="L462" i="2"/>
  <c r="H462" i="2"/>
  <c r="I462" i="2" s="1"/>
  <c r="O461" i="2"/>
  <c r="L461" i="2"/>
  <c r="H461" i="2"/>
  <c r="I461" i="2" s="1"/>
  <c r="O460" i="2"/>
  <c r="L460" i="2"/>
  <c r="H460" i="2"/>
  <c r="I460" i="2" s="1"/>
  <c r="O458" i="2"/>
  <c r="L458" i="2"/>
  <c r="H458" i="2"/>
  <c r="I458" i="2" s="1"/>
  <c r="O457" i="2"/>
  <c r="L457" i="2"/>
  <c r="H457" i="2"/>
  <c r="I457" i="2" s="1"/>
  <c r="O456" i="2"/>
  <c r="H456" i="2"/>
  <c r="I456" i="2" s="1"/>
  <c r="O455" i="2"/>
  <c r="L455" i="2"/>
  <c r="H455" i="2"/>
  <c r="I455" i="2" s="1"/>
  <c r="O454" i="2"/>
  <c r="L454" i="2"/>
  <c r="H454" i="2"/>
  <c r="I454" i="2" s="1"/>
  <c r="O453" i="2"/>
  <c r="L453" i="2"/>
  <c r="H453" i="2"/>
  <c r="I453" i="2" s="1"/>
  <c r="O452" i="2"/>
  <c r="L452" i="2"/>
  <c r="H452" i="2"/>
  <c r="I452" i="2" s="1"/>
  <c r="O451" i="2"/>
  <c r="L451" i="2"/>
  <c r="H451" i="2"/>
  <c r="I451" i="2" s="1"/>
  <c r="O450" i="2"/>
  <c r="L450" i="2"/>
  <c r="H450" i="2"/>
  <c r="I450" i="2" s="1"/>
  <c r="O449" i="2"/>
  <c r="L449" i="2"/>
  <c r="H449" i="2"/>
  <c r="I449" i="2" s="1"/>
  <c r="O448" i="2"/>
  <c r="L448" i="2"/>
  <c r="H448" i="2"/>
  <c r="I448" i="2" s="1"/>
  <c r="O447" i="2"/>
  <c r="L447" i="2"/>
  <c r="H447" i="2"/>
  <c r="I447" i="2" s="1"/>
  <c r="O446" i="2"/>
  <c r="L446" i="2"/>
  <c r="H446" i="2"/>
  <c r="I446" i="2" s="1"/>
  <c r="O445" i="2"/>
  <c r="L445" i="2"/>
  <c r="H445" i="2"/>
  <c r="I445" i="2" s="1"/>
  <c r="O444" i="2"/>
  <c r="L444" i="2"/>
  <c r="H444" i="2"/>
  <c r="I444" i="2" s="1"/>
  <c r="O443" i="2"/>
  <c r="L443" i="2"/>
  <c r="H443" i="2"/>
  <c r="I443" i="2" s="1"/>
  <c r="O442" i="2"/>
  <c r="L442" i="2"/>
  <c r="H442" i="2"/>
  <c r="I442" i="2" s="1"/>
  <c r="O441" i="2"/>
  <c r="L441" i="2"/>
  <c r="H441" i="2"/>
  <c r="I441" i="2" s="1"/>
  <c r="O440" i="2"/>
  <c r="L440" i="2"/>
  <c r="H440" i="2"/>
  <c r="I440" i="2" s="1"/>
  <c r="O439" i="2"/>
  <c r="L439" i="2"/>
  <c r="H439" i="2"/>
  <c r="I439" i="2" s="1"/>
  <c r="O438" i="2"/>
  <c r="L438" i="2"/>
  <c r="H438" i="2"/>
  <c r="I438" i="2" s="1"/>
  <c r="O437" i="2"/>
  <c r="L437" i="2"/>
  <c r="H437" i="2"/>
  <c r="I437" i="2" s="1"/>
  <c r="O436" i="2"/>
  <c r="L436" i="2"/>
  <c r="H436" i="2"/>
  <c r="I436" i="2" s="1"/>
  <c r="O435" i="2"/>
  <c r="L435" i="2"/>
  <c r="H435" i="2"/>
  <c r="I435" i="2" s="1"/>
  <c r="O434" i="2"/>
  <c r="L434" i="2"/>
  <c r="H434" i="2"/>
  <c r="I434" i="2" s="1"/>
  <c r="O433" i="2"/>
  <c r="P433" i="2" s="1"/>
  <c r="Q433" i="2" s="1"/>
  <c r="O432" i="2"/>
  <c r="L432" i="2"/>
  <c r="H432" i="2"/>
  <c r="I432" i="2" s="1"/>
  <c r="O431" i="2"/>
  <c r="L431" i="2"/>
  <c r="H431" i="2"/>
  <c r="I431" i="2" s="1"/>
  <c r="O430" i="2"/>
  <c r="L430" i="2"/>
  <c r="H430" i="2"/>
  <c r="I430" i="2" s="1"/>
  <c r="O429" i="2"/>
  <c r="L429" i="2"/>
  <c r="H429" i="2"/>
  <c r="I429" i="2" s="1"/>
  <c r="O428" i="2"/>
  <c r="L428" i="2"/>
  <c r="H428" i="2"/>
  <c r="I428" i="2" s="1"/>
  <c r="O427" i="2"/>
  <c r="L427" i="2"/>
  <c r="H427" i="2"/>
  <c r="I427" i="2" s="1"/>
  <c r="O426" i="2"/>
  <c r="L426" i="2"/>
  <c r="H426" i="2"/>
  <c r="I426" i="2" s="1"/>
  <c r="O425" i="2"/>
  <c r="L425" i="2"/>
  <c r="H425" i="2"/>
  <c r="I425" i="2" s="1"/>
  <c r="O424" i="2"/>
  <c r="L424" i="2"/>
  <c r="H424" i="2"/>
  <c r="I424" i="2" s="1"/>
  <c r="O423" i="2"/>
  <c r="L423" i="2"/>
  <c r="H423" i="2"/>
  <c r="I423" i="2" s="1"/>
  <c r="O422" i="2"/>
  <c r="L422" i="2"/>
  <c r="H422" i="2"/>
  <c r="I422" i="2" s="1"/>
  <c r="O421" i="2"/>
  <c r="L421" i="2"/>
  <c r="H421" i="2"/>
  <c r="I421" i="2" s="1"/>
  <c r="O420" i="2"/>
  <c r="L420" i="2"/>
  <c r="H420" i="2"/>
  <c r="I420" i="2" s="1"/>
  <c r="O419" i="2"/>
  <c r="L419" i="2"/>
  <c r="H419" i="2"/>
  <c r="I419" i="2" s="1"/>
  <c r="O418" i="2"/>
  <c r="L418" i="2"/>
  <c r="H418" i="2"/>
  <c r="I418" i="2" s="1"/>
  <c r="O417" i="2"/>
  <c r="L417" i="2"/>
  <c r="H417" i="2"/>
  <c r="I417" i="2" s="1"/>
  <c r="O416" i="2"/>
  <c r="L416" i="2"/>
  <c r="H416" i="2"/>
  <c r="I416" i="2" s="1"/>
  <c r="O415" i="2"/>
  <c r="L415" i="2"/>
  <c r="H415" i="2"/>
  <c r="I415" i="2" s="1"/>
  <c r="O414" i="2"/>
  <c r="L414" i="2"/>
  <c r="H414" i="2"/>
  <c r="I414" i="2" s="1"/>
  <c r="O413" i="2"/>
  <c r="L413" i="2"/>
  <c r="H413" i="2"/>
  <c r="I413" i="2" s="1"/>
  <c r="O412" i="2"/>
  <c r="L412" i="2"/>
  <c r="H412" i="2"/>
  <c r="I412" i="2" s="1"/>
  <c r="O411" i="2"/>
  <c r="L411" i="2"/>
  <c r="H411" i="2"/>
  <c r="I411" i="2" s="1"/>
  <c r="O410" i="2"/>
  <c r="L410" i="2"/>
  <c r="H410" i="2"/>
  <c r="I410" i="2" s="1"/>
  <c r="O409" i="2"/>
  <c r="L409" i="2"/>
  <c r="H409" i="2"/>
  <c r="I409" i="2" s="1"/>
  <c r="O408" i="2"/>
  <c r="L408" i="2"/>
  <c r="H408" i="2"/>
  <c r="I408" i="2" s="1"/>
  <c r="O407" i="2"/>
  <c r="L407" i="2"/>
  <c r="H407" i="2"/>
  <c r="I407" i="2" s="1"/>
  <c r="O406" i="2"/>
  <c r="L406" i="2"/>
  <c r="H406" i="2"/>
  <c r="I406" i="2" s="1"/>
  <c r="O405" i="2"/>
  <c r="L405" i="2"/>
  <c r="H405" i="2"/>
  <c r="I405" i="2" s="1"/>
  <c r="O404" i="2"/>
  <c r="L404" i="2"/>
  <c r="H404" i="2"/>
  <c r="I404" i="2" s="1"/>
  <c r="O403" i="2"/>
  <c r="L403" i="2"/>
  <c r="H403" i="2"/>
  <c r="I403" i="2" s="1"/>
  <c r="O402" i="2"/>
  <c r="L402" i="2"/>
  <c r="H402" i="2"/>
  <c r="I402" i="2" s="1"/>
  <c r="O401" i="2"/>
  <c r="L401" i="2"/>
  <c r="H401" i="2"/>
  <c r="I401" i="2" s="1"/>
  <c r="O400" i="2"/>
  <c r="L400" i="2"/>
  <c r="H400" i="2"/>
  <c r="I400" i="2" s="1"/>
  <c r="O399" i="2"/>
  <c r="L399" i="2"/>
  <c r="H399" i="2"/>
  <c r="I399" i="2" s="1"/>
  <c r="O398" i="2"/>
  <c r="L398" i="2"/>
  <c r="H398" i="2"/>
  <c r="I398" i="2" s="1"/>
  <c r="O397" i="2"/>
  <c r="L397" i="2"/>
  <c r="H397" i="2"/>
  <c r="I397" i="2" s="1"/>
  <c r="O396" i="2"/>
  <c r="L396" i="2"/>
  <c r="H396" i="2"/>
  <c r="I396" i="2" s="1"/>
  <c r="O395" i="2"/>
  <c r="L395" i="2"/>
  <c r="H395" i="2"/>
  <c r="I395" i="2" s="1"/>
  <c r="O394" i="2"/>
  <c r="L394" i="2"/>
  <c r="H394" i="2"/>
  <c r="I394" i="2" s="1"/>
  <c r="O393" i="2"/>
  <c r="L393" i="2"/>
  <c r="H393" i="2"/>
  <c r="I393" i="2" s="1"/>
  <c r="O392" i="2"/>
  <c r="L392" i="2"/>
  <c r="H392" i="2"/>
  <c r="I392" i="2" s="1"/>
  <c r="O391" i="2"/>
  <c r="L391" i="2"/>
  <c r="H391" i="2"/>
  <c r="I391" i="2" s="1"/>
  <c r="O390" i="2"/>
  <c r="L390" i="2"/>
  <c r="H390" i="2"/>
  <c r="I390" i="2" s="1"/>
  <c r="O389" i="2"/>
  <c r="L389" i="2"/>
  <c r="H389" i="2"/>
  <c r="I389" i="2" s="1"/>
  <c r="O388" i="2"/>
  <c r="L388" i="2"/>
  <c r="H388" i="2"/>
  <c r="I388" i="2" s="1"/>
  <c r="O387" i="2"/>
  <c r="L387" i="2"/>
  <c r="H387" i="2"/>
  <c r="I387" i="2" s="1"/>
  <c r="O386" i="2"/>
  <c r="L386" i="2"/>
  <c r="H386" i="2"/>
  <c r="I386" i="2" s="1"/>
  <c r="O385" i="2"/>
  <c r="L385" i="2"/>
  <c r="H385" i="2"/>
  <c r="I385" i="2" s="1"/>
  <c r="O384" i="2"/>
  <c r="L384" i="2"/>
  <c r="I384" i="2"/>
  <c r="O383" i="2"/>
  <c r="L383" i="2"/>
  <c r="H383" i="2"/>
  <c r="I383" i="2" s="1"/>
  <c r="O382" i="2"/>
  <c r="L382" i="2"/>
  <c r="H382" i="2"/>
  <c r="I382" i="2" s="1"/>
  <c r="O381" i="2"/>
  <c r="L381" i="2"/>
  <c r="H381" i="2"/>
  <c r="I381" i="2" s="1"/>
  <c r="O380" i="2"/>
  <c r="L380" i="2"/>
  <c r="H380" i="2"/>
  <c r="I380" i="2" s="1"/>
  <c r="O379" i="2"/>
  <c r="L379" i="2"/>
  <c r="H379" i="2"/>
  <c r="I379" i="2" s="1"/>
  <c r="O378" i="2"/>
  <c r="L378" i="2"/>
  <c r="H378" i="2"/>
  <c r="I378" i="2" s="1"/>
  <c r="O377" i="2"/>
  <c r="L377" i="2"/>
  <c r="H377" i="2"/>
  <c r="I377" i="2" s="1"/>
  <c r="O376" i="2"/>
  <c r="L376" i="2"/>
  <c r="H376" i="2"/>
  <c r="I376" i="2" s="1"/>
  <c r="O375" i="2"/>
  <c r="L375" i="2"/>
  <c r="H375" i="2"/>
  <c r="I375" i="2" s="1"/>
  <c r="O374" i="2"/>
  <c r="L374" i="2"/>
  <c r="H374" i="2"/>
  <c r="I374" i="2" s="1"/>
  <c r="O373" i="2"/>
  <c r="L373" i="2"/>
  <c r="H373" i="2"/>
  <c r="I373" i="2" s="1"/>
  <c r="O372" i="2"/>
  <c r="L372" i="2"/>
  <c r="H372" i="2"/>
  <c r="I372" i="2" s="1"/>
  <c r="O371" i="2"/>
  <c r="L371" i="2"/>
  <c r="H371" i="2"/>
  <c r="I371" i="2" s="1"/>
  <c r="O370" i="2"/>
  <c r="L370" i="2"/>
  <c r="H370" i="2"/>
  <c r="I370" i="2" s="1"/>
  <c r="O369" i="2"/>
  <c r="L369" i="2"/>
  <c r="H369" i="2"/>
  <c r="I369" i="2" s="1"/>
  <c r="O368" i="2"/>
  <c r="L368" i="2"/>
  <c r="H368" i="2"/>
  <c r="I368" i="2" s="1"/>
  <c r="O367" i="2"/>
  <c r="L367" i="2"/>
  <c r="H367" i="2"/>
  <c r="I367" i="2" s="1"/>
  <c r="O366" i="2"/>
  <c r="L366" i="2"/>
  <c r="H366" i="2"/>
  <c r="I366" i="2" s="1"/>
  <c r="O365" i="2"/>
  <c r="L365" i="2"/>
  <c r="H365" i="2"/>
  <c r="I365" i="2" s="1"/>
  <c r="O364" i="2"/>
  <c r="L364" i="2"/>
  <c r="H364" i="2"/>
  <c r="I364" i="2" s="1"/>
  <c r="O363" i="2"/>
  <c r="L363" i="2"/>
  <c r="H363" i="2"/>
  <c r="I363" i="2" s="1"/>
  <c r="O362" i="2"/>
  <c r="L362" i="2"/>
  <c r="H362" i="2"/>
  <c r="I362" i="2" s="1"/>
  <c r="O361" i="2"/>
  <c r="H361" i="2"/>
  <c r="I361" i="2" s="1"/>
  <c r="O360" i="2"/>
  <c r="L360" i="2"/>
  <c r="H360" i="2"/>
  <c r="I360" i="2" s="1"/>
  <c r="O359" i="2"/>
  <c r="L359" i="2"/>
  <c r="H359" i="2"/>
  <c r="I359" i="2" s="1"/>
  <c r="O358" i="2"/>
  <c r="L358" i="2"/>
  <c r="H358" i="2"/>
  <c r="I358" i="2" s="1"/>
  <c r="O357" i="2"/>
  <c r="L357" i="2"/>
  <c r="H357" i="2"/>
  <c r="I357" i="2" s="1"/>
  <c r="O356" i="2"/>
  <c r="L356" i="2"/>
  <c r="H356" i="2"/>
  <c r="I356" i="2" s="1"/>
  <c r="O355" i="2"/>
  <c r="L355" i="2"/>
  <c r="H355" i="2"/>
  <c r="I355" i="2" s="1"/>
  <c r="O354" i="2"/>
  <c r="L354" i="2"/>
  <c r="H354" i="2"/>
  <c r="I354" i="2" s="1"/>
  <c r="O353" i="2"/>
  <c r="L353" i="2"/>
  <c r="H353" i="2"/>
  <c r="I353" i="2" s="1"/>
  <c r="O352" i="2"/>
  <c r="L352" i="2"/>
  <c r="H352" i="2"/>
  <c r="I352" i="2" s="1"/>
  <c r="O351" i="2"/>
  <c r="L351" i="2"/>
  <c r="H351" i="2"/>
  <c r="I351" i="2" s="1"/>
  <c r="O350" i="2"/>
  <c r="L350" i="2"/>
  <c r="H350" i="2"/>
  <c r="I350" i="2" s="1"/>
  <c r="O349" i="2"/>
  <c r="L349" i="2"/>
  <c r="H349" i="2"/>
  <c r="I349" i="2" s="1"/>
  <c r="O348" i="2"/>
  <c r="L348" i="2"/>
  <c r="H348" i="2"/>
  <c r="I348" i="2" s="1"/>
  <c r="O347" i="2"/>
  <c r="L347" i="2"/>
  <c r="H347" i="2"/>
  <c r="I347" i="2" s="1"/>
  <c r="O346" i="2"/>
  <c r="L346" i="2"/>
  <c r="H346" i="2"/>
  <c r="I346" i="2" s="1"/>
  <c r="O345" i="2"/>
  <c r="L345" i="2"/>
  <c r="H345" i="2"/>
  <c r="I345" i="2" s="1"/>
  <c r="O344" i="2"/>
  <c r="L344" i="2"/>
  <c r="H344" i="2"/>
  <c r="I344" i="2" s="1"/>
  <c r="O343" i="2"/>
  <c r="L343" i="2"/>
  <c r="H343" i="2"/>
  <c r="I343" i="2" s="1"/>
  <c r="O342" i="2"/>
  <c r="L342" i="2"/>
  <c r="H342" i="2"/>
  <c r="I342" i="2" s="1"/>
  <c r="O341" i="2"/>
  <c r="L341" i="2"/>
  <c r="H341" i="2"/>
  <c r="I341" i="2" s="1"/>
  <c r="O340" i="2"/>
  <c r="L340" i="2"/>
  <c r="H340" i="2"/>
  <c r="I340" i="2" s="1"/>
  <c r="O339" i="2"/>
  <c r="L339" i="2"/>
  <c r="H339" i="2"/>
  <c r="I339" i="2" s="1"/>
  <c r="O338" i="2"/>
  <c r="L338" i="2"/>
  <c r="H338" i="2"/>
  <c r="I338" i="2" s="1"/>
  <c r="O337" i="2"/>
  <c r="L337" i="2"/>
  <c r="H337" i="2"/>
  <c r="I337" i="2" s="1"/>
  <c r="O336" i="2"/>
  <c r="L336" i="2"/>
  <c r="H336" i="2"/>
  <c r="I336" i="2" s="1"/>
  <c r="O335" i="2"/>
  <c r="L335" i="2"/>
  <c r="H335" i="2"/>
  <c r="I335" i="2" s="1"/>
  <c r="O334" i="2"/>
  <c r="L334" i="2"/>
  <c r="H334" i="2"/>
  <c r="I334" i="2" s="1"/>
  <c r="O333" i="2"/>
  <c r="L333" i="2"/>
  <c r="H333" i="2"/>
  <c r="I333" i="2" s="1"/>
  <c r="O332" i="2"/>
  <c r="L332" i="2"/>
  <c r="H332" i="2"/>
  <c r="I332" i="2" s="1"/>
  <c r="O331" i="2"/>
  <c r="L331" i="2"/>
  <c r="H331" i="2"/>
  <c r="I331" i="2" s="1"/>
  <c r="O330" i="2"/>
  <c r="L330" i="2"/>
  <c r="H330" i="2"/>
  <c r="I330" i="2" s="1"/>
  <c r="O329" i="2"/>
  <c r="L329" i="2"/>
  <c r="H329" i="2"/>
  <c r="I329" i="2" s="1"/>
  <c r="O328" i="2"/>
  <c r="L328" i="2"/>
  <c r="H328" i="2"/>
  <c r="I328" i="2" s="1"/>
  <c r="O327" i="2"/>
  <c r="L327" i="2"/>
  <c r="H327" i="2"/>
  <c r="I327" i="2" s="1"/>
  <c r="O326" i="2"/>
  <c r="L326" i="2"/>
  <c r="H326" i="2"/>
  <c r="I326" i="2" s="1"/>
  <c r="O325" i="2"/>
  <c r="L325" i="2"/>
  <c r="H325" i="2"/>
  <c r="I325" i="2" s="1"/>
  <c r="O324" i="2"/>
  <c r="L324" i="2"/>
  <c r="H324" i="2"/>
  <c r="I324" i="2" s="1"/>
  <c r="O323" i="2"/>
  <c r="L323" i="2"/>
  <c r="H323" i="2"/>
  <c r="I323" i="2" s="1"/>
  <c r="O322" i="2"/>
  <c r="L322" i="2"/>
  <c r="H322" i="2"/>
  <c r="I322" i="2" s="1"/>
  <c r="O321" i="2"/>
  <c r="L321" i="2"/>
  <c r="H321" i="2"/>
  <c r="I321" i="2" s="1"/>
  <c r="O320" i="2"/>
  <c r="L320" i="2"/>
  <c r="H320" i="2"/>
  <c r="I320" i="2" s="1"/>
  <c r="O319" i="2"/>
  <c r="L319" i="2"/>
  <c r="H319" i="2"/>
  <c r="I319" i="2" s="1"/>
  <c r="O318" i="2"/>
  <c r="L318" i="2"/>
  <c r="H318" i="2"/>
  <c r="I318" i="2" s="1"/>
  <c r="O317" i="2"/>
  <c r="L317" i="2"/>
  <c r="H317" i="2"/>
  <c r="I317" i="2" s="1"/>
  <c r="O316" i="2"/>
  <c r="L316" i="2"/>
  <c r="H316" i="2"/>
  <c r="I316" i="2" s="1"/>
  <c r="O315" i="2"/>
  <c r="L315" i="2"/>
  <c r="H315" i="2"/>
  <c r="I315" i="2" s="1"/>
  <c r="O314" i="2"/>
  <c r="L314" i="2"/>
  <c r="H314" i="2"/>
  <c r="I314" i="2" s="1"/>
  <c r="O313" i="2"/>
  <c r="L313" i="2"/>
  <c r="H313" i="2"/>
  <c r="I313" i="2" s="1"/>
  <c r="O312" i="2"/>
  <c r="L312" i="2"/>
  <c r="H312" i="2"/>
  <c r="I312" i="2" s="1"/>
  <c r="O311" i="2"/>
  <c r="L311" i="2"/>
  <c r="H311" i="2"/>
  <c r="I311" i="2" s="1"/>
  <c r="O310" i="2"/>
  <c r="L310" i="2"/>
  <c r="H310" i="2"/>
  <c r="I310" i="2" s="1"/>
  <c r="O309" i="2"/>
  <c r="L309" i="2"/>
  <c r="H309" i="2"/>
  <c r="I309" i="2" s="1"/>
  <c r="O308" i="2"/>
  <c r="L308" i="2"/>
  <c r="H308" i="2"/>
  <c r="I308" i="2" s="1"/>
  <c r="O307" i="2"/>
  <c r="L307" i="2"/>
  <c r="H307" i="2"/>
  <c r="I307" i="2" s="1"/>
  <c r="O306" i="2"/>
  <c r="L306" i="2"/>
  <c r="H306" i="2"/>
  <c r="I306" i="2" s="1"/>
  <c r="O305" i="2"/>
  <c r="L305" i="2"/>
  <c r="H305" i="2"/>
  <c r="I305" i="2" s="1"/>
  <c r="O304" i="2"/>
  <c r="L304" i="2"/>
  <c r="H304" i="2"/>
  <c r="I304" i="2" s="1"/>
  <c r="O303" i="2"/>
  <c r="L303" i="2"/>
  <c r="H303" i="2"/>
  <c r="I303" i="2" s="1"/>
  <c r="O302" i="2"/>
  <c r="L302" i="2"/>
  <c r="H302" i="2"/>
  <c r="I302" i="2" s="1"/>
  <c r="O301" i="2"/>
  <c r="L301" i="2"/>
  <c r="H301" i="2"/>
  <c r="I301" i="2" s="1"/>
  <c r="O300" i="2"/>
  <c r="L300" i="2"/>
  <c r="H300" i="2"/>
  <c r="I300" i="2" s="1"/>
  <c r="O299" i="2"/>
  <c r="L299" i="2"/>
  <c r="H299" i="2"/>
  <c r="I299" i="2" s="1"/>
  <c r="O298" i="2"/>
  <c r="L298" i="2"/>
  <c r="H298" i="2"/>
  <c r="I298" i="2" s="1"/>
  <c r="O297" i="2"/>
  <c r="L297" i="2"/>
  <c r="H297" i="2"/>
  <c r="I297" i="2" s="1"/>
  <c r="O296" i="2"/>
  <c r="L296" i="2"/>
  <c r="H296" i="2"/>
  <c r="I296" i="2" s="1"/>
  <c r="O295" i="2"/>
  <c r="L295" i="2"/>
  <c r="H295" i="2"/>
  <c r="I295" i="2" s="1"/>
  <c r="O294" i="2"/>
  <c r="L294" i="2"/>
  <c r="H294" i="2"/>
  <c r="I294" i="2" s="1"/>
  <c r="O293" i="2"/>
  <c r="L293" i="2"/>
  <c r="H293" i="2"/>
  <c r="I293" i="2" s="1"/>
  <c r="O292" i="2"/>
  <c r="L292" i="2"/>
  <c r="H292" i="2"/>
  <c r="I292" i="2" s="1"/>
  <c r="O291" i="2"/>
  <c r="L291" i="2"/>
  <c r="H291" i="2"/>
  <c r="I291" i="2" s="1"/>
  <c r="O290" i="2"/>
  <c r="L290" i="2"/>
  <c r="H290" i="2"/>
  <c r="I290" i="2" s="1"/>
  <c r="O289" i="2"/>
  <c r="L289" i="2"/>
  <c r="H289" i="2"/>
  <c r="I289" i="2" s="1"/>
  <c r="O288" i="2"/>
  <c r="L288" i="2"/>
  <c r="H288" i="2"/>
  <c r="I288" i="2" s="1"/>
  <c r="O287" i="2"/>
  <c r="L287" i="2"/>
  <c r="H287" i="2"/>
  <c r="I287" i="2" s="1"/>
  <c r="O286" i="2"/>
  <c r="L286" i="2"/>
  <c r="H286" i="2"/>
  <c r="I286" i="2" s="1"/>
  <c r="O285" i="2"/>
  <c r="L285" i="2"/>
  <c r="H285" i="2"/>
  <c r="I285" i="2" s="1"/>
  <c r="O284" i="2"/>
  <c r="L284" i="2"/>
  <c r="H284" i="2"/>
  <c r="I284" i="2" s="1"/>
  <c r="O283" i="2"/>
  <c r="L283" i="2"/>
  <c r="H283" i="2"/>
  <c r="I283" i="2" s="1"/>
  <c r="O282" i="2"/>
  <c r="L282" i="2"/>
  <c r="H282" i="2"/>
  <c r="I282" i="2" s="1"/>
  <c r="O281" i="2"/>
  <c r="L281" i="2"/>
  <c r="H281" i="2"/>
  <c r="I281" i="2" s="1"/>
  <c r="O280" i="2"/>
  <c r="L280" i="2"/>
  <c r="H280" i="2"/>
  <c r="I280" i="2" s="1"/>
  <c r="O279" i="2"/>
  <c r="L279" i="2"/>
  <c r="H279" i="2"/>
  <c r="I279" i="2" s="1"/>
  <c r="O278" i="2"/>
  <c r="L278" i="2"/>
  <c r="H278" i="2"/>
  <c r="I278" i="2" s="1"/>
  <c r="O277" i="2"/>
  <c r="L277" i="2"/>
  <c r="H277" i="2"/>
  <c r="I277" i="2" s="1"/>
  <c r="O276" i="2"/>
  <c r="L276" i="2"/>
  <c r="H276" i="2"/>
  <c r="I276" i="2" s="1"/>
  <c r="O275" i="2"/>
  <c r="L275" i="2"/>
  <c r="H275" i="2"/>
  <c r="I275" i="2" s="1"/>
  <c r="O274" i="2"/>
  <c r="L274" i="2"/>
  <c r="H274" i="2"/>
  <c r="I274" i="2" s="1"/>
  <c r="O273" i="2"/>
  <c r="L273" i="2"/>
  <c r="H273" i="2"/>
  <c r="I273" i="2" s="1"/>
  <c r="O272" i="2"/>
  <c r="L272" i="2"/>
  <c r="H272" i="2"/>
  <c r="I272" i="2" s="1"/>
  <c r="O271" i="2"/>
  <c r="L271" i="2"/>
  <c r="H271" i="2"/>
  <c r="I271" i="2" s="1"/>
  <c r="O270" i="2"/>
  <c r="L270" i="2"/>
  <c r="H270" i="2"/>
  <c r="I270" i="2" s="1"/>
  <c r="O269" i="2"/>
  <c r="L269" i="2"/>
  <c r="H269" i="2"/>
  <c r="I269" i="2" s="1"/>
  <c r="O268" i="2"/>
  <c r="L268" i="2"/>
  <c r="H268" i="2"/>
  <c r="I268" i="2" s="1"/>
  <c r="O267" i="2"/>
  <c r="L267" i="2"/>
  <c r="H267" i="2"/>
  <c r="I267" i="2" s="1"/>
  <c r="O266" i="2"/>
  <c r="L266" i="2"/>
  <c r="H266" i="2"/>
  <c r="I266" i="2" s="1"/>
  <c r="O265" i="2"/>
  <c r="L265" i="2"/>
  <c r="H265" i="2"/>
  <c r="I265" i="2" s="1"/>
  <c r="O264" i="2"/>
  <c r="L264" i="2"/>
  <c r="H264" i="2"/>
  <c r="I264" i="2" s="1"/>
  <c r="O263" i="2"/>
  <c r="L263" i="2"/>
  <c r="H263" i="2"/>
  <c r="I263" i="2" s="1"/>
  <c r="O262" i="2"/>
  <c r="L262" i="2"/>
  <c r="H262" i="2"/>
  <c r="I262" i="2" s="1"/>
  <c r="O261" i="2"/>
  <c r="L261" i="2"/>
  <c r="H261" i="2"/>
  <c r="I261" i="2" s="1"/>
  <c r="O260" i="2"/>
  <c r="L260" i="2"/>
  <c r="H260" i="2"/>
  <c r="I260" i="2" s="1"/>
  <c r="O259" i="2"/>
  <c r="L259" i="2"/>
  <c r="H259" i="2"/>
  <c r="I259" i="2" s="1"/>
  <c r="O258" i="2"/>
  <c r="L258" i="2"/>
  <c r="H258" i="2"/>
  <c r="I258" i="2" s="1"/>
  <c r="O257" i="2"/>
  <c r="L257" i="2"/>
  <c r="H257" i="2"/>
  <c r="I257" i="2" s="1"/>
  <c r="O256" i="2"/>
  <c r="L256" i="2"/>
  <c r="H256" i="2"/>
  <c r="I256" i="2" s="1"/>
  <c r="O255" i="2"/>
  <c r="L255" i="2"/>
  <c r="H255" i="2"/>
  <c r="I255" i="2" s="1"/>
  <c r="O254" i="2"/>
  <c r="L254" i="2"/>
  <c r="H254" i="2"/>
  <c r="I254" i="2" s="1"/>
  <c r="O253" i="2"/>
  <c r="L253" i="2"/>
  <c r="H253" i="2"/>
  <c r="I253" i="2" s="1"/>
  <c r="O252" i="2"/>
  <c r="L252" i="2"/>
  <c r="H252" i="2"/>
  <c r="I252" i="2" s="1"/>
  <c r="O251" i="2"/>
  <c r="L251" i="2"/>
  <c r="H251" i="2"/>
  <c r="I251" i="2" s="1"/>
  <c r="O250" i="2"/>
  <c r="L250" i="2"/>
  <c r="H250" i="2"/>
  <c r="I250" i="2" s="1"/>
  <c r="O249" i="2"/>
  <c r="L249" i="2"/>
  <c r="H249" i="2"/>
  <c r="I249" i="2" s="1"/>
  <c r="O248" i="2"/>
  <c r="L248" i="2"/>
  <c r="H248" i="2"/>
  <c r="I248" i="2" s="1"/>
  <c r="O247" i="2"/>
  <c r="L247" i="2"/>
  <c r="H247" i="2"/>
  <c r="I247" i="2" s="1"/>
  <c r="O246" i="2"/>
  <c r="L246" i="2"/>
  <c r="H246" i="2"/>
  <c r="I246" i="2" s="1"/>
  <c r="O245" i="2"/>
  <c r="L245" i="2"/>
  <c r="H245" i="2"/>
  <c r="I245" i="2" s="1"/>
  <c r="O244" i="2"/>
  <c r="L244" i="2"/>
  <c r="H244" i="2"/>
  <c r="I244" i="2" s="1"/>
  <c r="O243" i="2"/>
  <c r="L243" i="2"/>
  <c r="H243" i="2"/>
  <c r="I243" i="2" s="1"/>
  <c r="O242" i="2"/>
  <c r="L242" i="2"/>
  <c r="H242" i="2"/>
  <c r="I242" i="2" s="1"/>
  <c r="O241" i="2"/>
  <c r="L241" i="2"/>
  <c r="H241" i="2"/>
  <c r="I241" i="2" s="1"/>
  <c r="O240" i="2"/>
  <c r="L240" i="2"/>
  <c r="H240" i="2"/>
  <c r="I240" i="2" s="1"/>
  <c r="O239" i="2"/>
  <c r="L239" i="2"/>
  <c r="H239" i="2"/>
  <c r="I239" i="2" s="1"/>
  <c r="O238" i="2"/>
  <c r="L238" i="2"/>
  <c r="H238" i="2"/>
  <c r="I238" i="2" s="1"/>
  <c r="O237" i="2"/>
  <c r="L237" i="2"/>
  <c r="H237" i="2"/>
  <c r="I237" i="2" s="1"/>
  <c r="O236" i="2"/>
  <c r="L236" i="2"/>
  <c r="H236" i="2"/>
  <c r="I236" i="2" s="1"/>
  <c r="O235" i="2"/>
  <c r="L235" i="2"/>
  <c r="H235" i="2"/>
  <c r="I235" i="2" s="1"/>
  <c r="O234" i="2"/>
  <c r="L234" i="2"/>
  <c r="H234" i="2"/>
  <c r="I234" i="2" s="1"/>
  <c r="O233" i="2"/>
  <c r="L233" i="2"/>
  <c r="H233" i="2"/>
  <c r="I233" i="2" s="1"/>
  <c r="O232" i="2"/>
  <c r="L232" i="2"/>
  <c r="H232" i="2"/>
  <c r="I232" i="2" s="1"/>
  <c r="O231" i="2"/>
  <c r="L231" i="2"/>
  <c r="H231" i="2"/>
  <c r="I231" i="2" s="1"/>
  <c r="O230" i="2"/>
  <c r="L230" i="2"/>
  <c r="H230" i="2"/>
  <c r="I230" i="2" s="1"/>
  <c r="O229" i="2"/>
  <c r="L229" i="2"/>
  <c r="H229" i="2"/>
  <c r="I229" i="2" s="1"/>
  <c r="O228" i="2"/>
  <c r="L228" i="2"/>
  <c r="H228" i="2"/>
  <c r="I228" i="2" s="1"/>
  <c r="O227" i="2"/>
  <c r="L227" i="2"/>
  <c r="H227" i="2"/>
  <c r="I227" i="2" s="1"/>
  <c r="O226" i="2"/>
  <c r="L226" i="2"/>
  <c r="H226" i="2"/>
  <c r="I226" i="2" s="1"/>
  <c r="O225" i="2"/>
  <c r="L225" i="2"/>
  <c r="H225" i="2"/>
  <c r="I225" i="2" s="1"/>
  <c r="O224" i="2"/>
  <c r="L224" i="2"/>
  <c r="H224" i="2"/>
  <c r="I224" i="2" s="1"/>
  <c r="O223" i="2"/>
  <c r="L223" i="2"/>
  <c r="H223" i="2"/>
  <c r="I223" i="2" s="1"/>
  <c r="O222" i="2"/>
  <c r="L222" i="2"/>
  <c r="H222" i="2"/>
  <c r="I222" i="2" s="1"/>
  <c r="O221" i="2"/>
  <c r="L221" i="2"/>
  <c r="H221" i="2"/>
  <c r="I221" i="2" s="1"/>
  <c r="O220" i="2"/>
  <c r="L220" i="2"/>
  <c r="H220" i="2"/>
  <c r="I220" i="2" s="1"/>
  <c r="O219" i="2"/>
  <c r="L219" i="2"/>
  <c r="H219" i="2"/>
  <c r="I219" i="2" s="1"/>
  <c r="O218" i="2"/>
  <c r="L218" i="2"/>
  <c r="H218" i="2"/>
  <c r="I218" i="2" s="1"/>
  <c r="O217" i="2"/>
  <c r="L217" i="2"/>
  <c r="H217" i="2"/>
  <c r="I217" i="2" s="1"/>
  <c r="O216" i="2"/>
  <c r="L216" i="2"/>
  <c r="H216" i="2"/>
  <c r="I216" i="2" s="1"/>
  <c r="O215" i="2"/>
  <c r="L215" i="2"/>
  <c r="H215" i="2"/>
  <c r="I215" i="2" s="1"/>
  <c r="O214" i="2"/>
  <c r="L214" i="2"/>
  <c r="H214" i="2"/>
  <c r="I214" i="2" s="1"/>
  <c r="O213" i="2"/>
  <c r="L213" i="2"/>
  <c r="H213" i="2"/>
  <c r="I213" i="2" s="1"/>
  <c r="O212" i="2"/>
  <c r="L212" i="2"/>
  <c r="H212" i="2"/>
  <c r="I212" i="2" s="1"/>
  <c r="O211" i="2"/>
  <c r="L211" i="2"/>
  <c r="H211" i="2"/>
  <c r="I211" i="2" s="1"/>
  <c r="O210" i="2"/>
  <c r="L210" i="2"/>
  <c r="H210" i="2"/>
  <c r="I210" i="2" s="1"/>
  <c r="O209" i="2"/>
  <c r="L209" i="2"/>
  <c r="H209" i="2"/>
  <c r="I209" i="2" s="1"/>
  <c r="O208" i="2"/>
  <c r="L208" i="2"/>
  <c r="H208" i="2"/>
  <c r="I208" i="2" s="1"/>
  <c r="O207" i="2"/>
  <c r="L207" i="2"/>
  <c r="H207" i="2"/>
  <c r="I207" i="2" s="1"/>
  <c r="O206" i="2"/>
  <c r="L206" i="2"/>
  <c r="H206" i="2"/>
  <c r="I206" i="2" s="1"/>
  <c r="O205" i="2"/>
  <c r="L205" i="2"/>
  <c r="H205" i="2"/>
  <c r="I205" i="2" s="1"/>
  <c r="O204" i="2"/>
  <c r="L204" i="2"/>
  <c r="H204" i="2"/>
  <c r="I204" i="2" s="1"/>
  <c r="O203" i="2"/>
  <c r="L203" i="2"/>
  <c r="H203" i="2"/>
  <c r="I203" i="2" s="1"/>
  <c r="O202" i="2"/>
  <c r="L202" i="2"/>
  <c r="H202" i="2"/>
  <c r="I202" i="2" s="1"/>
  <c r="O201" i="2"/>
  <c r="L201" i="2"/>
  <c r="H201" i="2"/>
  <c r="I201" i="2" s="1"/>
  <c r="O200" i="2"/>
  <c r="L200" i="2"/>
  <c r="H200" i="2"/>
  <c r="I200" i="2" s="1"/>
  <c r="O199" i="2"/>
  <c r="L199" i="2"/>
  <c r="H199" i="2"/>
  <c r="I199" i="2" s="1"/>
  <c r="O198" i="2"/>
  <c r="L198" i="2"/>
  <c r="H198" i="2"/>
  <c r="I198" i="2" s="1"/>
  <c r="O197" i="2"/>
  <c r="L197" i="2"/>
  <c r="H197" i="2"/>
  <c r="I197" i="2" s="1"/>
  <c r="O196" i="2"/>
  <c r="L196" i="2"/>
  <c r="H196" i="2"/>
  <c r="I196" i="2" s="1"/>
  <c r="O195" i="2"/>
  <c r="L195" i="2"/>
  <c r="H195" i="2"/>
  <c r="I195" i="2" s="1"/>
  <c r="O194" i="2"/>
  <c r="L194" i="2"/>
  <c r="H194" i="2"/>
  <c r="I194" i="2" s="1"/>
  <c r="O193" i="2"/>
  <c r="L193" i="2"/>
  <c r="H193" i="2"/>
  <c r="I193" i="2" s="1"/>
  <c r="O192" i="2"/>
  <c r="L192" i="2"/>
  <c r="H192" i="2"/>
  <c r="I192" i="2" s="1"/>
  <c r="O191" i="2"/>
  <c r="L191" i="2"/>
  <c r="H191" i="2"/>
  <c r="I191" i="2" s="1"/>
  <c r="O190" i="2"/>
  <c r="L190" i="2"/>
  <c r="H190" i="2"/>
  <c r="I190" i="2" s="1"/>
  <c r="O189" i="2"/>
  <c r="L189" i="2"/>
  <c r="H189" i="2"/>
  <c r="I189" i="2" s="1"/>
  <c r="O188" i="2"/>
  <c r="L188" i="2"/>
  <c r="H188" i="2"/>
  <c r="I188" i="2" s="1"/>
  <c r="O187" i="2"/>
  <c r="L187" i="2"/>
  <c r="H187" i="2"/>
  <c r="I187" i="2" s="1"/>
  <c r="O186" i="2"/>
  <c r="L186" i="2"/>
  <c r="H186" i="2"/>
  <c r="I186" i="2" s="1"/>
  <c r="O185" i="2"/>
  <c r="L185" i="2"/>
  <c r="H185" i="2"/>
  <c r="I185" i="2" s="1"/>
  <c r="O184" i="2"/>
  <c r="L184" i="2"/>
  <c r="H184" i="2"/>
  <c r="I184" i="2" s="1"/>
  <c r="O183" i="2"/>
  <c r="L183" i="2"/>
  <c r="H183" i="2"/>
  <c r="I183" i="2" s="1"/>
  <c r="O182" i="2"/>
  <c r="L182" i="2"/>
  <c r="H182" i="2"/>
  <c r="I182" i="2" s="1"/>
  <c r="O181" i="2"/>
  <c r="L181" i="2"/>
  <c r="H181" i="2"/>
  <c r="I181" i="2" s="1"/>
  <c r="O180" i="2"/>
  <c r="L180" i="2"/>
  <c r="H180" i="2"/>
  <c r="I180" i="2" s="1"/>
  <c r="O179" i="2"/>
  <c r="L179" i="2"/>
  <c r="H179" i="2"/>
  <c r="I179" i="2" s="1"/>
  <c r="O178" i="2"/>
  <c r="L178" i="2"/>
  <c r="H178" i="2"/>
  <c r="I178" i="2" s="1"/>
  <c r="O177" i="2"/>
  <c r="L177" i="2"/>
  <c r="H177" i="2"/>
  <c r="I177" i="2" s="1"/>
  <c r="O176" i="2"/>
  <c r="L176" i="2"/>
  <c r="H176" i="2"/>
  <c r="I176" i="2" s="1"/>
  <c r="O175" i="2"/>
  <c r="L175" i="2"/>
  <c r="H175" i="2"/>
  <c r="I175" i="2" s="1"/>
  <c r="O174" i="2"/>
  <c r="L174" i="2"/>
  <c r="H174" i="2"/>
  <c r="I174" i="2" s="1"/>
  <c r="O173" i="2"/>
  <c r="L173" i="2"/>
  <c r="H173" i="2"/>
  <c r="I173" i="2" s="1"/>
  <c r="O172" i="2"/>
  <c r="L172" i="2"/>
  <c r="H172" i="2"/>
  <c r="I172" i="2" s="1"/>
  <c r="O171" i="2"/>
  <c r="L171" i="2"/>
  <c r="H171" i="2"/>
  <c r="I171" i="2" s="1"/>
  <c r="O170" i="2"/>
  <c r="L170" i="2"/>
  <c r="H170" i="2"/>
  <c r="I170" i="2" s="1"/>
  <c r="O169" i="2"/>
  <c r="L169" i="2"/>
  <c r="H169" i="2"/>
  <c r="I169" i="2" s="1"/>
  <c r="O168" i="2"/>
  <c r="L168" i="2"/>
  <c r="H168" i="2"/>
  <c r="I168" i="2" s="1"/>
  <c r="O167" i="2"/>
  <c r="L167" i="2"/>
  <c r="H167" i="2"/>
  <c r="I167" i="2" s="1"/>
  <c r="O166" i="2"/>
  <c r="L166" i="2"/>
  <c r="H166" i="2"/>
  <c r="I166" i="2" s="1"/>
  <c r="O165" i="2"/>
  <c r="L165" i="2"/>
  <c r="H165" i="2"/>
  <c r="I165" i="2" s="1"/>
  <c r="O164" i="2"/>
  <c r="L164" i="2"/>
  <c r="H164" i="2"/>
  <c r="I164" i="2" s="1"/>
  <c r="O163" i="2"/>
  <c r="L163" i="2"/>
  <c r="H163" i="2"/>
  <c r="I163" i="2" s="1"/>
  <c r="O162" i="2"/>
  <c r="L162" i="2"/>
  <c r="H162" i="2"/>
  <c r="I162" i="2" s="1"/>
  <c r="O161" i="2"/>
  <c r="L161" i="2"/>
  <c r="H161" i="2"/>
  <c r="I161" i="2" s="1"/>
  <c r="O160" i="2"/>
  <c r="L160" i="2"/>
  <c r="H160" i="2"/>
  <c r="I160" i="2" s="1"/>
  <c r="O159" i="2"/>
  <c r="L159" i="2"/>
  <c r="H159" i="2"/>
  <c r="I159" i="2" s="1"/>
  <c r="O158" i="2"/>
  <c r="L158" i="2"/>
  <c r="H158" i="2"/>
  <c r="I158" i="2" s="1"/>
  <c r="O157" i="2"/>
  <c r="L157" i="2"/>
  <c r="H157" i="2"/>
  <c r="I157" i="2" s="1"/>
  <c r="O156" i="2"/>
  <c r="L156" i="2"/>
  <c r="H156" i="2"/>
  <c r="I156" i="2" s="1"/>
  <c r="O155" i="2"/>
  <c r="L155" i="2"/>
  <c r="H155" i="2"/>
  <c r="I155" i="2" s="1"/>
  <c r="O154" i="2"/>
  <c r="L154" i="2"/>
  <c r="H154" i="2"/>
  <c r="I154" i="2" s="1"/>
  <c r="O153" i="2"/>
  <c r="L153" i="2"/>
  <c r="H153" i="2"/>
  <c r="I153" i="2" s="1"/>
  <c r="O152" i="2"/>
  <c r="L152" i="2"/>
  <c r="H152" i="2"/>
  <c r="I152" i="2" s="1"/>
  <c r="O151" i="2"/>
  <c r="L151" i="2"/>
  <c r="H151" i="2"/>
  <c r="I151" i="2" s="1"/>
  <c r="O150" i="2"/>
  <c r="L150" i="2"/>
  <c r="H150" i="2"/>
  <c r="I150" i="2" s="1"/>
  <c r="O149" i="2"/>
  <c r="L149" i="2"/>
  <c r="H149" i="2"/>
  <c r="I149" i="2" s="1"/>
  <c r="O148" i="2"/>
  <c r="L148" i="2"/>
  <c r="H148" i="2"/>
  <c r="I148" i="2" s="1"/>
  <c r="O147" i="2"/>
  <c r="L147" i="2"/>
  <c r="H147" i="2"/>
  <c r="I147" i="2" s="1"/>
  <c r="O146" i="2"/>
  <c r="L146" i="2"/>
  <c r="H146" i="2"/>
  <c r="I146" i="2" s="1"/>
  <c r="O145" i="2"/>
  <c r="L145" i="2"/>
  <c r="H145" i="2"/>
  <c r="I145" i="2" s="1"/>
  <c r="O144" i="2"/>
  <c r="L144" i="2"/>
  <c r="H144" i="2"/>
  <c r="I144" i="2" s="1"/>
  <c r="O143" i="2"/>
  <c r="L143" i="2"/>
  <c r="H143" i="2"/>
  <c r="I143" i="2" s="1"/>
  <c r="O142" i="2"/>
  <c r="L142" i="2"/>
  <c r="H142" i="2"/>
  <c r="I142" i="2" s="1"/>
  <c r="O141" i="2"/>
  <c r="L141" i="2"/>
  <c r="H141" i="2"/>
  <c r="I141" i="2" s="1"/>
  <c r="O140" i="2"/>
  <c r="L140" i="2"/>
  <c r="H140" i="2"/>
  <c r="I140" i="2" s="1"/>
  <c r="O139" i="2"/>
  <c r="L139" i="2"/>
  <c r="H139" i="2"/>
  <c r="I139" i="2" s="1"/>
  <c r="O138" i="2"/>
  <c r="L138" i="2"/>
  <c r="H138" i="2"/>
  <c r="I138" i="2" s="1"/>
  <c r="O137" i="2"/>
  <c r="L137" i="2"/>
  <c r="H137" i="2"/>
  <c r="I137" i="2" s="1"/>
  <c r="O136" i="2"/>
  <c r="L136" i="2"/>
  <c r="H136" i="2"/>
  <c r="I136" i="2" s="1"/>
  <c r="O135" i="2"/>
  <c r="L135" i="2"/>
  <c r="H135" i="2"/>
  <c r="I135" i="2" s="1"/>
  <c r="O134" i="2"/>
  <c r="L134" i="2"/>
  <c r="H134" i="2"/>
  <c r="I134" i="2" s="1"/>
  <c r="O133" i="2"/>
  <c r="L133" i="2"/>
  <c r="H133" i="2"/>
  <c r="I133" i="2" s="1"/>
  <c r="O132" i="2"/>
  <c r="L132" i="2"/>
  <c r="H132" i="2"/>
  <c r="I132" i="2" s="1"/>
  <c r="O131" i="2"/>
  <c r="L131" i="2"/>
  <c r="H131" i="2"/>
  <c r="I131" i="2" s="1"/>
  <c r="O130" i="2"/>
  <c r="L130" i="2"/>
  <c r="H130" i="2"/>
  <c r="I130" i="2" s="1"/>
  <c r="O129" i="2"/>
  <c r="L129" i="2"/>
  <c r="H129" i="2"/>
  <c r="I129" i="2" s="1"/>
  <c r="O128" i="2"/>
  <c r="L128" i="2"/>
  <c r="H128" i="2"/>
  <c r="I128" i="2" s="1"/>
  <c r="O127" i="2"/>
  <c r="L127" i="2"/>
  <c r="H127" i="2"/>
  <c r="I127" i="2" s="1"/>
  <c r="O126" i="2"/>
  <c r="L126" i="2"/>
  <c r="H126" i="2"/>
  <c r="I126" i="2" s="1"/>
  <c r="O125" i="2"/>
  <c r="L125" i="2"/>
  <c r="H125" i="2"/>
  <c r="I125" i="2" s="1"/>
  <c r="O124" i="2"/>
  <c r="L124" i="2"/>
  <c r="H124" i="2"/>
  <c r="I124" i="2" s="1"/>
  <c r="O123" i="2"/>
  <c r="L123" i="2"/>
  <c r="H123" i="2"/>
  <c r="I123" i="2" s="1"/>
  <c r="O122" i="2"/>
  <c r="L122" i="2"/>
  <c r="H122" i="2"/>
  <c r="I122" i="2" s="1"/>
  <c r="O121" i="2"/>
  <c r="L121" i="2"/>
  <c r="H121" i="2"/>
  <c r="I121" i="2" s="1"/>
  <c r="O120" i="2"/>
  <c r="L120" i="2"/>
  <c r="H120" i="2"/>
  <c r="I120" i="2" s="1"/>
  <c r="O119" i="2"/>
  <c r="L119" i="2"/>
  <c r="H119" i="2"/>
  <c r="I119" i="2" s="1"/>
  <c r="O118" i="2"/>
  <c r="L118" i="2"/>
  <c r="H118" i="2"/>
  <c r="I118" i="2" s="1"/>
  <c r="O117" i="2"/>
  <c r="L117" i="2"/>
  <c r="H117" i="2"/>
  <c r="I117" i="2" s="1"/>
  <c r="O116" i="2"/>
  <c r="L116" i="2"/>
  <c r="H116" i="2"/>
  <c r="I116" i="2" s="1"/>
  <c r="O115" i="2"/>
  <c r="L115" i="2"/>
  <c r="H115" i="2"/>
  <c r="I115" i="2" s="1"/>
  <c r="O114" i="2"/>
  <c r="L114" i="2"/>
  <c r="H114" i="2"/>
  <c r="I114" i="2" s="1"/>
  <c r="O113" i="2"/>
  <c r="L113" i="2"/>
  <c r="H113" i="2"/>
  <c r="I113" i="2" s="1"/>
  <c r="O112" i="2"/>
  <c r="L112" i="2"/>
  <c r="H112" i="2"/>
  <c r="I112" i="2" s="1"/>
  <c r="O111" i="2"/>
  <c r="L111" i="2"/>
  <c r="H111" i="2"/>
  <c r="I111" i="2" s="1"/>
  <c r="O110" i="2"/>
  <c r="L110" i="2"/>
  <c r="H110" i="2"/>
  <c r="I110" i="2" s="1"/>
  <c r="O109" i="2"/>
  <c r="L109" i="2"/>
  <c r="H109" i="2"/>
  <c r="I109" i="2" s="1"/>
  <c r="O108" i="2"/>
  <c r="L108" i="2"/>
  <c r="H108" i="2"/>
  <c r="I108" i="2" s="1"/>
  <c r="O107" i="2"/>
  <c r="L107" i="2"/>
  <c r="H107" i="2"/>
  <c r="I107" i="2" s="1"/>
  <c r="O106" i="2"/>
  <c r="L106" i="2"/>
  <c r="H106" i="2"/>
  <c r="I106" i="2" s="1"/>
  <c r="O105" i="2"/>
  <c r="L105" i="2"/>
  <c r="H105" i="2"/>
  <c r="I105" i="2" s="1"/>
  <c r="O104" i="2"/>
  <c r="L104" i="2"/>
  <c r="H104" i="2"/>
  <c r="I104" i="2" s="1"/>
  <c r="O103" i="2"/>
  <c r="L103" i="2"/>
  <c r="H103" i="2"/>
  <c r="I103" i="2" s="1"/>
  <c r="O102" i="2"/>
  <c r="L102" i="2"/>
  <c r="H102" i="2"/>
  <c r="I102" i="2" s="1"/>
  <c r="O101" i="2"/>
  <c r="L101" i="2"/>
  <c r="H101" i="2"/>
  <c r="I101" i="2" s="1"/>
  <c r="O100" i="2"/>
  <c r="L100" i="2"/>
  <c r="H100" i="2"/>
  <c r="I100" i="2" s="1"/>
  <c r="O99" i="2"/>
  <c r="L99" i="2"/>
  <c r="H99" i="2"/>
  <c r="I99" i="2" s="1"/>
  <c r="O98" i="2"/>
  <c r="L98" i="2"/>
  <c r="H98" i="2"/>
  <c r="I98" i="2" s="1"/>
  <c r="O97" i="2"/>
  <c r="L97" i="2"/>
  <c r="H97" i="2"/>
  <c r="I97" i="2" s="1"/>
  <c r="O96" i="2"/>
  <c r="L96" i="2"/>
  <c r="H96" i="2"/>
  <c r="I96" i="2" s="1"/>
  <c r="O95" i="2"/>
  <c r="L95" i="2"/>
  <c r="H95" i="2"/>
  <c r="I95" i="2" s="1"/>
  <c r="O94" i="2"/>
  <c r="L94" i="2"/>
  <c r="H94" i="2"/>
  <c r="I94" i="2" s="1"/>
  <c r="O93" i="2"/>
  <c r="L93" i="2"/>
  <c r="H93" i="2"/>
  <c r="I93" i="2" s="1"/>
  <c r="O92" i="2"/>
  <c r="L92" i="2"/>
  <c r="H92" i="2"/>
  <c r="I92" i="2" s="1"/>
  <c r="O91" i="2"/>
  <c r="L91" i="2"/>
  <c r="H91" i="2"/>
  <c r="I91" i="2" s="1"/>
  <c r="O90" i="2"/>
  <c r="L90" i="2"/>
  <c r="H90" i="2"/>
  <c r="I90" i="2" s="1"/>
  <c r="O89" i="2"/>
  <c r="L89" i="2"/>
  <c r="H89" i="2"/>
  <c r="I89" i="2" s="1"/>
  <c r="O88" i="2"/>
  <c r="L88" i="2"/>
  <c r="H88" i="2"/>
  <c r="I88" i="2" s="1"/>
  <c r="O87" i="2"/>
  <c r="L87" i="2"/>
  <c r="H87" i="2"/>
  <c r="I87" i="2" s="1"/>
  <c r="O86" i="2"/>
  <c r="L86" i="2"/>
  <c r="H86" i="2"/>
  <c r="I86" i="2" s="1"/>
  <c r="O85" i="2"/>
  <c r="L85" i="2"/>
  <c r="H85" i="2"/>
  <c r="I85" i="2" s="1"/>
  <c r="O84" i="2"/>
  <c r="L84" i="2"/>
  <c r="H84" i="2"/>
  <c r="I84" i="2" s="1"/>
  <c r="O83" i="2"/>
  <c r="L83" i="2"/>
  <c r="H83" i="2"/>
  <c r="I83" i="2" s="1"/>
  <c r="O82" i="2"/>
  <c r="L82" i="2"/>
  <c r="H82" i="2"/>
  <c r="I82" i="2" s="1"/>
  <c r="O81" i="2"/>
  <c r="L81" i="2"/>
  <c r="H81" i="2"/>
  <c r="I81" i="2" s="1"/>
  <c r="O80" i="2"/>
  <c r="L80" i="2"/>
  <c r="H80" i="2"/>
  <c r="I80" i="2" s="1"/>
  <c r="O79" i="2"/>
  <c r="L79" i="2"/>
  <c r="H79" i="2"/>
  <c r="I79" i="2" s="1"/>
  <c r="O78" i="2"/>
  <c r="L78" i="2"/>
  <c r="H78" i="2"/>
  <c r="I78" i="2" s="1"/>
  <c r="O77" i="2"/>
  <c r="L77" i="2"/>
  <c r="H77" i="2"/>
  <c r="I77" i="2" s="1"/>
  <c r="O76" i="2"/>
  <c r="L76" i="2"/>
  <c r="H76" i="2"/>
  <c r="I76" i="2" s="1"/>
  <c r="O75" i="2"/>
  <c r="L75" i="2"/>
  <c r="H75" i="2"/>
  <c r="I75" i="2" s="1"/>
  <c r="O74" i="2"/>
  <c r="L74" i="2"/>
  <c r="H74" i="2"/>
  <c r="I74" i="2" s="1"/>
  <c r="O73" i="2"/>
  <c r="L73" i="2"/>
  <c r="H73" i="2"/>
  <c r="I73" i="2" s="1"/>
  <c r="O72" i="2"/>
  <c r="L72" i="2"/>
  <c r="H72" i="2"/>
  <c r="I72" i="2" s="1"/>
  <c r="O71" i="2"/>
  <c r="L71" i="2"/>
  <c r="H71" i="2"/>
  <c r="I71" i="2" s="1"/>
  <c r="O70" i="2"/>
  <c r="L70" i="2"/>
  <c r="H70" i="2"/>
  <c r="I70" i="2" s="1"/>
  <c r="O69" i="2"/>
  <c r="L69" i="2"/>
  <c r="H69" i="2"/>
  <c r="I69" i="2" s="1"/>
  <c r="O68" i="2"/>
  <c r="L68" i="2"/>
  <c r="H68" i="2"/>
  <c r="I68" i="2" s="1"/>
  <c r="O67" i="2"/>
  <c r="L67" i="2"/>
  <c r="H67" i="2"/>
  <c r="I67" i="2" s="1"/>
  <c r="O66" i="2"/>
  <c r="L66" i="2"/>
  <c r="H66" i="2"/>
  <c r="I66" i="2" s="1"/>
  <c r="O65" i="2"/>
  <c r="L65" i="2"/>
  <c r="H65" i="2"/>
  <c r="I65" i="2" s="1"/>
  <c r="O64" i="2"/>
  <c r="L64" i="2"/>
  <c r="H64" i="2"/>
  <c r="I64" i="2" s="1"/>
  <c r="O63" i="2"/>
  <c r="L63" i="2"/>
  <c r="H63" i="2"/>
  <c r="I63" i="2" s="1"/>
  <c r="O62" i="2"/>
  <c r="L62" i="2"/>
  <c r="H62" i="2"/>
  <c r="I62" i="2" s="1"/>
  <c r="O61" i="2"/>
  <c r="L61" i="2"/>
  <c r="H61" i="2"/>
  <c r="I61" i="2" s="1"/>
  <c r="O60" i="2"/>
  <c r="L60" i="2"/>
  <c r="H60" i="2"/>
  <c r="I60" i="2" s="1"/>
  <c r="O59" i="2"/>
  <c r="L59" i="2"/>
  <c r="H59" i="2"/>
  <c r="I59" i="2" s="1"/>
  <c r="O58" i="2"/>
  <c r="L58" i="2"/>
  <c r="H58" i="2"/>
  <c r="I58" i="2" s="1"/>
  <c r="O57" i="2"/>
  <c r="L57" i="2"/>
  <c r="H57" i="2"/>
  <c r="I57" i="2" s="1"/>
  <c r="O56" i="2"/>
  <c r="L56" i="2"/>
  <c r="H56" i="2"/>
  <c r="I56" i="2" s="1"/>
  <c r="O55" i="2"/>
  <c r="L55" i="2"/>
  <c r="H55" i="2"/>
  <c r="I55" i="2" s="1"/>
  <c r="O54" i="2"/>
  <c r="L54" i="2"/>
  <c r="H54" i="2"/>
  <c r="I54" i="2" s="1"/>
  <c r="O53" i="2"/>
  <c r="L53" i="2"/>
  <c r="H53" i="2"/>
  <c r="I53" i="2" s="1"/>
  <c r="O52" i="2"/>
  <c r="L52" i="2"/>
  <c r="H52" i="2"/>
  <c r="I52" i="2" s="1"/>
  <c r="O51" i="2"/>
  <c r="L51" i="2"/>
  <c r="H51" i="2"/>
  <c r="I51" i="2" s="1"/>
  <c r="O50" i="2"/>
  <c r="L50" i="2"/>
  <c r="H50" i="2"/>
  <c r="I50" i="2" s="1"/>
  <c r="O49" i="2"/>
  <c r="L49" i="2"/>
  <c r="H49" i="2"/>
  <c r="I49" i="2" s="1"/>
  <c r="O48" i="2"/>
  <c r="L48" i="2"/>
  <c r="H48" i="2"/>
  <c r="I48" i="2" s="1"/>
  <c r="O47" i="2"/>
  <c r="L47" i="2"/>
  <c r="H47" i="2"/>
  <c r="I47" i="2" s="1"/>
  <c r="O46" i="2"/>
  <c r="L46" i="2"/>
  <c r="H46" i="2"/>
  <c r="I46" i="2" s="1"/>
  <c r="O45" i="2"/>
  <c r="L45" i="2"/>
  <c r="H45" i="2"/>
  <c r="I45" i="2" s="1"/>
  <c r="O44" i="2"/>
  <c r="L44" i="2"/>
  <c r="H44" i="2"/>
  <c r="I44" i="2" s="1"/>
  <c r="O43" i="2"/>
  <c r="L43" i="2"/>
  <c r="H43" i="2"/>
  <c r="I43" i="2" s="1"/>
  <c r="O42" i="2"/>
  <c r="L42" i="2"/>
  <c r="H42" i="2"/>
  <c r="I42" i="2" s="1"/>
  <c r="O41" i="2"/>
  <c r="L41" i="2"/>
  <c r="H41" i="2"/>
  <c r="I41" i="2" s="1"/>
  <c r="O40" i="2"/>
  <c r="L40" i="2"/>
  <c r="H40" i="2"/>
  <c r="I40" i="2" s="1"/>
  <c r="O39" i="2"/>
  <c r="L39" i="2"/>
  <c r="H39" i="2"/>
  <c r="I39" i="2" s="1"/>
  <c r="O38" i="2"/>
  <c r="L38" i="2"/>
  <c r="H38" i="2"/>
  <c r="I38" i="2" s="1"/>
  <c r="O37" i="2"/>
  <c r="L37" i="2"/>
  <c r="H37" i="2"/>
  <c r="I37" i="2" s="1"/>
  <c r="O36" i="2"/>
  <c r="L36" i="2"/>
  <c r="H36" i="2"/>
  <c r="I36" i="2" s="1"/>
  <c r="O35" i="2"/>
  <c r="L35" i="2"/>
  <c r="H35" i="2"/>
  <c r="I35" i="2" s="1"/>
  <c r="O34" i="2"/>
  <c r="L34" i="2"/>
  <c r="H34" i="2"/>
  <c r="I34" i="2" s="1"/>
  <c r="O33" i="2"/>
  <c r="L33" i="2"/>
  <c r="H33" i="2"/>
  <c r="I33" i="2" s="1"/>
  <c r="O32" i="2"/>
  <c r="L32" i="2"/>
  <c r="H32" i="2"/>
  <c r="I32" i="2" s="1"/>
  <c r="O31" i="2"/>
  <c r="L31" i="2"/>
  <c r="H31" i="2"/>
  <c r="I31" i="2" s="1"/>
  <c r="O30" i="2"/>
  <c r="L30" i="2"/>
  <c r="H30" i="2"/>
  <c r="I30" i="2" s="1"/>
  <c r="O29" i="2"/>
  <c r="L29" i="2"/>
  <c r="H29" i="2"/>
  <c r="I29" i="2" s="1"/>
  <c r="O28" i="2"/>
  <c r="L28" i="2"/>
  <c r="H28" i="2"/>
  <c r="I28" i="2" s="1"/>
  <c r="O27" i="2"/>
  <c r="L27" i="2"/>
  <c r="H27" i="2"/>
  <c r="I27" i="2" s="1"/>
  <c r="O26" i="2"/>
  <c r="L26" i="2"/>
  <c r="H26" i="2"/>
  <c r="I26" i="2" s="1"/>
  <c r="O25" i="2"/>
  <c r="L25" i="2"/>
  <c r="H25" i="2"/>
  <c r="I25" i="2" s="1"/>
  <c r="O24" i="2"/>
  <c r="L24" i="2"/>
  <c r="H24" i="2"/>
  <c r="I24" i="2" s="1"/>
  <c r="O23" i="2"/>
  <c r="L23" i="2"/>
  <c r="H23" i="2"/>
  <c r="I23" i="2" s="1"/>
  <c r="O22" i="2"/>
  <c r="L22" i="2"/>
  <c r="H22" i="2"/>
  <c r="I22" i="2" s="1"/>
  <c r="O21" i="2"/>
  <c r="L21" i="2"/>
  <c r="H21" i="2"/>
  <c r="I21" i="2" s="1"/>
  <c r="O20" i="2"/>
  <c r="L20" i="2"/>
  <c r="H20" i="2"/>
  <c r="I20" i="2" s="1"/>
  <c r="O19" i="2"/>
  <c r="L19" i="2"/>
  <c r="H19" i="2"/>
  <c r="I19" i="2" s="1"/>
  <c r="O18" i="2"/>
  <c r="L18" i="2"/>
  <c r="H18" i="2"/>
  <c r="I18" i="2" s="1"/>
  <c r="O17" i="2"/>
  <c r="L17" i="2"/>
  <c r="H17" i="2"/>
  <c r="I17" i="2" s="1"/>
  <c r="O16" i="2"/>
  <c r="L16" i="2"/>
  <c r="H16" i="2"/>
  <c r="I16" i="2" s="1"/>
  <c r="O15" i="2"/>
  <c r="L15" i="2"/>
  <c r="H15" i="2"/>
  <c r="I15" i="2" s="1"/>
  <c r="O14" i="2"/>
  <c r="L14" i="2"/>
  <c r="H14" i="2"/>
  <c r="I14" i="2" s="1"/>
  <c r="O13" i="2"/>
  <c r="L13" i="2"/>
  <c r="H13" i="2"/>
  <c r="I13" i="2" s="1"/>
  <c r="O12" i="2"/>
  <c r="L12" i="2"/>
  <c r="H12" i="2"/>
  <c r="I12" i="2" s="1"/>
  <c r="O11" i="2"/>
  <c r="L11" i="2"/>
  <c r="H11" i="2"/>
  <c r="I11" i="2" s="1"/>
  <c r="O10" i="2"/>
  <c r="L10" i="2"/>
  <c r="H10" i="2"/>
  <c r="I10" i="2" s="1"/>
  <c r="O9" i="2"/>
  <c r="L9" i="2"/>
  <c r="H9" i="2"/>
  <c r="I9" i="2" s="1"/>
  <c r="O8" i="2"/>
  <c r="L8" i="2"/>
  <c r="H8" i="2"/>
  <c r="I8" i="2" s="1"/>
  <c r="O7" i="2"/>
  <c r="L7" i="2"/>
  <c r="H7" i="2"/>
  <c r="I7" i="2" s="1"/>
  <c r="O6" i="2"/>
  <c r="L6" i="2"/>
  <c r="H6" i="2"/>
  <c r="I6" i="2" s="1"/>
  <c r="O5" i="2"/>
  <c r="L5" i="2"/>
  <c r="H5" i="2"/>
  <c r="I5" i="2" s="1"/>
  <c r="I483" i="3" l="1"/>
  <c r="L483" i="3"/>
  <c r="E530" i="2"/>
  <c r="Q526" i="3"/>
  <c r="P508" i="2"/>
  <c r="Q506" i="2"/>
  <c r="P529" i="2"/>
  <c r="Q505" i="3"/>
  <c r="P338" i="2"/>
  <c r="Q338" i="2" s="1"/>
  <c r="P58" i="2"/>
  <c r="Q58" i="2" s="1"/>
  <c r="P468" i="3"/>
  <c r="Q468" i="3" s="1"/>
  <c r="P472" i="3"/>
  <c r="Q472" i="3" s="1"/>
  <c r="Q523" i="2"/>
  <c r="P372" i="2"/>
  <c r="Q372" i="2" s="1"/>
  <c r="K530" i="3"/>
  <c r="P98" i="2"/>
  <c r="Q98" i="2" s="1"/>
  <c r="P154" i="2"/>
  <c r="Q154" i="2" s="1"/>
  <c r="P172" i="2"/>
  <c r="Q172" i="2" s="1"/>
  <c r="P186" i="2"/>
  <c r="Q186" i="2" s="1"/>
  <c r="P210" i="2"/>
  <c r="Q210" i="2" s="1"/>
  <c r="P214" i="2"/>
  <c r="Q214" i="2" s="1"/>
  <c r="P236" i="2"/>
  <c r="Q236" i="2" s="1"/>
  <c r="P358" i="2"/>
  <c r="Q358" i="2" s="1"/>
  <c r="P404" i="2"/>
  <c r="Q404" i="2" s="1"/>
  <c r="P414" i="2"/>
  <c r="Q414" i="2" s="1"/>
  <c r="Q500" i="2"/>
  <c r="Q505" i="2"/>
  <c r="Q522" i="2"/>
  <c r="Q526" i="2"/>
  <c r="Q528" i="2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174" i="2"/>
  <c r="Q174" i="2" s="1"/>
  <c r="P175" i="2"/>
  <c r="Q175" i="2" s="1"/>
  <c r="P204" i="2"/>
  <c r="Q204" i="2" s="1"/>
  <c r="P278" i="2"/>
  <c r="Q278" i="2" s="1"/>
  <c r="P301" i="2"/>
  <c r="Q301" i="2" s="1"/>
  <c r="P343" i="2"/>
  <c r="Q343" i="2" s="1"/>
  <c r="N530" i="2"/>
  <c r="Q501" i="2"/>
  <c r="Q504" i="2"/>
  <c r="Q521" i="2"/>
  <c r="Q525" i="2"/>
  <c r="Q527" i="2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9" i="3"/>
  <c r="Q500" i="3"/>
  <c r="Q521" i="3"/>
  <c r="Q523" i="3"/>
  <c r="Q525" i="3"/>
  <c r="K530" i="2"/>
  <c r="J530" i="2"/>
  <c r="P295" i="2"/>
  <c r="Q295" i="2" s="1"/>
  <c r="P5" i="2"/>
  <c r="Q5" i="2" s="1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26" i="2"/>
  <c r="Q26" i="2" s="1"/>
  <c r="P63" i="2"/>
  <c r="Q63" i="2" s="1"/>
  <c r="P64" i="2"/>
  <c r="Q64" i="2" s="1"/>
  <c r="P70" i="2"/>
  <c r="Q70" i="2" s="1"/>
  <c r="P71" i="2"/>
  <c r="Q71" i="2" s="1"/>
  <c r="P72" i="2"/>
  <c r="Q72" i="2" s="1"/>
  <c r="P94" i="2"/>
  <c r="Q94" i="2" s="1"/>
  <c r="P95" i="2"/>
  <c r="Q95" i="2" s="1"/>
  <c r="P96" i="2"/>
  <c r="Q96" i="2" s="1"/>
  <c r="P106" i="2"/>
  <c r="Q106" i="2" s="1"/>
  <c r="P212" i="2"/>
  <c r="Q212" i="2" s="1"/>
  <c r="P299" i="2"/>
  <c r="Q299" i="2" s="1"/>
  <c r="P340" i="2"/>
  <c r="Q340" i="2" s="1"/>
  <c r="P348" i="2"/>
  <c r="Q348" i="2" s="1"/>
  <c r="P354" i="2"/>
  <c r="Q354" i="2" s="1"/>
  <c r="P355" i="2"/>
  <c r="Q355" i="2" s="1"/>
  <c r="P363" i="2"/>
  <c r="Q363" i="2" s="1"/>
  <c r="P364" i="2"/>
  <c r="Q364" i="2" s="1"/>
  <c r="P422" i="2"/>
  <c r="Q422" i="2" s="1"/>
  <c r="P366" i="2"/>
  <c r="Q366" i="2" s="1"/>
  <c r="P382" i="2"/>
  <c r="Q382" i="2" s="1"/>
  <c r="P438" i="2"/>
  <c r="Q438" i="2" s="1"/>
  <c r="P146" i="2"/>
  <c r="Q146" i="2" s="1"/>
  <c r="P276" i="2"/>
  <c r="Q276" i="2" s="1"/>
  <c r="P445" i="2"/>
  <c r="Q445" i="2" s="1"/>
  <c r="P470" i="3"/>
  <c r="Q470" i="3" s="1"/>
  <c r="H529" i="2"/>
  <c r="P7" i="2"/>
  <c r="Q7" i="2" s="1"/>
  <c r="P6" i="2"/>
  <c r="Q6" i="2" s="1"/>
  <c r="P188" i="2"/>
  <c r="Q188" i="2" s="1"/>
  <c r="P262" i="2"/>
  <c r="Q262" i="2" s="1"/>
  <c r="P390" i="2"/>
  <c r="Q390" i="2" s="1"/>
  <c r="P450" i="2"/>
  <c r="Q450" i="2" s="1"/>
  <c r="P58" i="3"/>
  <c r="Q58" i="3" s="1"/>
  <c r="P223" i="3"/>
  <c r="Q223" i="3" s="1"/>
  <c r="P236" i="3"/>
  <c r="Q236" i="3" s="1"/>
  <c r="P248" i="3"/>
  <c r="Q248" i="3" s="1"/>
  <c r="P252" i="3"/>
  <c r="Q252" i="3" s="1"/>
  <c r="P34" i="2"/>
  <c r="Q34" i="2" s="1"/>
  <c r="P42" i="2"/>
  <c r="Q42" i="2" s="1"/>
  <c r="P102" i="2"/>
  <c r="Q102" i="2" s="1"/>
  <c r="P103" i="2"/>
  <c r="Q103" i="2" s="1"/>
  <c r="P104" i="2"/>
  <c r="Q104" i="2" s="1"/>
  <c r="P134" i="2"/>
  <c r="Q134" i="2" s="1"/>
  <c r="P135" i="2"/>
  <c r="Q135" i="2" s="1"/>
  <c r="P136" i="2"/>
  <c r="Q136" i="2" s="1"/>
  <c r="P138" i="2"/>
  <c r="Q138" i="2" s="1"/>
  <c r="P142" i="2"/>
  <c r="Q142" i="2" s="1"/>
  <c r="P252" i="2"/>
  <c r="Q252" i="2" s="1"/>
  <c r="P258" i="2"/>
  <c r="Q258" i="2" s="1"/>
  <c r="P259" i="2"/>
  <c r="Q259" i="2" s="1"/>
  <c r="P260" i="2"/>
  <c r="Q260" i="2" s="1"/>
  <c r="P266" i="2"/>
  <c r="Q266" i="2" s="1"/>
  <c r="P267" i="2"/>
  <c r="Q267" i="2" s="1"/>
  <c r="P268" i="2"/>
  <c r="Q268" i="2" s="1"/>
  <c r="P302" i="2"/>
  <c r="Q302" i="2" s="1"/>
  <c r="P320" i="2"/>
  <c r="Q320" i="2" s="1"/>
  <c r="P324" i="2"/>
  <c r="Q324" i="2" s="1"/>
  <c r="P380" i="2"/>
  <c r="Q380" i="2" s="1"/>
  <c r="Q499" i="2"/>
  <c r="Q524" i="2"/>
  <c r="P199" i="3"/>
  <c r="Q199" i="3" s="1"/>
  <c r="P209" i="3"/>
  <c r="Q209" i="3" s="1"/>
  <c r="P218" i="2"/>
  <c r="Q218" i="2" s="1"/>
  <c r="P223" i="2"/>
  <c r="Q223" i="2" s="1"/>
  <c r="P224" i="2"/>
  <c r="Q224" i="2" s="1"/>
  <c r="P239" i="2"/>
  <c r="Q239" i="2" s="1"/>
  <c r="P379" i="2"/>
  <c r="Q379" i="2" s="1"/>
  <c r="H508" i="2"/>
  <c r="I498" i="2"/>
  <c r="Q498" i="2" s="1"/>
  <c r="Q503" i="2"/>
  <c r="Q520" i="2"/>
  <c r="P241" i="3"/>
  <c r="Q241" i="3" s="1"/>
  <c r="P245" i="3"/>
  <c r="Q245" i="3" s="1"/>
  <c r="P273" i="3"/>
  <c r="Q273" i="3" s="1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30" i="3"/>
  <c r="N530" i="3"/>
  <c r="P383" i="2"/>
  <c r="Q383" i="2" s="1"/>
  <c r="M530" i="2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502" i="3"/>
  <c r="Q522" i="3"/>
  <c r="Q524" i="3"/>
  <c r="Q528" i="3"/>
  <c r="P41" i="3"/>
  <c r="Q41" i="3" s="1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46" i="2"/>
  <c r="Q46" i="2" s="1"/>
  <c r="P47" i="2"/>
  <c r="Q47" i="2" s="1"/>
  <c r="P48" i="2"/>
  <c r="Q48" i="2" s="1"/>
  <c r="P54" i="2"/>
  <c r="Q54" i="2" s="1"/>
  <c r="P122" i="2"/>
  <c r="Q122" i="2" s="1"/>
  <c r="P130" i="2"/>
  <c r="Q130" i="2" s="1"/>
  <c r="P166" i="2"/>
  <c r="Q166" i="2" s="1"/>
  <c r="P167" i="2"/>
  <c r="Q167" i="2" s="1"/>
  <c r="P168" i="2"/>
  <c r="Q168" i="2" s="1"/>
  <c r="P191" i="2"/>
  <c r="Q191" i="2" s="1"/>
  <c r="P192" i="2"/>
  <c r="Q192" i="2" s="1"/>
  <c r="P198" i="2"/>
  <c r="Q198" i="2" s="1"/>
  <c r="P199" i="2"/>
  <c r="Q199" i="2" s="1"/>
  <c r="P200" i="2"/>
  <c r="Q200" i="2" s="1"/>
  <c r="P242" i="2"/>
  <c r="Q242" i="2" s="1"/>
  <c r="P243" i="2"/>
  <c r="Q243" i="2" s="1"/>
  <c r="P244" i="2"/>
  <c r="Q244" i="2" s="1"/>
  <c r="P270" i="2"/>
  <c r="Q270" i="2" s="1"/>
  <c r="P279" i="2"/>
  <c r="Q279" i="2" s="1"/>
  <c r="P300" i="2"/>
  <c r="Q300" i="2" s="1"/>
  <c r="P305" i="2"/>
  <c r="Q305" i="2" s="1"/>
  <c r="P306" i="2"/>
  <c r="Q306" i="2" s="1"/>
  <c r="P329" i="2"/>
  <c r="Q329" i="2" s="1"/>
  <c r="P371" i="2"/>
  <c r="Q371" i="2" s="1"/>
  <c r="P385" i="2"/>
  <c r="Q385" i="2" s="1"/>
  <c r="P386" i="2"/>
  <c r="Q386" i="2" s="1"/>
  <c r="P387" i="2"/>
  <c r="Q387" i="2" s="1"/>
  <c r="P392" i="2"/>
  <c r="Q392" i="2" s="1"/>
  <c r="P428" i="2"/>
  <c r="Q428" i="2" s="1"/>
  <c r="P432" i="2"/>
  <c r="Q432" i="2" s="1"/>
  <c r="P435" i="2"/>
  <c r="Q435" i="2" s="1"/>
  <c r="P446" i="2"/>
  <c r="Q446" i="2" s="1"/>
  <c r="P453" i="2"/>
  <c r="Q453" i="2" s="1"/>
  <c r="P17" i="2"/>
  <c r="Q17" i="2" s="1"/>
  <c r="P84" i="2"/>
  <c r="Q84" i="2" s="1"/>
  <c r="P150" i="2"/>
  <c r="Q150" i="2" s="1"/>
  <c r="P159" i="2"/>
  <c r="Q159" i="2" s="1"/>
  <c r="P160" i="2"/>
  <c r="Q160" i="2" s="1"/>
  <c r="P162" i="2"/>
  <c r="Q162" i="2" s="1"/>
  <c r="P164" i="2"/>
  <c r="Q164" i="2" s="1"/>
  <c r="P227" i="2"/>
  <c r="Q227" i="2" s="1"/>
  <c r="P238" i="2"/>
  <c r="Q238" i="2" s="1"/>
  <c r="P255" i="2"/>
  <c r="Q255" i="2" s="1"/>
  <c r="P292" i="2"/>
  <c r="Q292" i="2" s="1"/>
  <c r="P296" i="2"/>
  <c r="Q296" i="2" s="1"/>
  <c r="P297" i="2"/>
  <c r="Q297" i="2" s="1"/>
  <c r="P360" i="2"/>
  <c r="Q360" i="2" s="1"/>
  <c r="P15" i="2"/>
  <c r="Q15" i="2" s="1"/>
  <c r="P74" i="2"/>
  <c r="Q74" i="2" s="1"/>
  <c r="P82" i="2"/>
  <c r="Q82" i="2" s="1"/>
  <c r="P90" i="2"/>
  <c r="Q90" i="2" s="1"/>
  <c r="P108" i="2"/>
  <c r="Q108" i="2" s="1"/>
  <c r="P116" i="2"/>
  <c r="Q116" i="2" s="1"/>
  <c r="P124" i="2"/>
  <c r="Q124" i="2" s="1"/>
  <c r="P178" i="2"/>
  <c r="Q178" i="2" s="1"/>
  <c r="P182" i="2"/>
  <c r="Q182" i="2" s="1"/>
  <c r="P254" i="2"/>
  <c r="Q254" i="2" s="1"/>
  <c r="P271" i="2"/>
  <c r="Q271" i="2" s="1"/>
  <c r="P283" i="2"/>
  <c r="Q283" i="2" s="1"/>
  <c r="P284" i="2"/>
  <c r="Q284" i="2" s="1"/>
  <c r="P285" i="2"/>
  <c r="Q285" i="2" s="1"/>
  <c r="P307" i="2"/>
  <c r="Q307" i="2" s="1"/>
  <c r="P311" i="2"/>
  <c r="Q311" i="2" s="1"/>
  <c r="P313" i="2"/>
  <c r="Q313" i="2" s="1"/>
  <c r="P314" i="2"/>
  <c r="Q314" i="2" s="1"/>
  <c r="P330" i="2"/>
  <c r="Q330" i="2" s="1"/>
  <c r="P359" i="2"/>
  <c r="Q359" i="2" s="1"/>
  <c r="P408" i="2"/>
  <c r="Q408" i="2" s="1"/>
  <c r="P411" i="2"/>
  <c r="Q411" i="2" s="1"/>
  <c r="P412" i="2"/>
  <c r="Q412" i="2" s="1"/>
  <c r="P415" i="2"/>
  <c r="Q415" i="2" s="1"/>
  <c r="P430" i="2"/>
  <c r="Q430" i="2" s="1"/>
  <c r="P443" i="2"/>
  <c r="Q443" i="2" s="1"/>
  <c r="P170" i="2"/>
  <c r="Q170" i="2" s="1"/>
  <c r="P56" i="2"/>
  <c r="Q56" i="2" s="1"/>
  <c r="P76" i="2"/>
  <c r="Q76" i="2" s="1"/>
  <c r="P396" i="2"/>
  <c r="Q396" i="2" s="1"/>
  <c r="P344" i="2"/>
  <c r="Q344" i="2" s="1"/>
  <c r="P282" i="2"/>
  <c r="Q282" i="2" s="1"/>
  <c r="P180" i="2"/>
  <c r="Q180" i="2" s="1"/>
  <c r="P406" i="2"/>
  <c r="Q406" i="2" s="1"/>
  <c r="P114" i="2"/>
  <c r="Q114" i="2" s="1"/>
  <c r="P156" i="2"/>
  <c r="Q156" i="2" s="1"/>
  <c r="P246" i="2"/>
  <c r="Q246" i="2" s="1"/>
  <c r="P220" i="2"/>
  <c r="Q220" i="2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18" i="2"/>
  <c r="Q18" i="2" s="1"/>
  <c r="P19" i="2"/>
  <c r="Q19" i="2" s="1"/>
  <c r="P21" i="2"/>
  <c r="Q21" i="2" s="1"/>
  <c r="P38" i="2"/>
  <c r="Q38" i="2" s="1"/>
  <c r="P39" i="2"/>
  <c r="Q39" i="2" s="1"/>
  <c r="P66" i="2"/>
  <c r="Q66" i="2" s="1"/>
  <c r="P86" i="2"/>
  <c r="Q86" i="2" s="1"/>
  <c r="P87" i="2"/>
  <c r="Q87" i="2" s="1"/>
  <c r="P88" i="2"/>
  <c r="Q88" i="2" s="1"/>
  <c r="P127" i="2"/>
  <c r="Q127" i="2" s="1"/>
  <c r="P128" i="2"/>
  <c r="Q128" i="2" s="1"/>
  <c r="P194" i="2"/>
  <c r="Q194" i="2" s="1"/>
  <c r="P247" i="2"/>
  <c r="Q247" i="2" s="1"/>
  <c r="P263" i="2"/>
  <c r="Q263" i="2" s="1"/>
  <c r="P274" i="2"/>
  <c r="Q274" i="2" s="1"/>
  <c r="P275" i="2"/>
  <c r="Q275" i="2" s="1"/>
  <c r="P288" i="2"/>
  <c r="Q288" i="2" s="1"/>
  <c r="P289" i="2"/>
  <c r="Q289" i="2" s="1"/>
  <c r="P334" i="2"/>
  <c r="Q334" i="2" s="1"/>
  <c r="P375" i="2"/>
  <c r="Q375" i="2" s="1"/>
  <c r="P376" i="2"/>
  <c r="Q376" i="2" s="1"/>
  <c r="P403" i="2"/>
  <c r="Q403" i="2" s="1"/>
  <c r="P440" i="2"/>
  <c r="Q440" i="2" s="1"/>
  <c r="P448" i="2"/>
  <c r="Q448" i="2" s="1"/>
  <c r="P24" i="2"/>
  <c r="Q24" i="2" s="1"/>
  <c r="P44" i="2"/>
  <c r="Q44" i="2" s="1"/>
  <c r="P92" i="2"/>
  <c r="Q92" i="2" s="1"/>
  <c r="P132" i="2"/>
  <c r="Q132" i="2" s="1"/>
  <c r="P230" i="2"/>
  <c r="Q230" i="2" s="1"/>
  <c r="P287" i="2"/>
  <c r="Q287" i="2" s="1"/>
  <c r="P293" i="2"/>
  <c r="Q293" i="2" s="1"/>
  <c r="P326" i="2"/>
  <c r="Q326" i="2" s="1"/>
  <c r="P332" i="2"/>
  <c r="Q332" i="2" s="1"/>
  <c r="P336" i="2"/>
  <c r="Q336" i="2" s="1"/>
  <c r="P374" i="2"/>
  <c r="Q374" i="2" s="1"/>
  <c r="P388" i="2"/>
  <c r="Q388" i="2" s="1"/>
  <c r="P395" i="2"/>
  <c r="Q395" i="2" s="1"/>
  <c r="P400" i="2"/>
  <c r="Q400" i="2" s="1"/>
  <c r="P416" i="2"/>
  <c r="Q416" i="2" s="1"/>
  <c r="P417" i="2"/>
  <c r="Q417" i="2" s="1"/>
  <c r="P418" i="2"/>
  <c r="Q418" i="2" s="1"/>
  <c r="P419" i="2"/>
  <c r="Q419" i="2" s="1"/>
  <c r="P420" i="2"/>
  <c r="Q420" i="2" s="1"/>
  <c r="P455" i="2"/>
  <c r="Q455" i="2" s="1"/>
  <c r="P457" i="2"/>
  <c r="Q457" i="2" s="1"/>
  <c r="P460" i="2"/>
  <c r="Q460" i="2" s="1"/>
  <c r="P462" i="2"/>
  <c r="Q462" i="2" s="1"/>
  <c r="P463" i="2"/>
  <c r="Q463" i="2" s="1"/>
  <c r="P471" i="2"/>
  <c r="Q471" i="2" s="1"/>
  <c r="P10" i="2"/>
  <c r="Q10" i="2" s="1"/>
  <c r="P11" i="2"/>
  <c r="Q11" i="2" s="1"/>
  <c r="P12" i="2"/>
  <c r="Q12" i="2" s="1"/>
  <c r="P13" i="2"/>
  <c r="Q13" i="2" s="1"/>
  <c r="P27" i="2"/>
  <c r="Q27" i="2" s="1"/>
  <c r="P31" i="2"/>
  <c r="Q31" i="2" s="1"/>
  <c r="P32" i="2"/>
  <c r="Q32" i="2" s="1"/>
  <c r="P50" i="2"/>
  <c r="Q50" i="2" s="1"/>
  <c r="P60" i="2"/>
  <c r="Q60" i="2" s="1"/>
  <c r="P68" i="2"/>
  <c r="Q68" i="2" s="1"/>
  <c r="P78" i="2"/>
  <c r="Q78" i="2" s="1"/>
  <c r="P79" i="2"/>
  <c r="Q79" i="2" s="1"/>
  <c r="P80" i="2"/>
  <c r="Q80" i="2" s="1"/>
  <c r="P100" i="2"/>
  <c r="Q100" i="2" s="1"/>
  <c r="P110" i="2"/>
  <c r="Q110" i="2" s="1"/>
  <c r="P111" i="2"/>
  <c r="Q111" i="2" s="1"/>
  <c r="P112" i="2"/>
  <c r="Q112" i="2" s="1"/>
  <c r="P118" i="2"/>
  <c r="Q118" i="2" s="1"/>
  <c r="P119" i="2"/>
  <c r="Q119" i="2" s="1"/>
  <c r="P120" i="2"/>
  <c r="Q120" i="2" s="1"/>
  <c r="P140" i="2"/>
  <c r="Q140" i="2" s="1"/>
  <c r="P148" i="2"/>
  <c r="Q148" i="2" s="1"/>
  <c r="P158" i="2"/>
  <c r="Q158" i="2" s="1"/>
  <c r="P190" i="2"/>
  <c r="Q190" i="2" s="1"/>
  <c r="P206" i="2"/>
  <c r="Q206" i="2" s="1"/>
  <c r="P207" i="2"/>
  <c r="Q207" i="2" s="1"/>
  <c r="P208" i="2"/>
  <c r="Q208" i="2" s="1"/>
  <c r="P226" i="2"/>
  <c r="Q226" i="2" s="1"/>
  <c r="P232" i="2"/>
  <c r="Q232" i="2" s="1"/>
  <c r="P235" i="2"/>
  <c r="Q235" i="2" s="1"/>
  <c r="P250" i="2"/>
  <c r="Q250" i="2" s="1"/>
  <c r="P251" i="2"/>
  <c r="Q251" i="2" s="1"/>
  <c r="P298" i="2"/>
  <c r="Q298" i="2" s="1"/>
  <c r="P322" i="2"/>
  <c r="Q322" i="2" s="1"/>
  <c r="P346" i="2"/>
  <c r="Q346" i="2" s="1"/>
  <c r="P368" i="2"/>
  <c r="Q368" i="2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434" i="2"/>
  <c r="Q434" i="2" s="1"/>
  <c r="P315" i="2"/>
  <c r="Q315" i="2" s="1"/>
  <c r="P228" i="2"/>
  <c r="Q228" i="2" s="1"/>
  <c r="P126" i="2"/>
  <c r="Q126" i="2" s="1"/>
  <c r="P55" i="2"/>
  <c r="Q55" i="2" s="1"/>
  <c r="P36" i="2"/>
  <c r="Q36" i="2" s="1"/>
  <c r="Q474" i="2"/>
  <c r="P468" i="2"/>
  <c r="Q468" i="2" s="1"/>
  <c r="P353" i="2"/>
  <c r="Q353" i="2" s="1"/>
  <c r="P222" i="2"/>
  <c r="Q222" i="2" s="1"/>
  <c r="P319" i="2"/>
  <c r="Q319" i="2" s="1"/>
  <c r="P30" i="2"/>
  <c r="Q30" i="2" s="1"/>
  <c r="P427" i="2"/>
  <c r="Q427" i="2" s="1"/>
  <c r="P196" i="2"/>
  <c r="Q196" i="2" s="1"/>
  <c r="P290" i="2"/>
  <c r="Q290" i="2" s="1"/>
  <c r="P176" i="2"/>
  <c r="Q176" i="2" s="1"/>
  <c r="P9" i="2"/>
  <c r="Q9" i="2" s="1"/>
  <c r="P398" i="2"/>
  <c r="Q398" i="2" s="1"/>
  <c r="P52" i="2"/>
  <c r="Q52" i="2" s="1"/>
  <c r="P473" i="2"/>
  <c r="Q473" i="2" s="1"/>
  <c r="P465" i="2"/>
  <c r="Q465" i="2" s="1"/>
  <c r="P452" i="2"/>
  <c r="Q452" i="2" s="1"/>
  <c r="P424" i="2"/>
  <c r="Q424" i="2" s="1"/>
  <c r="P378" i="2"/>
  <c r="Q378" i="2" s="1"/>
  <c r="P202" i="2"/>
  <c r="Q202" i="2" s="1"/>
  <c r="P62" i="2"/>
  <c r="Q62" i="2" s="1"/>
  <c r="P40" i="2"/>
  <c r="Q40" i="2" s="1"/>
  <c r="P20" i="2"/>
  <c r="Q20" i="2" s="1"/>
  <c r="P436" i="2"/>
  <c r="Q436" i="2" s="1"/>
  <c r="P8" i="2"/>
  <c r="Q8" i="2" s="1"/>
  <c r="P16" i="2"/>
  <c r="Q16" i="2" s="1"/>
  <c r="P25" i="2"/>
  <c r="Q25" i="2" s="1"/>
  <c r="P35" i="2"/>
  <c r="Q35" i="2" s="1"/>
  <c r="P43" i="2"/>
  <c r="Q43" i="2" s="1"/>
  <c r="P51" i="2"/>
  <c r="Q51" i="2" s="1"/>
  <c r="P59" i="2"/>
  <c r="Q59" i="2" s="1"/>
  <c r="P67" i="2"/>
  <c r="Q67" i="2" s="1"/>
  <c r="P75" i="2"/>
  <c r="Q75" i="2" s="1"/>
  <c r="P83" i="2"/>
  <c r="Q83" i="2" s="1"/>
  <c r="P91" i="2"/>
  <c r="Q91" i="2" s="1"/>
  <c r="P99" i="2"/>
  <c r="Q99" i="2" s="1"/>
  <c r="P107" i="2"/>
  <c r="Q107" i="2" s="1"/>
  <c r="P115" i="2"/>
  <c r="Q115" i="2" s="1"/>
  <c r="P123" i="2"/>
  <c r="Q123" i="2" s="1"/>
  <c r="P131" i="2"/>
  <c r="Q131" i="2" s="1"/>
  <c r="P151" i="2"/>
  <c r="Q151" i="2" s="1"/>
  <c r="P152" i="2"/>
  <c r="Q152" i="2" s="1"/>
  <c r="P183" i="2"/>
  <c r="Q183" i="2" s="1"/>
  <c r="P184" i="2"/>
  <c r="Q184" i="2" s="1"/>
  <c r="P215" i="2"/>
  <c r="Q215" i="2" s="1"/>
  <c r="P216" i="2"/>
  <c r="Q216" i="2" s="1"/>
  <c r="P240" i="2"/>
  <c r="Q240" i="2" s="1"/>
  <c r="P256" i="2"/>
  <c r="Q256" i="2" s="1"/>
  <c r="P272" i="2"/>
  <c r="Q272" i="2" s="1"/>
  <c r="P303" i="2"/>
  <c r="Q303" i="2" s="1"/>
  <c r="P28" i="2"/>
  <c r="Q28" i="2" s="1"/>
  <c r="P14" i="2"/>
  <c r="Q14" i="2" s="1"/>
  <c r="P22" i="2"/>
  <c r="Q22" i="2" s="1"/>
  <c r="P23" i="2"/>
  <c r="Q23" i="2" s="1"/>
  <c r="P143" i="2"/>
  <c r="Q143" i="2" s="1"/>
  <c r="P144" i="2"/>
  <c r="Q144" i="2" s="1"/>
  <c r="P347" i="2"/>
  <c r="Q347" i="2" s="1"/>
  <c r="P351" i="2"/>
  <c r="Q351" i="2" s="1"/>
  <c r="P139" i="2"/>
  <c r="Q139" i="2" s="1"/>
  <c r="P147" i="2"/>
  <c r="Q147" i="2" s="1"/>
  <c r="P155" i="2"/>
  <c r="Q155" i="2" s="1"/>
  <c r="P163" i="2"/>
  <c r="Q163" i="2" s="1"/>
  <c r="P171" i="2"/>
  <c r="Q171" i="2" s="1"/>
  <c r="P179" i="2"/>
  <c r="Q179" i="2" s="1"/>
  <c r="P187" i="2"/>
  <c r="Q187" i="2" s="1"/>
  <c r="P195" i="2"/>
  <c r="Q195" i="2" s="1"/>
  <c r="P203" i="2"/>
  <c r="Q203" i="2" s="1"/>
  <c r="P211" i="2"/>
  <c r="Q211" i="2" s="1"/>
  <c r="P219" i="2"/>
  <c r="Q219" i="2" s="1"/>
  <c r="P231" i="2"/>
  <c r="Q231" i="2" s="1"/>
  <c r="P234" i="2"/>
  <c r="Q234" i="2" s="1"/>
  <c r="P248" i="2"/>
  <c r="Q248" i="2" s="1"/>
  <c r="P264" i="2"/>
  <c r="Q264" i="2" s="1"/>
  <c r="P280" i="2"/>
  <c r="Q280" i="2" s="1"/>
  <c r="P304" i="2"/>
  <c r="Q304" i="2" s="1"/>
  <c r="P384" i="2"/>
  <c r="Q384" i="2" s="1"/>
  <c r="P407" i="2"/>
  <c r="Q407" i="2" s="1"/>
  <c r="P410" i="2"/>
  <c r="Q410" i="2" s="1"/>
  <c r="P454" i="2"/>
  <c r="Q454" i="2" s="1"/>
  <c r="P469" i="2"/>
  <c r="Q469" i="2" s="1"/>
  <c r="P286" i="2"/>
  <c r="Q286" i="2" s="1"/>
  <c r="P294" i="2"/>
  <c r="Q294" i="2" s="1"/>
  <c r="P308" i="2"/>
  <c r="Q308" i="2" s="1"/>
  <c r="P310" i="2"/>
  <c r="Q310" i="2" s="1"/>
  <c r="P312" i="2"/>
  <c r="Q312" i="2" s="1"/>
  <c r="P323" i="2"/>
  <c r="Q323" i="2" s="1"/>
  <c r="P327" i="2"/>
  <c r="Q327" i="2" s="1"/>
  <c r="P337" i="2"/>
  <c r="Q337" i="2" s="1"/>
  <c r="P339" i="2"/>
  <c r="Q339" i="2" s="1"/>
  <c r="P367" i="2"/>
  <c r="Q367" i="2" s="1"/>
  <c r="P369" i="2"/>
  <c r="Q369" i="2" s="1"/>
  <c r="P370" i="2"/>
  <c r="Q370" i="2" s="1"/>
  <c r="P399" i="2"/>
  <c r="Q399" i="2" s="1"/>
  <c r="P401" i="2"/>
  <c r="Q401" i="2" s="1"/>
  <c r="P402" i="2"/>
  <c r="Q402" i="2" s="1"/>
  <c r="P431" i="2"/>
  <c r="Q431" i="2" s="1"/>
  <c r="P437" i="2"/>
  <c r="Q437" i="2" s="1"/>
  <c r="P439" i="2"/>
  <c r="Q439" i="2" s="1"/>
  <c r="P441" i="2"/>
  <c r="Q441" i="2" s="1"/>
  <c r="P451" i="2"/>
  <c r="Q451" i="2" s="1"/>
  <c r="P467" i="2"/>
  <c r="Q467" i="2" s="1"/>
  <c r="P470" i="2"/>
  <c r="Q470" i="2" s="1"/>
  <c r="P472" i="2"/>
  <c r="Q472" i="2" s="1"/>
  <c r="P350" i="2"/>
  <c r="Q350" i="2" s="1"/>
  <c r="P352" i="2"/>
  <c r="Q352" i="2" s="1"/>
  <c r="P362" i="2"/>
  <c r="Q362" i="2" s="1"/>
  <c r="P391" i="2"/>
  <c r="Q391" i="2" s="1"/>
  <c r="P394" i="2"/>
  <c r="Q394" i="2" s="1"/>
  <c r="P423" i="2"/>
  <c r="Q423" i="2" s="1"/>
  <c r="P426" i="2"/>
  <c r="Q426" i="2" s="1"/>
  <c r="P456" i="2"/>
  <c r="Q456" i="2" s="1"/>
  <c r="P316" i="2"/>
  <c r="Q316" i="2" s="1"/>
  <c r="P318" i="2"/>
  <c r="Q318" i="2" s="1"/>
  <c r="P321" i="2"/>
  <c r="Q321" i="2" s="1"/>
  <c r="P328" i="2"/>
  <c r="Q328" i="2" s="1"/>
  <c r="P331" i="2"/>
  <c r="Q331" i="2" s="1"/>
  <c r="P335" i="2"/>
  <c r="Q335" i="2" s="1"/>
  <c r="P342" i="2"/>
  <c r="Q342" i="2" s="1"/>
  <c r="P345" i="2"/>
  <c r="Q345" i="2" s="1"/>
  <c r="P356" i="2"/>
  <c r="Q356" i="2" s="1"/>
  <c r="P365" i="2"/>
  <c r="Q365" i="2" s="1"/>
  <c r="P381" i="2"/>
  <c r="Q381" i="2" s="1"/>
  <c r="P389" i="2"/>
  <c r="Q389" i="2" s="1"/>
  <c r="P397" i="2"/>
  <c r="Q397" i="2" s="1"/>
  <c r="P413" i="2"/>
  <c r="Q413" i="2" s="1"/>
  <c r="P421" i="2"/>
  <c r="Q421" i="2" s="1"/>
  <c r="P429" i="2"/>
  <c r="Q429" i="2" s="1"/>
  <c r="P442" i="2"/>
  <c r="Q442" i="2" s="1"/>
  <c r="P444" i="2"/>
  <c r="Q444" i="2" s="1"/>
  <c r="P447" i="2"/>
  <c r="Q447" i="2" s="1"/>
  <c r="P449" i="2"/>
  <c r="Q449" i="2" s="1"/>
  <c r="P458" i="2"/>
  <c r="Q458" i="2" s="1"/>
  <c r="P461" i="2"/>
  <c r="Q461" i="2" s="1"/>
  <c r="P464" i="2"/>
  <c r="Q464" i="2" s="1"/>
  <c r="P466" i="2"/>
  <c r="Q466" i="2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P42" i="3"/>
  <c r="Q42" i="3" s="1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I529" i="2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P53" i="2"/>
  <c r="Q53" i="2" s="1"/>
  <c r="P57" i="2"/>
  <c r="Q57" i="2" s="1"/>
  <c r="P61" i="2"/>
  <c r="Q61" i="2" s="1"/>
  <c r="P65" i="2"/>
  <c r="Q65" i="2" s="1"/>
  <c r="P69" i="2"/>
  <c r="Q69" i="2" s="1"/>
  <c r="P73" i="2"/>
  <c r="Q73" i="2" s="1"/>
  <c r="P77" i="2"/>
  <c r="Q77" i="2" s="1"/>
  <c r="P81" i="2"/>
  <c r="Q81" i="2" s="1"/>
  <c r="P85" i="2"/>
  <c r="Q85" i="2" s="1"/>
  <c r="P89" i="2"/>
  <c r="Q89" i="2" s="1"/>
  <c r="P93" i="2"/>
  <c r="Q93" i="2" s="1"/>
  <c r="P97" i="2"/>
  <c r="Q97" i="2" s="1"/>
  <c r="P101" i="2"/>
  <c r="Q101" i="2" s="1"/>
  <c r="P105" i="2"/>
  <c r="Q105" i="2" s="1"/>
  <c r="P109" i="2"/>
  <c r="Q109" i="2" s="1"/>
  <c r="P113" i="2"/>
  <c r="Q113" i="2" s="1"/>
  <c r="P117" i="2"/>
  <c r="Q117" i="2" s="1"/>
  <c r="P121" i="2"/>
  <c r="Q121" i="2" s="1"/>
  <c r="P125" i="2"/>
  <c r="Q125" i="2" s="1"/>
  <c r="P129" i="2"/>
  <c r="Q129" i="2" s="1"/>
  <c r="P133" i="2"/>
  <c r="Q133" i="2" s="1"/>
  <c r="P137" i="2"/>
  <c r="Q137" i="2" s="1"/>
  <c r="P141" i="2"/>
  <c r="Q141" i="2" s="1"/>
  <c r="P145" i="2"/>
  <c r="Q145" i="2" s="1"/>
  <c r="P149" i="2"/>
  <c r="Q149" i="2" s="1"/>
  <c r="P153" i="2"/>
  <c r="Q153" i="2" s="1"/>
  <c r="P157" i="2"/>
  <c r="Q157" i="2" s="1"/>
  <c r="P161" i="2"/>
  <c r="Q161" i="2" s="1"/>
  <c r="P165" i="2"/>
  <c r="Q165" i="2" s="1"/>
  <c r="P169" i="2"/>
  <c r="Q169" i="2" s="1"/>
  <c r="P173" i="2"/>
  <c r="Q173" i="2" s="1"/>
  <c r="P177" i="2"/>
  <c r="Q177" i="2" s="1"/>
  <c r="P181" i="2"/>
  <c r="Q181" i="2" s="1"/>
  <c r="P185" i="2"/>
  <c r="Q185" i="2" s="1"/>
  <c r="P189" i="2"/>
  <c r="Q189" i="2" s="1"/>
  <c r="P193" i="2"/>
  <c r="Q193" i="2" s="1"/>
  <c r="P197" i="2"/>
  <c r="Q197" i="2" s="1"/>
  <c r="P201" i="2"/>
  <c r="Q201" i="2" s="1"/>
  <c r="P205" i="2"/>
  <c r="Q205" i="2" s="1"/>
  <c r="P209" i="2"/>
  <c r="Q209" i="2" s="1"/>
  <c r="P213" i="2"/>
  <c r="Q213" i="2" s="1"/>
  <c r="P217" i="2"/>
  <c r="Q217" i="2" s="1"/>
  <c r="P221" i="2"/>
  <c r="Q221" i="2" s="1"/>
  <c r="P225" i="2"/>
  <c r="Q225" i="2" s="1"/>
  <c r="P229" i="2"/>
  <c r="Q229" i="2" s="1"/>
  <c r="P233" i="2"/>
  <c r="Q233" i="2" s="1"/>
  <c r="P237" i="2"/>
  <c r="Q237" i="2" s="1"/>
  <c r="P241" i="2"/>
  <c r="Q241" i="2" s="1"/>
  <c r="P245" i="2"/>
  <c r="Q245" i="2" s="1"/>
  <c r="P249" i="2"/>
  <c r="Q249" i="2" s="1"/>
  <c r="P253" i="2"/>
  <c r="Q253" i="2" s="1"/>
  <c r="P257" i="2"/>
  <c r="Q257" i="2" s="1"/>
  <c r="P261" i="2"/>
  <c r="Q261" i="2" s="1"/>
  <c r="P265" i="2"/>
  <c r="Q265" i="2" s="1"/>
  <c r="P269" i="2"/>
  <c r="Q269" i="2" s="1"/>
  <c r="P273" i="2"/>
  <c r="Q273" i="2" s="1"/>
  <c r="P277" i="2"/>
  <c r="Q277" i="2" s="1"/>
  <c r="P281" i="2"/>
  <c r="Q281" i="2" s="1"/>
  <c r="P291" i="2"/>
  <c r="Q291" i="2" s="1"/>
  <c r="P373" i="2"/>
  <c r="Q373" i="2" s="1"/>
  <c r="P405" i="2"/>
  <c r="Q405" i="2" s="1"/>
  <c r="P361" i="2"/>
  <c r="Q361" i="2" s="1"/>
  <c r="P377" i="2"/>
  <c r="Q377" i="2" s="1"/>
  <c r="P393" i="2"/>
  <c r="Q393" i="2" s="1"/>
  <c r="P409" i="2"/>
  <c r="Q409" i="2" s="1"/>
  <c r="P425" i="2"/>
  <c r="Q425" i="2" s="1"/>
  <c r="P309" i="2"/>
  <c r="Q309" i="2" s="1"/>
  <c r="P317" i="2"/>
  <c r="Q317" i="2" s="1"/>
  <c r="P325" i="2"/>
  <c r="Q325" i="2" s="1"/>
  <c r="P333" i="2"/>
  <c r="Q333" i="2" s="1"/>
  <c r="P341" i="2"/>
  <c r="Q341" i="2" s="1"/>
  <c r="P349" i="2"/>
  <c r="Q349" i="2" s="1"/>
  <c r="P357" i="2"/>
  <c r="Q357" i="2" s="1"/>
  <c r="E530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P5" i="3"/>
  <c r="Q5" i="3" s="1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9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8" i="3"/>
  <c r="H508" i="3"/>
  <c r="M530" i="3"/>
  <c r="P451" i="3"/>
  <c r="Q451" i="3" s="1"/>
  <c r="P454" i="3"/>
  <c r="Q454" i="3" s="1"/>
  <c r="P457" i="3"/>
  <c r="Q457" i="3" s="1"/>
  <c r="P473" i="3"/>
  <c r="Q473" i="3" s="1"/>
  <c r="Q501" i="3"/>
  <c r="H529" i="3"/>
  <c r="P423" i="3"/>
  <c r="Q423" i="3" s="1"/>
  <c r="P424" i="3"/>
  <c r="Q424" i="3" s="1"/>
  <c r="P425" i="3"/>
  <c r="Q425" i="3" s="1"/>
  <c r="P460" i="3"/>
  <c r="Q460" i="3" s="1"/>
  <c r="P461" i="3"/>
  <c r="Q461" i="3" s="1"/>
  <c r="I508" i="3"/>
  <c r="I529" i="3"/>
  <c r="D530" i="3"/>
  <c r="Q520" i="3"/>
  <c r="O530" i="3"/>
  <c r="L530" i="3"/>
  <c r="P6" i="3"/>
  <c r="Q4" i="3" l="1"/>
  <c r="P483" i="3"/>
  <c r="P530" i="3" s="1"/>
  <c r="Q529" i="2"/>
  <c r="Q508" i="2"/>
  <c r="Q508" i="3"/>
  <c r="Q529" i="3"/>
  <c r="I508" i="2"/>
  <c r="H530" i="3"/>
  <c r="I530" i="3"/>
  <c r="Q6" i="3"/>
  <c r="Q483" i="3" l="1"/>
  <c r="Q530" i="3" s="1"/>
  <c r="O4" i="2"/>
  <c r="O530" i="2" s="1"/>
  <c r="L4" i="2"/>
  <c r="L530" i="2" s="1"/>
  <c r="D530" i="2"/>
  <c r="P4" i="2" l="1"/>
  <c r="P530" i="2" s="1"/>
  <c r="H4" i="2"/>
  <c r="I4" i="2" s="1"/>
  <c r="H530" i="2" l="1"/>
  <c r="I530" i="2"/>
  <c r="Q4" i="2"/>
  <c r="Q530" i="2" s="1"/>
  <c r="G530" i="1"/>
</calcChain>
</file>

<file path=xl/sharedStrings.xml><?xml version="1.0" encoding="utf-8"?>
<sst xmlns="http://schemas.openxmlformats.org/spreadsheetml/2006/main" count="3091" uniqueCount="477">
  <si>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</si>
  <si>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</si>
  <si>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</si>
  <si>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</si>
  <si>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</si>
  <si>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</si>
  <si>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</si>
  <si>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</si>
  <si>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</si>
  <si>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</si>
  <si>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</si>
  <si>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</si>
  <si>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</si>
  <si>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</si>
  <si>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</si>
  <si>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</si>
  <si>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</si>
  <si>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</si>
  <si>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</si>
  <si>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</si>
  <si>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</si>
  <si>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</si>
  <si>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</si>
  <si>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</si>
  <si>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</si>
  <si>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</si>
  <si>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</si>
  <si>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</si>
  <si>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</si>
  <si>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</si>
  <si>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</si>
  <si>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</si>
  <si>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</si>
  <si>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</si>
  <si>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</si>
  <si>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</si>
  <si>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</si>
  <si>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</si>
  <si>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</si>
  <si>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</si>
  <si>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</si>
  <si>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</si>
  <si>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</si>
  <si>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</si>
  <si>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</si>
  <si>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</si>
  <si>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</si>
  <si>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</si>
  <si>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</si>
  <si>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</si>
  <si>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</si>
  <si>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</si>
  <si>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</si>
  <si>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</si>
  <si>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</si>
  <si>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</si>
  <si>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</si>
  <si>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</si>
  <si>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</si>
  <si>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</si>
  <si>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</si>
  <si>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</si>
  <si>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</si>
  <si>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</si>
  <si>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</si>
  <si>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</si>
  <si>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</si>
  <si>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</si>
  <si>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</si>
  <si>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</si>
  <si>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</si>
  <si>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</si>
  <si>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</si>
  <si>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</si>
  <si>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</si>
  <si>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</si>
  <si>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</si>
  <si>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</si>
  <si>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</si>
  <si>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</si>
  <si>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</si>
  <si>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</si>
  <si>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</si>
  <si>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</si>
  <si>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</si>
  <si>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</si>
  <si>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</si>
  <si>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</si>
  <si>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</si>
  <si>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</si>
  <si>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</si>
  <si>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</si>
  <si>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</si>
  <si>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</si>
  <si>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</si>
  <si>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</si>
  <si>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</si>
  <si>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</si>
  <si>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</si>
  <si>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</si>
  <si>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</si>
  <si>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</si>
  <si>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</si>
  <si>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</si>
  <si>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</si>
  <si>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</si>
  <si>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</si>
  <si>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</si>
  <si>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</si>
  <si>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</si>
  <si>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</si>
  <si>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</si>
  <si>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</si>
  <si>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</si>
  <si>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</si>
  <si>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</si>
  <si>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</si>
  <si>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</si>
  <si>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</si>
  <si>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</si>
  <si>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</si>
  <si>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</si>
  <si>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</si>
  <si>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</si>
  <si>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</si>
  <si>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</si>
  <si>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</si>
  <si>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</si>
  <si>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</si>
  <si>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</si>
  <si>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</si>
  <si>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</si>
  <si>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</si>
  <si>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</si>
  <si>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</si>
  <si>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</si>
  <si>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</si>
  <si>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</si>
  <si>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</si>
  <si>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</si>
  <si>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</si>
  <si>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</si>
  <si>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</si>
  <si>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</si>
  <si>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</si>
  <si>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</si>
  <si>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</si>
  <si>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</si>
  <si>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</si>
  <si>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</si>
  <si>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</si>
  <si>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</si>
  <si>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</si>
  <si>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</si>
  <si>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</si>
  <si>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</si>
  <si>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</si>
  <si>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</si>
  <si>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</si>
  <si>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</si>
  <si>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</si>
  <si>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</si>
  <si>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</si>
  <si>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</si>
  <si>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</si>
  <si>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</si>
  <si>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</si>
  <si>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</si>
  <si>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</si>
  <si>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</si>
  <si>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</si>
  <si>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</si>
  <si>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</si>
  <si>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</si>
  <si>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</si>
  <si>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</si>
  <si>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</si>
  <si>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</si>
  <si>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</si>
  <si>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</si>
  <si>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</si>
  <si>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</si>
  <si>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</si>
  <si>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</si>
  <si>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</si>
  <si>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</si>
  <si>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</si>
  <si>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</si>
  <si>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</si>
  <si>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</si>
  <si>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</si>
  <si>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</si>
  <si>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</si>
  <si>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</si>
  <si>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</si>
  <si>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</si>
  <si>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</si>
  <si>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</si>
  <si>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</si>
  <si>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</si>
  <si>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</si>
  <si>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</si>
  <si>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</si>
  <si>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</si>
  <si>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</si>
  <si>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</si>
  <si>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</si>
  <si>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</si>
  <si>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</si>
  <si>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</si>
  <si>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</si>
  <si>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</si>
  <si>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</si>
  <si>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</si>
  <si>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</si>
  <si>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</si>
  <si>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</si>
  <si>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</si>
  <si>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</si>
  <si>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</si>
  <si>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</si>
  <si>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</si>
  <si>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</si>
  <si>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</si>
  <si>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</si>
  <si>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</si>
  <si>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</si>
  <si>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</si>
  <si>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</si>
  <si>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</si>
  <si>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</si>
  <si>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</si>
  <si>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</si>
  <si>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</si>
  <si>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</si>
  <si>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</si>
  <si>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</si>
  <si>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</si>
  <si>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</si>
  <si>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</si>
  <si>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</si>
  <si>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</si>
  <si>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</si>
  <si>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</si>
  <si>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</si>
  <si>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</si>
  <si>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</si>
  <si>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</si>
  <si>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</si>
  <si>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</si>
  <si>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</si>
  <si>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</si>
  <si>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</si>
  <si>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</si>
  <si>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</si>
  <si>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</si>
  <si>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</si>
  <si>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</si>
  <si>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</si>
  <si>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</si>
  <si>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</si>
  <si>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</si>
  <si>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</si>
  <si>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</si>
  <si>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</si>
  <si>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</si>
  <si>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</si>
  <si>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</si>
  <si>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</si>
  <si>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</si>
  <si>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</si>
  <si>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</si>
  <si>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</si>
  <si>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</si>
  <si>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</si>
  <si>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</si>
  <si>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</si>
  <si>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</si>
  <si>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</si>
  <si>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</si>
  <si>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</si>
  <si>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</si>
  <si>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</si>
  <si>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</si>
  <si>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</si>
  <si>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</si>
  <si>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</si>
  <si>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</si>
  <si>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</si>
  <si>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</si>
  <si>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</si>
  <si>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</si>
  <si>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</si>
  <si>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</si>
  <si>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</si>
  <si>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</si>
  <si>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</si>
  <si>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</si>
  <si>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</si>
  <si>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</si>
  <si>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</si>
  <si>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</si>
  <si>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</si>
  <si>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</si>
  <si>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</si>
  <si>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</si>
  <si>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</si>
  <si>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</si>
  <si>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</si>
  <si>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</si>
  <si>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</si>
  <si>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</si>
  <si>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</si>
  <si>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</si>
  <si>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</si>
  <si>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</si>
  <si>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</si>
  <si>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</si>
  <si>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</si>
  <si>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</si>
  <si>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</si>
  <si>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</si>
  <si>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</si>
  <si>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</si>
  <si>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</si>
  <si>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</si>
  <si>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</si>
  <si>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</si>
  <si>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</si>
  <si>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</si>
  <si>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</si>
  <si>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</si>
  <si>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</si>
  <si>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</si>
  <si>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</si>
  <si>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</si>
  <si>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</si>
  <si>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</si>
  <si>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</si>
  <si>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</si>
  <si>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</si>
  <si>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</si>
  <si>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</si>
  <si>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</si>
  <si>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</si>
  <si>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</si>
  <si>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</si>
  <si>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</si>
  <si>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</si>
  <si>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</si>
  <si>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</si>
  <si>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</si>
  <si>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</si>
  <si>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</si>
  <si>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</si>
  <si>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</si>
  <si>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</si>
  <si>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</si>
  <si>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</si>
  <si>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</si>
  <si>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</si>
  <si>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</si>
  <si>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</si>
  <si>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</si>
  <si>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</si>
  <si>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</si>
  <si>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</si>
  <si>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</si>
  <si>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</si>
  <si>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</si>
  <si>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</si>
  <si>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</si>
  <si>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</si>
  <si>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</si>
  <si>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</si>
  <si>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</si>
  <si>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</si>
  <si>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</si>
  <si>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</si>
  <si>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</si>
  <si>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</si>
  <si>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</si>
  <si>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</si>
  <si>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</si>
  <si>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</si>
  <si>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</si>
  <si>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</si>
  <si>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</si>
  <si>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</si>
  <si>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</si>
  <si>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</si>
  <si>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</si>
  <si>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</si>
  <si>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</si>
  <si>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</si>
  <si>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</si>
  <si>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</si>
  <si>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</si>
  <si>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</si>
  <si>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</si>
  <si>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</si>
  <si>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</si>
  <si>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</si>
  <si>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</si>
  <si>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</si>
  <si>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</si>
  <si>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</si>
  <si>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</si>
  <si>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</si>
  <si>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</si>
  <si>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</si>
  <si>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</si>
  <si>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</si>
  <si>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</si>
  <si>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</si>
  <si>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</si>
  <si>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</si>
  <si>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</si>
  <si>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</si>
  <si>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</si>
  <si>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</si>
  <si>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</si>
  <si>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</si>
  <si>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</si>
  <si>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</si>
  <si>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</si>
  <si>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</si>
  <si>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</si>
  <si>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</si>
  <si>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</si>
  <si>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</si>
  <si>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</si>
  <si>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</si>
  <si>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</si>
  <si>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</si>
  <si>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</si>
  <si>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</si>
  <si>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</si>
  <si>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</si>
  <si>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ARIS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</si>
  <si>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</si>
  <si>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</si>
  <si>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</si>
  <si>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</si>
  <si>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</si>
  <si>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</si>
  <si>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</si>
  <si>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</si>
  <si>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</si>
  <si>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</si>
  <si>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</si>
  <si>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.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</si>
  <si>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</si>
  <si>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</si>
  <si>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</si>
  <si>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</si>
  <si>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</si>
  <si>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</si>
  <si>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</si>
  <si>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</si>
  <si>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</si>
  <si>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</si>
  <si>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</si>
  <si>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</si>
  <si>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</si>
  <si>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 xml:space="preserve"> Pacet,  : 25 JANUARI 2026</t>
  </si>
  <si>
    <t xml:space="preserve"> Pacet,  : 5 FEBRUARI  2026</t>
  </si>
  <si>
    <t xml:space="preserve"> Pacet,  : 15 FEBRUARI 2026</t>
  </si>
  <si>
    <t>ANIP</t>
  </si>
  <si>
    <t>MOJOSARI</t>
  </si>
  <si>
    <t>TANEN</t>
  </si>
  <si>
    <t>POHJEJER</t>
  </si>
  <si>
    <t>BAMBANG</t>
  </si>
  <si>
    <t>BRANGAL</t>
  </si>
  <si>
    <t>PEMBAYARAN SETORAN SUSU  PADA PETERNAK BAGIAN TANGGAL :  01 S / D 10 JUNI 2026</t>
  </si>
  <si>
    <t>PEMBAYARAN SETORAN SUSU  PADA PETERNAK BAGIAN TANGGAL :  11 S / D 20 JUNI 2026</t>
  </si>
  <si>
    <t>PEMBAYARAN SETORAN SUSU  PADA PETERNAK BAGIAN TANGGAL :  21 S / D 31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</si>
</sst>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9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sz val="12"/>
      <color rgb="FF00000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protection locked="0"/>
    </xf>
    <xf numFmtId="0" fontId="18" fillId="0" borderId="0">
      <protection locked="0"/>
    </xf>
    <xf numFmtId="41" fontId="16" fillId="0" borderId="0">
      <protection locked="0"/>
    </xf>
    <xf numFmtId="0" fontId="11" fillId="0" borderId="0"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41" fontId="6" fillId="0" borderId="6" xfId="3" applyFont="1" applyFill="1" applyBorder="1" applyAlignment="1">
      <alignment vertical="center"/>
      <protection locked="0"/>
    </xf>
    <xf numFmtId="41" fontId="7" fillId="0" borderId="6" xfId="3" applyFont="1" applyFill="1" applyBorder="1" applyAlignment="1" applyProtection="1">
      <alignment vertical="center"/>
    </xf>
    <xf numFmtId="41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41" fontId="6" fillId="9" borderId="6" xfId="3" applyFont="1" applyFill="1" applyBorder="1" applyAlignment="1">
      <alignment vertical="center"/>
      <protection locked="0"/>
    </xf>
    <xf numFmtId="41" fontId="6" fillId="0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>
      <alignment horizontal="center" vertical="center"/>
      <protection locked="0"/>
    </xf>
    <xf numFmtId="41" fontId="6" fillId="9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>
      <alignment horizontal="center" vertical="center"/>
      <protection locked="0"/>
    </xf>
    <xf numFmtId="41" fontId="9" fillId="0" borderId="6" xfId="3" applyFont="1" applyFill="1" applyBorder="1" applyAlignment="1" applyProtection="1">
      <alignment vertical="center"/>
    </xf>
    <xf numFmtId="41" fontId="7" fillId="0" borderId="6" xfId="3" quotePrefix="1" applyFont="1" applyFill="1" applyBorder="1" applyAlignment="1">
      <alignment horizontal="center" vertical="center"/>
      <protection locked="0"/>
    </xf>
    <xf numFmtId="41" fontId="6" fillId="0" borderId="6" xfId="3" quotePrefix="1" applyFont="1" applyFill="1" applyBorder="1" applyAlignment="1">
      <alignment horizontal="center" vertical="center"/>
      <protection locked="0"/>
    </xf>
    <xf numFmtId="41" fontId="10" fillId="0" borderId="6" xfId="3" applyFont="1" applyFill="1" applyBorder="1" applyAlignment="1">
      <alignment horizontal="center" vertical="center"/>
      <protection locked="0"/>
    </xf>
    <xf numFmtId="0" fontId="11" fillId="0" borderId="0" xfId="4" applyAlignment="1" applyProtection="1"/>
    <xf numFmtId="41" fontId="7" fillId="0" borderId="6" xfId="3" quotePrefix="1" applyFont="1" applyFill="1" applyBorder="1" applyAlignment="1">
      <alignment vertical="center"/>
      <protection locked="0"/>
    </xf>
    <xf numFmtId="41" fontId="12" fillId="0" borderId="6" xfId="3" applyFont="1" applyFill="1" applyBorder="1" applyAlignment="1">
      <alignment horizontal="center" vertical="center"/>
      <protection locked="0"/>
    </xf>
    <xf numFmtId="41" fontId="7" fillId="0" borderId="0" xfId="3" applyFont="1" applyFill="1" applyBorder="1" applyAlignment="1" applyProtection="1">
      <alignment vertical="center"/>
    </xf>
    <xf numFmtId="41" fontId="7" fillId="2" borderId="6" xfId="3" applyFont="1" applyFill="1" applyBorder="1" applyAlignment="1">
      <alignment vertical="center"/>
      <protection locked="0"/>
    </xf>
    <xf numFmtId="41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3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41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6" fillId="0" borderId="0" xfId="1" applyAlignment="1" applyProtection="1"/>
    <xf numFmtId="0" fontId="16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41" fontId="7" fillId="0" borderId="6" xfId="3" applyFont="1" applyFill="1" applyBorder="1" applyAlignment="1">
      <protection locked="0"/>
    </xf>
    <xf numFmtId="41" fontId="7" fillId="0" borderId="6" xfId="3" quotePrefix="1" applyFont="1" applyFill="1" applyBorder="1" applyAlignment="1">
      <protection locked="0"/>
    </xf>
    <xf numFmtId="0" fontId="11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7" fillId="0" borderId="6" xfId="2" applyFont="1" applyFill="1" applyBorder="1" applyAlignment="1" applyProtection="1">
      <alignment horizontal="left" vertical="center" inden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0" fontId="3" fillId="0" borderId="4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2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4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</cellXfs>
  <cellStyles count="5">
    <cellStyle name="Comma [0] 2" xfId="3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536</xdr:row>
      <xdr:rowOff>57150</xdr:rowOff>
    </xdr:from>
    <xdr:to>
      <xdr:col>12</xdr:col>
      <xdr:colOff>546100</xdr:colOff>
      <xdr:row>539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5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536</xdr:row>
      <xdr:rowOff>19050</xdr:rowOff>
    </xdr:from>
    <xdr:to>
      <xdr:col>12</xdr:col>
      <xdr:colOff>660400</xdr:colOff>
      <xdr:row>538</xdr:row>
      <xdr:rowOff>146050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view="pageBreakPreview" zoomScaleNormal="100" zoomScaleSheetLayoutView="100" workbookViewId="0">
      <pane xSplit="2" ySplit="3" topLeftCell="F469" activePane="bottomRight" state="frozen"/>
      <selection pane="topRight"/>
      <selection pane="bottomLeft"/>
      <selection pane="bottomRight" activeCell="Q484" sqref="Q484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10" style="1"/>
  </cols>
  <sheetData>
    <row r="1" spans="1:18" ht="18" x14ac:dyDescent="0.25">
      <c r="A1" s="78" t="s">
        <v>474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454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6500</v>
      </c>
      <c r="F4" s="15">
        <v>400</v>
      </c>
      <c r="G4" s="15">
        <v>400</v>
      </c>
      <c r="H4" s="15">
        <f>SUM(E4:G4)</f>
        <v>7300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263</v>
      </c>
      <c r="E5" s="15">
        <v>6500</v>
      </c>
      <c r="F5" s="15">
        <v>300</v>
      </c>
      <c r="G5" s="15">
        <v>400</v>
      </c>
      <c r="H5" s="15">
        <f t="shared" ref="H5:H69" si="3">SUM(E5:G5)</f>
        <v>7200</v>
      </c>
      <c r="I5" s="15">
        <f t="shared" ref="I5:I69" si="4">H5*D5</f>
        <v>1893600</v>
      </c>
      <c r="J5" s="16"/>
      <c r="K5" s="15">
        <v>800000</v>
      </c>
      <c r="L5" s="15">
        <f t="shared" si="0"/>
        <v>5260</v>
      </c>
      <c r="M5" s="16"/>
      <c r="N5" s="16"/>
      <c r="O5" s="15">
        <f t="shared" si="1"/>
        <v>65750</v>
      </c>
      <c r="P5" s="15">
        <f t="shared" si="2"/>
        <v>871010</v>
      </c>
      <c r="Q5" s="15">
        <f t="shared" ref="Q5:Q68" si="5">I5-P5</f>
        <v>1022590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366</v>
      </c>
      <c r="E6" s="15">
        <v>6500</v>
      </c>
      <c r="F6" s="15">
        <v>600</v>
      </c>
      <c r="G6" s="15">
        <v>400</v>
      </c>
      <c r="H6" s="15">
        <f t="shared" si="3"/>
        <v>7500</v>
      </c>
      <c r="I6" s="15">
        <f t="shared" si="4"/>
        <v>2745000</v>
      </c>
      <c r="J6" s="16"/>
      <c r="K6" s="15">
        <v>600000</v>
      </c>
      <c r="L6" s="15">
        <f t="shared" si="0"/>
        <v>7320</v>
      </c>
      <c r="M6" s="16"/>
      <c r="N6" s="16"/>
      <c r="O6" s="15">
        <f t="shared" si="1"/>
        <v>91500</v>
      </c>
      <c r="P6" s="15">
        <f t="shared" si="2"/>
        <v>698820</v>
      </c>
      <c r="Q6" s="15">
        <f t="shared" si="5"/>
        <v>2046180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6500</v>
      </c>
      <c r="F7" s="15">
        <v>400</v>
      </c>
      <c r="G7" s="15">
        <v>400</v>
      </c>
      <c r="H7" s="15">
        <f t="shared" si="3"/>
        <v>7300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6500</v>
      </c>
      <c r="F8" s="15">
        <v>400</v>
      </c>
      <c r="G8" s="15">
        <v>400</v>
      </c>
      <c r="H8" s="15">
        <f t="shared" si="3"/>
        <v>7300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448</v>
      </c>
      <c r="E9" s="15">
        <v>6500</v>
      </c>
      <c r="F9" s="15">
        <v>500</v>
      </c>
      <c r="G9" s="15">
        <v>400</v>
      </c>
      <c r="H9" s="15">
        <f t="shared" si="3"/>
        <v>7400</v>
      </c>
      <c r="I9" s="15">
        <f t="shared" si="4"/>
        <v>3315200</v>
      </c>
      <c r="J9" s="16"/>
      <c r="K9" s="15">
        <v>300000</v>
      </c>
      <c r="L9" s="15">
        <f t="shared" si="0"/>
        <v>8960</v>
      </c>
      <c r="M9" s="16"/>
      <c r="N9" s="16"/>
      <c r="O9" s="15">
        <f t="shared" si="1"/>
        <v>112000</v>
      </c>
      <c r="P9" s="15">
        <f t="shared" si="2"/>
        <v>420960</v>
      </c>
      <c r="Q9" s="15">
        <f t="shared" si="5"/>
        <v>2894240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6500</v>
      </c>
      <c r="F10" s="15">
        <v>400</v>
      </c>
      <c r="G10" s="15">
        <v>400</v>
      </c>
      <c r="H10" s="15">
        <f t="shared" si="3"/>
        <v>7300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6500</v>
      </c>
      <c r="F11" s="15">
        <v>400</v>
      </c>
      <c r="G11" s="15">
        <v>400</v>
      </c>
      <c r="H11" s="15">
        <f t="shared" si="3"/>
        <v>7300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6500</v>
      </c>
      <c r="F12" s="15">
        <v>400</v>
      </c>
      <c r="G12" s="15">
        <v>400</v>
      </c>
      <c r="H12" s="15">
        <f t="shared" si="3"/>
        <v>7300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6500</v>
      </c>
      <c r="F13" s="15">
        <v>400</v>
      </c>
      <c r="G13" s="15">
        <v>400</v>
      </c>
      <c r="H13" s="15">
        <f t="shared" si="3"/>
        <v>7300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6500</v>
      </c>
      <c r="F14" s="15">
        <v>400</v>
      </c>
      <c r="G14" s="15">
        <v>400</v>
      </c>
      <c r="H14" s="15">
        <f t="shared" si="3"/>
        <v>7300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6500</v>
      </c>
      <c r="F15" s="15">
        <v>400</v>
      </c>
      <c r="G15" s="15">
        <v>400</v>
      </c>
      <c r="H15" s="15">
        <f t="shared" si="3"/>
        <v>7300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6500</v>
      </c>
      <c r="F16" s="15">
        <v>400</v>
      </c>
      <c r="G16" s="15">
        <v>400</v>
      </c>
      <c r="H16" s="15">
        <f t="shared" si="3"/>
        <v>7300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6500</v>
      </c>
      <c r="F17" s="15">
        <v>400</v>
      </c>
      <c r="G17" s="15">
        <v>400</v>
      </c>
      <c r="H17" s="15">
        <f t="shared" si="3"/>
        <v>7300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218</v>
      </c>
      <c r="E18" s="15">
        <v>6500</v>
      </c>
      <c r="F18" s="15">
        <v>500</v>
      </c>
      <c r="G18" s="15">
        <v>400</v>
      </c>
      <c r="H18" s="15">
        <f t="shared" si="3"/>
        <v>7400</v>
      </c>
      <c r="I18" s="15">
        <f t="shared" si="4"/>
        <v>1613200</v>
      </c>
      <c r="J18" s="16"/>
      <c r="K18" s="15">
        <v>200000</v>
      </c>
      <c r="L18" s="15">
        <f t="shared" si="0"/>
        <v>4360</v>
      </c>
      <c r="M18" s="16"/>
      <c r="N18" s="16"/>
      <c r="O18" s="15">
        <f t="shared" si="1"/>
        <v>54500</v>
      </c>
      <c r="P18" s="15">
        <f t="shared" si="2"/>
        <v>258860</v>
      </c>
      <c r="Q18" s="15">
        <f t="shared" si="5"/>
        <v>1354340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6500</v>
      </c>
      <c r="F19" s="15">
        <v>400</v>
      </c>
      <c r="G19" s="15">
        <v>400</v>
      </c>
      <c r="H19" s="15">
        <f t="shared" si="3"/>
        <v>7300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6500</v>
      </c>
      <c r="F20" s="15">
        <v>400</v>
      </c>
      <c r="G20" s="15">
        <v>400</v>
      </c>
      <c r="H20" s="15">
        <f t="shared" si="3"/>
        <v>7300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6500</v>
      </c>
      <c r="F21" s="15">
        <v>400</v>
      </c>
      <c r="G21" s="15">
        <v>400</v>
      </c>
      <c r="H21" s="15">
        <f t="shared" si="3"/>
        <v>7300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6500</v>
      </c>
      <c r="F22" s="15">
        <v>400</v>
      </c>
      <c r="G22" s="15">
        <v>400</v>
      </c>
      <c r="H22" s="15">
        <f t="shared" si="3"/>
        <v>7300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6500</v>
      </c>
      <c r="F23" s="15">
        <v>400</v>
      </c>
      <c r="G23" s="15">
        <v>400</v>
      </c>
      <c r="H23" s="15">
        <f t="shared" si="3"/>
        <v>7300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6500</v>
      </c>
      <c r="F24" s="15">
        <v>400</v>
      </c>
      <c r="G24" s="15">
        <v>400</v>
      </c>
      <c r="H24" s="15">
        <f t="shared" si="3"/>
        <v>7300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6500</v>
      </c>
      <c r="F25" s="15">
        <v>400</v>
      </c>
      <c r="G25" s="15">
        <v>400</v>
      </c>
      <c r="H25" s="15">
        <f t="shared" si="3"/>
        <v>7300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6500</v>
      </c>
      <c r="F26" s="15">
        <v>400</v>
      </c>
      <c r="G26" s="15">
        <v>400</v>
      </c>
      <c r="H26" s="15">
        <f t="shared" si="3"/>
        <v>7300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261</v>
      </c>
      <c r="E27" s="15">
        <v>6500</v>
      </c>
      <c r="F27" s="15">
        <v>500</v>
      </c>
      <c r="G27" s="15">
        <v>400</v>
      </c>
      <c r="H27" s="15">
        <f t="shared" si="3"/>
        <v>7400</v>
      </c>
      <c r="I27" s="15">
        <f t="shared" si="4"/>
        <v>1931400</v>
      </c>
      <c r="J27" s="16"/>
      <c r="K27" s="15">
        <v>400000</v>
      </c>
      <c r="L27" s="15">
        <f t="shared" si="0"/>
        <v>5220</v>
      </c>
      <c r="M27" s="16"/>
      <c r="N27" s="16"/>
      <c r="O27" s="15">
        <f t="shared" si="1"/>
        <v>65250</v>
      </c>
      <c r="P27" s="15">
        <f t="shared" si="2"/>
        <v>470470</v>
      </c>
      <c r="Q27" s="15">
        <f t="shared" si="5"/>
        <v>1460930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6500</v>
      </c>
      <c r="F28" s="15">
        <v>400</v>
      </c>
      <c r="G28" s="15">
        <v>400</v>
      </c>
      <c r="H28" s="15">
        <f t="shared" si="3"/>
        <v>7300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66</v>
      </c>
      <c r="E29" s="15">
        <v>6500</v>
      </c>
      <c r="F29" s="15">
        <v>500</v>
      </c>
      <c r="G29" s="15">
        <v>400</v>
      </c>
      <c r="H29" s="15">
        <f t="shared" si="3"/>
        <v>7400</v>
      </c>
      <c r="I29" s="15">
        <f t="shared" si="4"/>
        <v>488400</v>
      </c>
      <c r="J29" s="16"/>
      <c r="K29" s="15">
        <v>200000</v>
      </c>
      <c r="L29" s="15">
        <f t="shared" si="0"/>
        <v>1320</v>
      </c>
      <c r="M29" s="16"/>
      <c r="N29" s="16"/>
      <c r="O29" s="15">
        <f t="shared" si="1"/>
        <v>16500</v>
      </c>
      <c r="P29" s="15">
        <f t="shared" si="2"/>
        <v>217820</v>
      </c>
      <c r="Q29" s="15">
        <f t="shared" si="5"/>
        <v>270580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73</v>
      </c>
      <c r="E30" s="15">
        <v>6500</v>
      </c>
      <c r="F30" s="15">
        <v>200</v>
      </c>
      <c r="G30" s="15">
        <v>400</v>
      </c>
      <c r="H30" s="15">
        <f t="shared" si="3"/>
        <v>7100</v>
      </c>
      <c r="I30" s="15">
        <f t="shared" si="4"/>
        <v>518300</v>
      </c>
      <c r="J30" s="16"/>
      <c r="K30" s="15">
        <v>200000</v>
      </c>
      <c r="L30" s="15">
        <f t="shared" si="0"/>
        <v>1460</v>
      </c>
      <c r="M30" s="16"/>
      <c r="N30" s="16"/>
      <c r="O30" s="15">
        <f t="shared" si="1"/>
        <v>18250</v>
      </c>
      <c r="P30" s="15">
        <f t="shared" si="2"/>
        <v>219710</v>
      </c>
      <c r="Q30" s="15">
        <f t="shared" si="5"/>
        <v>298590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6500</v>
      </c>
      <c r="F31" s="15">
        <v>300</v>
      </c>
      <c r="G31" s="15">
        <v>400</v>
      </c>
      <c r="H31" s="15">
        <f t="shared" si="3"/>
        <v>7200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6500</v>
      </c>
      <c r="F32" s="15">
        <v>400</v>
      </c>
      <c r="G32" s="15">
        <v>400</v>
      </c>
      <c r="H32" s="15">
        <f t="shared" si="3"/>
        <v>7300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6500</v>
      </c>
      <c r="F33" s="15">
        <v>300</v>
      </c>
      <c r="G33" s="15">
        <v>400</v>
      </c>
      <c r="H33" s="15">
        <f t="shared" si="3"/>
        <v>7200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6500</v>
      </c>
      <c r="F34" s="15">
        <v>300</v>
      </c>
      <c r="G34" s="15">
        <v>400</v>
      </c>
      <c r="H34" s="15">
        <f t="shared" si="3"/>
        <v>7200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307</v>
      </c>
      <c r="E35" s="15">
        <v>6500</v>
      </c>
      <c r="F35" s="15">
        <v>300</v>
      </c>
      <c r="G35" s="15">
        <v>400</v>
      </c>
      <c r="H35" s="15">
        <f t="shared" si="3"/>
        <v>7200</v>
      </c>
      <c r="I35" s="15">
        <f t="shared" si="4"/>
        <v>2210400</v>
      </c>
      <c r="J35" s="16"/>
      <c r="K35" s="15"/>
      <c r="L35" s="15">
        <f t="shared" si="0"/>
        <v>6140</v>
      </c>
      <c r="M35" s="16"/>
      <c r="N35" s="16"/>
      <c r="O35" s="15">
        <f t="shared" si="1"/>
        <v>76750</v>
      </c>
      <c r="P35" s="15">
        <f t="shared" si="2"/>
        <v>82890</v>
      </c>
      <c r="Q35" s="15">
        <f t="shared" si="5"/>
        <v>2127510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6500</v>
      </c>
      <c r="F36" s="15">
        <v>400</v>
      </c>
      <c r="G36" s="15">
        <v>400</v>
      </c>
      <c r="H36" s="15">
        <f t="shared" si="3"/>
        <v>7300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525</v>
      </c>
      <c r="E37" s="15">
        <v>6500</v>
      </c>
      <c r="F37" s="15">
        <v>400</v>
      </c>
      <c r="G37" s="15">
        <v>400</v>
      </c>
      <c r="H37" s="15">
        <f t="shared" si="3"/>
        <v>7300</v>
      </c>
      <c r="I37" s="15">
        <f t="shared" si="4"/>
        <v>3832500</v>
      </c>
      <c r="J37" s="16"/>
      <c r="K37" s="15">
        <v>1400000</v>
      </c>
      <c r="L37" s="15">
        <f t="shared" si="0"/>
        <v>10500</v>
      </c>
      <c r="M37" s="20"/>
      <c r="N37" s="20"/>
      <c r="O37" s="15">
        <f t="shared" si="1"/>
        <v>131250</v>
      </c>
      <c r="P37" s="15">
        <f t="shared" si="2"/>
        <v>1541750</v>
      </c>
      <c r="Q37" s="15">
        <f t="shared" si="5"/>
        <v>2290750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6500</v>
      </c>
      <c r="F38" s="15">
        <v>300</v>
      </c>
      <c r="G38" s="15">
        <v>400</v>
      </c>
      <c r="H38" s="15">
        <f t="shared" si="3"/>
        <v>7200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6500</v>
      </c>
      <c r="F39" s="15">
        <v>300</v>
      </c>
      <c r="G39" s="15">
        <v>400</v>
      </c>
      <c r="H39" s="15">
        <f t="shared" si="3"/>
        <v>7200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228</v>
      </c>
      <c r="E40" s="15">
        <v>6500</v>
      </c>
      <c r="F40" s="15">
        <v>600</v>
      </c>
      <c r="G40" s="15">
        <v>400</v>
      </c>
      <c r="H40" s="15">
        <f t="shared" si="3"/>
        <v>7500</v>
      </c>
      <c r="I40" s="15">
        <f t="shared" si="4"/>
        <v>1710000</v>
      </c>
      <c r="J40" s="16"/>
      <c r="K40" s="15"/>
      <c r="L40" s="15">
        <f t="shared" si="0"/>
        <v>4560</v>
      </c>
      <c r="M40" s="20"/>
      <c r="N40" s="20"/>
      <c r="O40" s="15">
        <f t="shared" si="1"/>
        <v>57000</v>
      </c>
      <c r="P40" s="15">
        <f t="shared" si="2"/>
        <v>61560</v>
      </c>
      <c r="Q40" s="15">
        <f t="shared" si="5"/>
        <v>1648440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255</v>
      </c>
      <c r="E41" s="15">
        <v>6500</v>
      </c>
      <c r="F41" s="15">
        <v>500</v>
      </c>
      <c r="G41" s="15">
        <v>400</v>
      </c>
      <c r="H41" s="15">
        <f t="shared" si="3"/>
        <v>7400</v>
      </c>
      <c r="I41" s="15">
        <f t="shared" si="4"/>
        <v>1887000</v>
      </c>
      <c r="J41" s="20"/>
      <c r="K41" s="15"/>
      <c r="L41" s="15">
        <f t="shared" si="0"/>
        <v>5100</v>
      </c>
      <c r="M41" s="20"/>
      <c r="N41" s="20"/>
      <c r="O41" s="15">
        <f t="shared" si="1"/>
        <v>63750</v>
      </c>
      <c r="P41" s="15">
        <f t="shared" si="2"/>
        <v>68850</v>
      </c>
      <c r="Q41" s="15">
        <f t="shared" si="5"/>
        <v>1818150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6500</v>
      </c>
      <c r="F42" s="15">
        <v>300</v>
      </c>
      <c r="G42" s="15">
        <v>400</v>
      </c>
      <c r="H42" s="15">
        <f t="shared" si="3"/>
        <v>7200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167</v>
      </c>
      <c r="E43" s="15">
        <v>6500</v>
      </c>
      <c r="F43" s="15">
        <v>600</v>
      </c>
      <c r="G43" s="15">
        <v>400</v>
      </c>
      <c r="H43" s="15">
        <f t="shared" si="3"/>
        <v>7500</v>
      </c>
      <c r="I43" s="15">
        <f t="shared" si="4"/>
        <v>1252500</v>
      </c>
      <c r="J43" s="16"/>
      <c r="K43" s="15"/>
      <c r="L43" s="15">
        <f t="shared" si="0"/>
        <v>3340</v>
      </c>
      <c r="M43" s="16"/>
      <c r="N43" s="16"/>
      <c r="O43" s="15">
        <f t="shared" si="1"/>
        <v>41750</v>
      </c>
      <c r="P43" s="15">
        <f t="shared" si="2"/>
        <v>45090</v>
      </c>
      <c r="Q43" s="15">
        <f t="shared" si="5"/>
        <v>1207410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6500</v>
      </c>
      <c r="F44" s="15">
        <v>300</v>
      </c>
      <c r="G44" s="15">
        <v>400</v>
      </c>
      <c r="H44" s="15">
        <f t="shared" si="3"/>
        <v>7200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6500</v>
      </c>
      <c r="F45" s="15">
        <v>400</v>
      </c>
      <c r="G45" s="15">
        <v>400</v>
      </c>
      <c r="H45" s="15">
        <f t="shared" si="3"/>
        <v>7300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6500</v>
      </c>
      <c r="F46" s="15">
        <v>300</v>
      </c>
      <c r="G46" s="15">
        <v>400</v>
      </c>
      <c r="H46" s="15">
        <f t="shared" si="3"/>
        <v>7200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6500</v>
      </c>
      <c r="F47" s="15">
        <v>300</v>
      </c>
      <c r="G47" s="15">
        <v>400</v>
      </c>
      <c r="H47" s="15">
        <f t="shared" si="3"/>
        <v>7200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6500</v>
      </c>
      <c r="F48" s="15">
        <v>400</v>
      </c>
      <c r="G48" s="15">
        <v>400</v>
      </c>
      <c r="H48" s="15">
        <f t="shared" si="3"/>
        <v>7300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6500</v>
      </c>
      <c r="F49" s="15">
        <v>300</v>
      </c>
      <c r="G49" s="15">
        <v>400</v>
      </c>
      <c r="H49" s="15">
        <f t="shared" si="3"/>
        <v>7200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368</v>
      </c>
      <c r="E50" s="15">
        <v>6500</v>
      </c>
      <c r="F50" s="15">
        <v>400</v>
      </c>
      <c r="G50" s="15">
        <v>400</v>
      </c>
      <c r="H50" s="15">
        <f t="shared" si="3"/>
        <v>7300</v>
      </c>
      <c r="I50" s="15">
        <f t="shared" si="4"/>
        <v>2686400</v>
      </c>
      <c r="J50" s="16"/>
      <c r="K50" s="15">
        <v>1200000</v>
      </c>
      <c r="L50" s="15">
        <f t="shared" si="0"/>
        <v>7360</v>
      </c>
      <c r="M50" s="16"/>
      <c r="N50" s="16"/>
      <c r="O50" s="15">
        <f t="shared" si="1"/>
        <v>92000</v>
      </c>
      <c r="P50" s="15">
        <f t="shared" si="2"/>
        <v>1299360</v>
      </c>
      <c r="Q50" s="15">
        <f t="shared" si="5"/>
        <v>1387040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244</v>
      </c>
      <c r="E51" s="15">
        <v>6500</v>
      </c>
      <c r="F51" s="15">
        <v>400</v>
      </c>
      <c r="G51" s="15">
        <v>400</v>
      </c>
      <c r="H51" s="15">
        <f t="shared" si="3"/>
        <v>7300</v>
      </c>
      <c r="I51" s="15">
        <f t="shared" si="4"/>
        <v>1781200</v>
      </c>
      <c r="J51" s="16"/>
      <c r="K51" s="15">
        <v>600000</v>
      </c>
      <c r="L51" s="15">
        <f t="shared" si="0"/>
        <v>4880</v>
      </c>
      <c r="M51" s="16"/>
      <c r="N51" s="16"/>
      <c r="O51" s="15">
        <f t="shared" si="1"/>
        <v>61000</v>
      </c>
      <c r="P51" s="15">
        <f t="shared" si="2"/>
        <v>665880</v>
      </c>
      <c r="Q51" s="15">
        <f t="shared" si="5"/>
        <v>1115320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90</v>
      </c>
      <c r="E52" s="15">
        <v>6500</v>
      </c>
      <c r="F52" s="15">
        <v>500</v>
      </c>
      <c r="G52" s="15">
        <v>400</v>
      </c>
      <c r="H52" s="15">
        <f t="shared" si="3"/>
        <v>7400</v>
      </c>
      <c r="I52" s="15">
        <f t="shared" si="4"/>
        <v>666000</v>
      </c>
      <c r="J52" s="16"/>
      <c r="K52" s="15"/>
      <c r="L52" s="15">
        <f t="shared" si="0"/>
        <v>1800</v>
      </c>
      <c r="M52" s="16"/>
      <c r="N52" s="16"/>
      <c r="O52" s="15">
        <f t="shared" si="1"/>
        <v>22500</v>
      </c>
      <c r="P52" s="15">
        <f t="shared" si="2"/>
        <v>24300</v>
      </c>
      <c r="Q52" s="15">
        <f t="shared" si="5"/>
        <v>641700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93</v>
      </c>
      <c r="E53" s="15">
        <v>6500</v>
      </c>
      <c r="F53" s="15">
        <v>500</v>
      </c>
      <c r="G53" s="15">
        <v>400</v>
      </c>
      <c r="H53" s="15">
        <f t="shared" si="3"/>
        <v>7400</v>
      </c>
      <c r="I53" s="15">
        <f t="shared" si="4"/>
        <v>688200</v>
      </c>
      <c r="J53" s="16"/>
      <c r="K53" s="15">
        <v>200000</v>
      </c>
      <c r="L53" s="15">
        <f t="shared" si="0"/>
        <v>1860</v>
      </c>
      <c r="M53" s="16"/>
      <c r="N53" s="16"/>
      <c r="O53" s="15">
        <f t="shared" si="1"/>
        <v>23250</v>
      </c>
      <c r="P53" s="15">
        <f t="shared" si="2"/>
        <v>225110</v>
      </c>
      <c r="Q53" s="15">
        <f t="shared" si="5"/>
        <v>463090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6500</v>
      </c>
      <c r="F54" s="15">
        <v>300</v>
      </c>
      <c r="G54" s="15">
        <v>400</v>
      </c>
      <c r="H54" s="15">
        <f t="shared" si="3"/>
        <v>7200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6500</v>
      </c>
      <c r="F55" s="15">
        <v>300</v>
      </c>
      <c r="G55" s="15">
        <v>400</v>
      </c>
      <c r="H55" s="15">
        <f t="shared" si="3"/>
        <v>7200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202</v>
      </c>
      <c r="E56" s="15">
        <v>6500</v>
      </c>
      <c r="F56" s="15">
        <v>500</v>
      </c>
      <c r="G56" s="15">
        <v>400</v>
      </c>
      <c r="H56" s="15">
        <f t="shared" si="3"/>
        <v>7400</v>
      </c>
      <c r="I56" s="15">
        <f t="shared" si="4"/>
        <v>1494800</v>
      </c>
      <c r="J56" s="16"/>
      <c r="K56" s="15">
        <v>400000</v>
      </c>
      <c r="L56" s="15">
        <f t="shared" si="0"/>
        <v>4040</v>
      </c>
      <c r="M56" s="20"/>
      <c r="N56" s="20"/>
      <c r="O56" s="15">
        <f t="shared" si="1"/>
        <v>50500</v>
      </c>
      <c r="P56" s="15">
        <f t="shared" si="2"/>
        <v>454540</v>
      </c>
      <c r="Q56" s="15">
        <f t="shared" si="5"/>
        <v>1040260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6500</v>
      </c>
      <c r="F57" s="15">
        <v>500</v>
      </c>
      <c r="G57" s="15">
        <v>400</v>
      </c>
      <c r="H57" s="15">
        <f t="shared" si="3"/>
        <v>7400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6500</v>
      </c>
      <c r="F58" s="15">
        <v>300</v>
      </c>
      <c r="G58" s="15">
        <v>400</v>
      </c>
      <c r="H58" s="15">
        <f t="shared" si="3"/>
        <v>7200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161</v>
      </c>
      <c r="E59" s="15">
        <v>6500</v>
      </c>
      <c r="F59" s="15">
        <v>600</v>
      </c>
      <c r="G59" s="15">
        <v>400</v>
      </c>
      <c r="H59" s="15">
        <f t="shared" si="3"/>
        <v>7500</v>
      </c>
      <c r="I59" s="15">
        <f t="shared" si="4"/>
        <v>1207500</v>
      </c>
      <c r="J59" s="16"/>
      <c r="K59" s="15">
        <v>200000</v>
      </c>
      <c r="L59" s="15">
        <f t="shared" si="0"/>
        <v>3220</v>
      </c>
      <c r="M59" s="16"/>
      <c r="N59" s="16"/>
      <c r="O59" s="15">
        <f t="shared" si="1"/>
        <v>40250</v>
      </c>
      <c r="P59" s="15">
        <f t="shared" si="2"/>
        <v>243470</v>
      </c>
      <c r="Q59" s="15">
        <f t="shared" si="5"/>
        <v>964030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6500</v>
      </c>
      <c r="F60" s="15">
        <v>300</v>
      </c>
      <c r="G60" s="15">
        <v>400</v>
      </c>
      <c r="H60" s="15">
        <f t="shared" si="3"/>
        <v>7200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6500</v>
      </c>
      <c r="F61" s="15">
        <v>300</v>
      </c>
      <c r="G61" s="15">
        <v>400</v>
      </c>
      <c r="H61" s="15">
        <f t="shared" si="3"/>
        <v>7200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1173</v>
      </c>
      <c r="E62" s="15">
        <v>6500</v>
      </c>
      <c r="F62" s="15">
        <v>600</v>
      </c>
      <c r="G62" s="15">
        <v>400</v>
      </c>
      <c r="H62" s="15">
        <f t="shared" si="3"/>
        <v>7500</v>
      </c>
      <c r="I62" s="15">
        <f t="shared" si="4"/>
        <v>8797500</v>
      </c>
      <c r="J62" s="16"/>
      <c r="K62" s="15"/>
      <c r="L62" s="15">
        <f t="shared" si="0"/>
        <v>23460</v>
      </c>
      <c r="M62" s="20"/>
      <c r="N62" s="20"/>
      <c r="O62" s="15">
        <f t="shared" si="1"/>
        <v>293250</v>
      </c>
      <c r="P62" s="15">
        <f t="shared" si="2"/>
        <v>316710</v>
      </c>
      <c r="Q62" s="15">
        <f t="shared" si="5"/>
        <v>8480790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6500</v>
      </c>
      <c r="F63" s="15">
        <v>300</v>
      </c>
      <c r="G63" s="15">
        <v>400</v>
      </c>
      <c r="H63" s="15">
        <f t="shared" si="3"/>
        <v>7200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6500</v>
      </c>
      <c r="F64" s="15">
        <v>400</v>
      </c>
      <c r="G64" s="15">
        <v>400</v>
      </c>
      <c r="H64" s="15">
        <f t="shared" si="3"/>
        <v>7300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6500</v>
      </c>
      <c r="F65" s="15">
        <v>300</v>
      </c>
      <c r="G65" s="15">
        <v>400</v>
      </c>
      <c r="H65" s="15">
        <f t="shared" si="3"/>
        <v>7200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223</v>
      </c>
      <c r="E66" s="15">
        <v>6500</v>
      </c>
      <c r="F66" s="15">
        <v>500</v>
      </c>
      <c r="G66" s="15">
        <v>400</v>
      </c>
      <c r="H66" s="15">
        <f t="shared" si="3"/>
        <v>7400</v>
      </c>
      <c r="I66" s="15">
        <f t="shared" si="4"/>
        <v>1650200</v>
      </c>
      <c r="J66" s="20"/>
      <c r="K66" s="15">
        <v>600000</v>
      </c>
      <c r="L66" s="15">
        <f t="shared" si="0"/>
        <v>4460</v>
      </c>
      <c r="M66" s="20"/>
      <c r="N66" s="20"/>
      <c r="O66" s="15">
        <f t="shared" si="1"/>
        <v>55750</v>
      </c>
      <c r="P66" s="15">
        <f t="shared" si="2"/>
        <v>660210</v>
      </c>
      <c r="Q66" s="15">
        <f t="shared" si="5"/>
        <v>989990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6500</v>
      </c>
      <c r="F67" s="15">
        <v>300</v>
      </c>
      <c r="G67" s="15">
        <v>400</v>
      </c>
      <c r="H67" s="15">
        <f t="shared" si="3"/>
        <v>7200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6500</v>
      </c>
      <c r="F68" s="15">
        <v>300</v>
      </c>
      <c r="G68" s="15">
        <v>400</v>
      </c>
      <c r="H68" s="15">
        <f t="shared" si="3"/>
        <v>7200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307</v>
      </c>
      <c r="E69" s="15">
        <v>6500</v>
      </c>
      <c r="F69" s="15">
        <v>600</v>
      </c>
      <c r="G69" s="15">
        <v>400</v>
      </c>
      <c r="H69" s="15">
        <f t="shared" si="3"/>
        <v>7500</v>
      </c>
      <c r="I69" s="15">
        <f t="shared" si="4"/>
        <v>2302500</v>
      </c>
      <c r="J69" s="16"/>
      <c r="K69" s="15">
        <v>800000</v>
      </c>
      <c r="L69" s="15">
        <f t="shared" ref="L69:L132" si="6">D69*20</f>
        <v>6140</v>
      </c>
      <c r="M69" s="20"/>
      <c r="N69" s="20"/>
      <c r="O69" s="15">
        <f t="shared" ref="O69:O132" si="7">250*D69</f>
        <v>76750</v>
      </c>
      <c r="P69" s="15">
        <f t="shared" ref="P69:P132" si="8">SUM(J69:O69)</f>
        <v>882890</v>
      </c>
      <c r="Q69" s="15">
        <f t="shared" ref="Q69:Q132" si="9">I69-P69</f>
        <v>1419610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6500</v>
      </c>
      <c r="F70" s="15">
        <v>300</v>
      </c>
      <c r="G70" s="15">
        <v>400</v>
      </c>
      <c r="H70" s="15">
        <f t="shared" ref="H70:H133" si="10">SUM(E70:G70)</f>
        <v>7200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6500</v>
      </c>
      <c r="F71" s="15">
        <v>400</v>
      </c>
      <c r="G71" s="15">
        <v>400</v>
      </c>
      <c r="H71" s="15">
        <f t="shared" si="10"/>
        <v>7300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104</v>
      </c>
      <c r="E72" s="15">
        <v>6500</v>
      </c>
      <c r="F72" s="15">
        <v>400</v>
      </c>
      <c r="G72" s="15">
        <v>400</v>
      </c>
      <c r="H72" s="15">
        <f t="shared" si="10"/>
        <v>7300</v>
      </c>
      <c r="I72" s="15">
        <f t="shared" si="11"/>
        <v>759200</v>
      </c>
      <c r="J72" s="16"/>
      <c r="K72" s="15">
        <v>200000</v>
      </c>
      <c r="L72" s="15">
        <f t="shared" si="6"/>
        <v>2080</v>
      </c>
      <c r="M72" s="20"/>
      <c r="N72" s="20"/>
      <c r="O72" s="15">
        <f t="shared" si="7"/>
        <v>26000</v>
      </c>
      <c r="P72" s="15">
        <f t="shared" si="8"/>
        <v>228080</v>
      </c>
      <c r="Q72" s="15">
        <f t="shared" si="9"/>
        <v>531120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6500</v>
      </c>
      <c r="F73" s="15">
        <v>500</v>
      </c>
      <c r="G73" s="15">
        <v>400</v>
      </c>
      <c r="H73" s="15">
        <f t="shared" si="10"/>
        <v>7400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6500</v>
      </c>
      <c r="F74" s="15">
        <v>300</v>
      </c>
      <c r="G74" s="15">
        <v>400</v>
      </c>
      <c r="H74" s="15">
        <f t="shared" si="10"/>
        <v>7200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6500</v>
      </c>
      <c r="F75" s="15">
        <v>500</v>
      </c>
      <c r="G75" s="15">
        <v>400</v>
      </c>
      <c r="H75" s="15">
        <f t="shared" si="10"/>
        <v>7400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226</v>
      </c>
      <c r="E76" s="15">
        <v>6500</v>
      </c>
      <c r="F76" s="15">
        <v>500</v>
      </c>
      <c r="G76" s="15">
        <v>400</v>
      </c>
      <c r="H76" s="15">
        <f t="shared" si="10"/>
        <v>7400</v>
      </c>
      <c r="I76" s="15">
        <f t="shared" si="11"/>
        <v>1672400</v>
      </c>
      <c r="J76" s="20"/>
      <c r="K76" s="15"/>
      <c r="L76" s="15">
        <f t="shared" si="6"/>
        <v>4520</v>
      </c>
      <c r="M76" s="20"/>
      <c r="N76" s="20"/>
      <c r="O76" s="15">
        <f t="shared" si="7"/>
        <v>56500</v>
      </c>
      <c r="P76" s="15">
        <f t="shared" si="8"/>
        <v>61020</v>
      </c>
      <c r="Q76" s="15">
        <f t="shared" si="9"/>
        <v>1611380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6500</v>
      </c>
      <c r="F77" s="15">
        <v>300</v>
      </c>
      <c r="G77" s="15">
        <v>400</v>
      </c>
      <c r="H77" s="15">
        <f t="shared" si="10"/>
        <v>7200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533</v>
      </c>
      <c r="E78" s="15">
        <v>6500</v>
      </c>
      <c r="F78" s="15">
        <v>600</v>
      </c>
      <c r="G78" s="15">
        <v>400</v>
      </c>
      <c r="H78" s="15">
        <f t="shared" si="10"/>
        <v>7500</v>
      </c>
      <c r="I78" s="15">
        <f t="shared" si="11"/>
        <v>3997500</v>
      </c>
      <c r="J78" s="16"/>
      <c r="K78" s="15">
        <v>1600000</v>
      </c>
      <c r="L78" s="15">
        <f t="shared" si="6"/>
        <v>10660</v>
      </c>
      <c r="M78" s="20"/>
      <c r="N78" s="20"/>
      <c r="O78" s="15">
        <f t="shared" si="7"/>
        <v>133250</v>
      </c>
      <c r="P78" s="15">
        <f t="shared" si="8"/>
        <v>1743910</v>
      </c>
      <c r="Q78" s="15">
        <f t="shared" si="9"/>
        <v>2253590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6500</v>
      </c>
      <c r="F79" s="15">
        <v>300</v>
      </c>
      <c r="G79" s="15">
        <v>400</v>
      </c>
      <c r="H79" s="15">
        <f t="shared" si="10"/>
        <v>7200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6500</v>
      </c>
      <c r="F80" s="15">
        <v>400</v>
      </c>
      <c r="G80" s="15">
        <v>400</v>
      </c>
      <c r="H80" s="15">
        <f t="shared" si="10"/>
        <v>7300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6500</v>
      </c>
      <c r="F81" s="15">
        <v>300</v>
      </c>
      <c r="G81" s="15">
        <v>400</v>
      </c>
      <c r="H81" s="15">
        <f t="shared" si="10"/>
        <v>7200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6500</v>
      </c>
      <c r="F82" s="15">
        <v>300</v>
      </c>
      <c r="G82" s="15">
        <v>400</v>
      </c>
      <c r="H82" s="15">
        <f t="shared" si="10"/>
        <v>7200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98</v>
      </c>
      <c r="E83" s="15">
        <v>6500</v>
      </c>
      <c r="F83" s="15">
        <v>600</v>
      </c>
      <c r="G83" s="15">
        <v>400</v>
      </c>
      <c r="H83" s="15">
        <f t="shared" si="10"/>
        <v>7500</v>
      </c>
      <c r="I83" s="15">
        <f t="shared" si="11"/>
        <v>735000</v>
      </c>
      <c r="J83" s="16"/>
      <c r="K83" s="15">
        <v>400000</v>
      </c>
      <c r="L83" s="15">
        <f t="shared" si="6"/>
        <v>1960</v>
      </c>
      <c r="M83" s="20"/>
      <c r="N83" s="20"/>
      <c r="O83" s="15">
        <f t="shared" si="7"/>
        <v>24500</v>
      </c>
      <c r="P83" s="15">
        <f t="shared" si="8"/>
        <v>426460</v>
      </c>
      <c r="Q83" s="15">
        <f t="shared" si="9"/>
        <v>308540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6500</v>
      </c>
      <c r="F84" s="15">
        <v>300</v>
      </c>
      <c r="G84" s="15">
        <v>400</v>
      </c>
      <c r="H84" s="15">
        <f t="shared" si="10"/>
        <v>7200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157</v>
      </c>
      <c r="E85" s="15">
        <v>6500</v>
      </c>
      <c r="F85" s="15">
        <v>400</v>
      </c>
      <c r="G85" s="15">
        <v>400</v>
      </c>
      <c r="H85" s="15">
        <f t="shared" si="10"/>
        <v>7300</v>
      </c>
      <c r="I85" s="15">
        <f t="shared" si="11"/>
        <v>1146100</v>
      </c>
      <c r="J85" s="16"/>
      <c r="K85" s="15">
        <v>800000</v>
      </c>
      <c r="L85" s="15">
        <f t="shared" si="6"/>
        <v>3140</v>
      </c>
      <c r="M85" s="20"/>
      <c r="N85" s="20"/>
      <c r="O85" s="15">
        <f t="shared" si="7"/>
        <v>39250</v>
      </c>
      <c r="P85" s="15">
        <f t="shared" si="8"/>
        <v>842390</v>
      </c>
      <c r="Q85" s="15">
        <f t="shared" si="9"/>
        <v>303710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6500</v>
      </c>
      <c r="F86" s="15">
        <v>300</v>
      </c>
      <c r="G86" s="15">
        <v>400</v>
      </c>
      <c r="H86" s="15">
        <f t="shared" si="10"/>
        <v>7200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6500</v>
      </c>
      <c r="F87" s="15">
        <v>300</v>
      </c>
      <c r="G87" s="15">
        <v>400</v>
      </c>
      <c r="H87" s="15">
        <f t="shared" si="10"/>
        <v>7200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6500</v>
      </c>
      <c r="F88" s="15">
        <v>400</v>
      </c>
      <c r="G88" s="15">
        <v>400</v>
      </c>
      <c r="H88" s="15">
        <f t="shared" si="10"/>
        <v>7300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6500</v>
      </c>
      <c r="F89" s="15">
        <v>300</v>
      </c>
      <c r="G89" s="15">
        <v>400</v>
      </c>
      <c r="H89" s="15">
        <f t="shared" si="10"/>
        <v>7200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6500</v>
      </c>
      <c r="F90" s="15">
        <v>300</v>
      </c>
      <c r="G90" s="15">
        <v>400</v>
      </c>
      <c r="H90" s="15">
        <f t="shared" si="10"/>
        <v>7200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6500</v>
      </c>
      <c r="F91" s="15">
        <v>200</v>
      </c>
      <c r="G91" s="15">
        <v>400</v>
      </c>
      <c r="H91" s="15">
        <f t="shared" si="10"/>
        <v>7100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105</v>
      </c>
      <c r="E92" s="15">
        <v>6500</v>
      </c>
      <c r="F92" s="15">
        <v>500</v>
      </c>
      <c r="G92" s="15">
        <v>400</v>
      </c>
      <c r="H92" s="15">
        <f t="shared" si="10"/>
        <v>7400</v>
      </c>
      <c r="I92" s="15">
        <f t="shared" si="11"/>
        <v>777000</v>
      </c>
      <c r="J92" s="16"/>
      <c r="K92" s="15"/>
      <c r="L92" s="15">
        <f t="shared" si="6"/>
        <v>2100</v>
      </c>
      <c r="M92" s="16"/>
      <c r="N92" s="16"/>
      <c r="O92" s="15">
        <f t="shared" si="7"/>
        <v>26250</v>
      </c>
      <c r="P92" s="15">
        <f t="shared" si="8"/>
        <v>28350</v>
      </c>
      <c r="Q92" s="15">
        <f t="shared" si="9"/>
        <v>748650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6500</v>
      </c>
      <c r="F93" s="15">
        <v>400</v>
      </c>
      <c r="G93" s="15">
        <v>400</v>
      </c>
      <c r="H93" s="15">
        <f t="shared" si="10"/>
        <v>7300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6500</v>
      </c>
      <c r="F94" s="15">
        <v>300</v>
      </c>
      <c r="G94" s="15">
        <v>400</v>
      </c>
      <c r="H94" s="15">
        <f t="shared" si="10"/>
        <v>7200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189</v>
      </c>
      <c r="E95" s="15">
        <v>6500</v>
      </c>
      <c r="F95" s="15">
        <v>500</v>
      </c>
      <c r="G95" s="15">
        <v>400</v>
      </c>
      <c r="H95" s="15">
        <f t="shared" si="10"/>
        <v>7400</v>
      </c>
      <c r="I95" s="15">
        <f t="shared" si="11"/>
        <v>1398600</v>
      </c>
      <c r="J95" s="16"/>
      <c r="K95" s="15"/>
      <c r="L95" s="15">
        <f t="shared" si="6"/>
        <v>3780</v>
      </c>
      <c r="M95" s="20"/>
      <c r="N95" s="20"/>
      <c r="O95" s="15">
        <f t="shared" si="7"/>
        <v>47250</v>
      </c>
      <c r="P95" s="15">
        <f t="shared" si="8"/>
        <v>51030</v>
      </c>
      <c r="Q95" s="15">
        <f t="shared" si="9"/>
        <v>1347570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6500</v>
      </c>
      <c r="F96" s="15">
        <v>300</v>
      </c>
      <c r="G96" s="15">
        <v>400</v>
      </c>
      <c r="H96" s="15">
        <f t="shared" si="10"/>
        <v>7200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6500</v>
      </c>
      <c r="F97" s="15">
        <v>200</v>
      </c>
      <c r="G97" s="15">
        <v>400</v>
      </c>
      <c r="H97" s="15">
        <f t="shared" si="10"/>
        <v>7100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6500</v>
      </c>
      <c r="F98" s="15">
        <v>300</v>
      </c>
      <c r="G98" s="15">
        <v>400</v>
      </c>
      <c r="H98" s="15">
        <f t="shared" si="10"/>
        <v>7200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6500</v>
      </c>
      <c r="F99" s="15">
        <v>300</v>
      </c>
      <c r="G99" s="15">
        <v>400</v>
      </c>
      <c r="H99" s="15">
        <f t="shared" si="10"/>
        <v>7200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6500</v>
      </c>
      <c r="F100" s="15">
        <v>300</v>
      </c>
      <c r="G100" s="15">
        <v>400</v>
      </c>
      <c r="H100" s="15">
        <f t="shared" si="10"/>
        <v>7200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6500</v>
      </c>
      <c r="F101" s="15">
        <v>300</v>
      </c>
      <c r="G101" s="15">
        <v>400</v>
      </c>
      <c r="H101" s="15">
        <f t="shared" si="10"/>
        <v>7200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183</v>
      </c>
      <c r="E102" s="15">
        <v>6500</v>
      </c>
      <c r="F102" s="15">
        <v>200</v>
      </c>
      <c r="G102" s="15">
        <v>400</v>
      </c>
      <c r="H102" s="15">
        <f t="shared" si="10"/>
        <v>7100</v>
      </c>
      <c r="I102" s="15">
        <f t="shared" si="11"/>
        <v>1299300</v>
      </c>
      <c r="J102" s="16"/>
      <c r="K102" s="15"/>
      <c r="L102" s="15">
        <f t="shared" si="6"/>
        <v>3660</v>
      </c>
      <c r="M102" s="20"/>
      <c r="N102" s="20"/>
      <c r="O102" s="15">
        <f t="shared" si="7"/>
        <v>45750</v>
      </c>
      <c r="P102" s="15">
        <f t="shared" si="8"/>
        <v>49410</v>
      </c>
      <c r="Q102" s="15">
        <f t="shared" si="9"/>
        <v>1249890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6500</v>
      </c>
      <c r="F103" s="15">
        <v>300</v>
      </c>
      <c r="G103" s="15">
        <v>400</v>
      </c>
      <c r="H103" s="15">
        <f t="shared" si="10"/>
        <v>7200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6500</v>
      </c>
      <c r="F104" s="15">
        <v>300</v>
      </c>
      <c r="G104" s="15">
        <v>400</v>
      </c>
      <c r="H104" s="15">
        <f t="shared" si="10"/>
        <v>7200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6500</v>
      </c>
      <c r="F105" s="15">
        <v>300</v>
      </c>
      <c r="G105" s="15">
        <v>400</v>
      </c>
      <c r="H105" s="15">
        <f t="shared" si="10"/>
        <v>7200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6500</v>
      </c>
      <c r="F106" s="15">
        <v>300</v>
      </c>
      <c r="G106" s="15">
        <v>400</v>
      </c>
      <c r="H106" s="15">
        <f t="shared" si="10"/>
        <v>7200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6500</v>
      </c>
      <c r="F107" s="15">
        <v>400</v>
      </c>
      <c r="G107" s="15">
        <v>400</v>
      </c>
      <c r="H107" s="15">
        <f t="shared" si="10"/>
        <v>7300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6500</v>
      </c>
      <c r="F108" s="15">
        <v>300</v>
      </c>
      <c r="G108" s="15">
        <v>400</v>
      </c>
      <c r="H108" s="15">
        <f t="shared" si="10"/>
        <v>7200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6500</v>
      </c>
      <c r="F109" s="15">
        <v>500</v>
      </c>
      <c r="G109" s="15">
        <v>400</v>
      </c>
      <c r="H109" s="15">
        <f t="shared" si="10"/>
        <v>7400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6500</v>
      </c>
      <c r="F110" s="15">
        <v>300</v>
      </c>
      <c r="G110" s="15">
        <v>400</v>
      </c>
      <c r="H110" s="15">
        <f t="shared" si="10"/>
        <v>7200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6500</v>
      </c>
      <c r="F111" s="15">
        <v>300</v>
      </c>
      <c r="G111" s="15">
        <v>400</v>
      </c>
      <c r="H111" s="15">
        <f t="shared" si="10"/>
        <v>7200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6500</v>
      </c>
      <c r="F112" s="15">
        <v>300</v>
      </c>
      <c r="G112" s="15">
        <v>400</v>
      </c>
      <c r="H112" s="15">
        <f t="shared" si="10"/>
        <v>7200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6500</v>
      </c>
      <c r="F113" s="15">
        <v>400</v>
      </c>
      <c r="G113" s="15">
        <v>400</v>
      </c>
      <c r="H113" s="15">
        <f t="shared" si="10"/>
        <v>7300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856</v>
      </c>
      <c r="E114" s="15">
        <v>6500</v>
      </c>
      <c r="F114" s="15">
        <v>600</v>
      </c>
      <c r="G114" s="15">
        <v>400</v>
      </c>
      <c r="H114" s="15">
        <f t="shared" si="10"/>
        <v>7500</v>
      </c>
      <c r="I114" s="15">
        <f t="shared" si="11"/>
        <v>6420000</v>
      </c>
      <c r="J114" s="16"/>
      <c r="K114" s="15"/>
      <c r="L114" s="15">
        <f t="shared" si="6"/>
        <v>17120</v>
      </c>
      <c r="M114" s="16"/>
      <c r="N114" s="16"/>
      <c r="O114" s="15">
        <f t="shared" si="7"/>
        <v>214000</v>
      </c>
      <c r="P114" s="15">
        <f t="shared" si="8"/>
        <v>231120</v>
      </c>
      <c r="Q114" s="15">
        <f t="shared" si="9"/>
        <v>6188880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6500</v>
      </c>
      <c r="F115" s="15">
        <v>400</v>
      </c>
      <c r="G115" s="15">
        <v>400</v>
      </c>
      <c r="H115" s="15">
        <f t="shared" si="10"/>
        <v>7300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6500</v>
      </c>
      <c r="F116" s="15">
        <v>400</v>
      </c>
      <c r="G116" s="15">
        <v>400</v>
      </c>
      <c r="H116" s="15">
        <f t="shared" si="10"/>
        <v>7300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6500</v>
      </c>
      <c r="F117" s="15">
        <v>300</v>
      </c>
      <c r="G117" s="15">
        <v>400</v>
      </c>
      <c r="H117" s="15">
        <f t="shared" si="10"/>
        <v>7200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60</v>
      </c>
      <c r="E118" s="15">
        <v>6500</v>
      </c>
      <c r="F118" s="15">
        <v>500</v>
      </c>
      <c r="G118" s="15">
        <v>400</v>
      </c>
      <c r="H118" s="15">
        <f t="shared" si="10"/>
        <v>7400</v>
      </c>
      <c r="I118" s="15">
        <f t="shared" si="11"/>
        <v>444000</v>
      </c>
      <c r="J118" s="20"/>
      <c r="K118" s="15">
        <v>420000</v>
      </c>
      <c r="L118" s="15">
        <f t="shared" si="6"/>
        <v>1200</v>
      </c>
      <c r="M118" s="16"/>
      <c r="N118" s="16"/>
      <c r="O118" s="15">
        <f t="shared" si="7"/>
        <v>15000</v>
      </c>
      <c r="P118" s="15">
        <f t="shared" si="8"/>
        <v>436200</v>
      </c>
      <c r="Q118" s="15">
        <f t="shared" si="9"/>
        <v>7800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278</v>
      </c>
      <c r="E119" s="15">
        <v>6500</v>
      </c>
      <c r="F119" s="15">
        <v>500</v>
      </c>
      <c r="G119" s="15">
        <v>400</v>
      </c>
      <c r="H119" s="15">
        <f t="shared" si="10"/>
        <v>7400</v>
      </c>
      <c r="I119" s="15">
        <f t="shared" si="11"/>
        <v>2057200</v>
      </c>
      <c r="J119" s="16"/>
      <c r="K119" s="15"/>
      <c r="L119" s="15">
        <f t="shared" si="6"/>
        <v>5560</v>
      </c>
      <c r="M119" s="16"/>
      <c r="N119" s="16"/>
      <c r="O119" s="15">
        <f t="shared" si="7"/>
        <v>69500</v>
      </c>
      <c r="P119" s="15">
        <f t="shared" si="8"/>
        <v>75060</v>
      </c>
      <c r="Q119" s="15">
        <f t="shared" si="9"/>
        <v>1982140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36</v>
      </c>
      <c r="E120" s="15">
        <v>6500</v>
      </c>
      <c r="F120" s="15">
        <v>600</v>
      </c>
      <c r="G120" s="15">
        <v>400</v>
      </c>
      <c r="H120" s="15">
        <f t="shared" si="10"/>
        <v>7500</v>
      </c>
      <c r="I120" s="15">
        <f t="shared" si="11"/>
        <v>270000</v>
      </c>
      <c r="J120" s="16"/>
      <c r="K120" s="15">
        <v>200000</v>
      </c>
      <c r="L120" s="15">
        <f t="shared" si="6"/>
        <v>720</v>
      </c>
      <c r="M120" s="16"/>
      <c r="N120" s="16"/>
      <c r="O120" s="15">
        <f t="shared" si="7"/>
        <v>9000</v>
      </c>
      <c r="P120" s="15">
        <f t="shared" si="8"/>
        <v>209720</v>
      </c>
      <c r="Q120" s="15">
        <f t="shared" si="9"/>
        <v>60280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165</v>
      </c>
      <c r="E121" s="15">
        <v>6500</v>
      </c>
      <c r="F121" s="15">
        <v>500</v>
      </c>
      <c r="G121" s="15">
        <v>400</v>
      </c>
      <c r="H121" s="15">
        <f t="shared" si="10"/>
        <v>7400</v>
      </c>
      <c r="I121" s="15">
        <f t="shared" si="11"/>
        <v>1221000</v>
      </c>
      <c r="J121" s="16"/>
      <c r="K121" s="15">
        <v>600000</v>
      </c>
      <c r="L121" s="15">
        <f t="shared" si="6"/>
        <v>3300</v>
      </c>
      <c r="M121" s="16"/>
      <c r="N121" s="16"/>
      <c r="O121" s="15">
        <f t="shared" si="7"/>
        <v>41250</v>
      </c>
      <c r="P121" s="15">
        <f t="shared" si="8"/>
        <v>644550</v>
      </c>
      <c r="Q121" s="15">
        <f t="shared" si="9"/>
        <v>576450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6500</v>
      </c>
      <c r="F122" s="15">
        <v>400</v>
      </c>
      <c r="G122" s="15">
        <v>400</v>
      </c>
      <c r="H122" s="15">
        <f t="shared" si="10"/>
        <v>7300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87</v>
      </c>
      <c r="E123" s="15">
        <v>6500</v>
      </c>
      <c r="F123" s="15">
        <v>400</v>
      </c>
      <c r="G123" s="15">
        <v>400</v>
      </c>
      <c r="H123" s="15">
        <f t="shared" si="10"/>
        <v>7300</v>
      </c>
      <c r="I123" s="15">
        <f t="shared" si="11"/>
        <v>635100</v>
      </c>
      <c r="J123" s="20"/>
      <c r="K123" s="15">
        <v>200000</v>
      </c>
      <c r="L123" s="15">
        <f t="shared" si="6"/>
        <v>1740</v>
      </c>
      <c r="M123" s="20"/>
      <c r="N123" s="20"/>
      <c r="O123" s="15">
        <f t="shared" si="7"/>
        <v>21750</v>
      </c>
      <c r="P123" s="15">
        <f t="shared" si="8"/>
        <v>223490</v>
      </c>
      <c r="Q123" s="15">
        <f t="shared" si="9"/>
        <v>411610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6500</v>
      </c>
      <c r="F124" s="15">
        <v>300</v>
      </c>
      <c r="G124" s="15">
        <v>400</v>
      </c>
      <c r="H124" s="15">
        <f t="shared" si="10"/>
        <v>7200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6500</v>
      </c>
      <c r="F125" s="15">
        <v>400</v>
      </c>
      <c r="G125" s="15">
        <v>400</v>
      </c>
      <c r="H125" s="15">
        <f t="shared" si="10"/>
        <v>7300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238</v>
      </c>
      <c r="E126" s="15">
        <v>6500</v>
      </c>
      <c r="F126" s="15">
        <v>400</v>
      </c>
      <c r="G126" s="15">
        <v>400</v>
      </c>
      <c r="H126" s="15">
        <f t="shared" si="10"/>
        <v>7300</v>
      </c>
      <c r="I126" s="15">
        <f t="shared" si="11"/>
        <v>1737400</v>
      </c>
      <c r="J126" s="16"/>
      <c r="K126" s="15">
        <v>100000</v>
      </c>
      <c r="L126" s="15">
        <f t="shared" si="6"/>
        <v>4760</v>
      </c>
      <c r="M126" s="20"/>
      <c r="N126" s="20"/>
      <c r="O126" s="15">
        <f t="shared" si="7"/>
        <v>59500</v>
      </c>
      <c r="P126" s="15">
        <f t="shared" si="8"/>
        <v>164260</v>
      </c>
      <c r="Q126" s="15">
        <f t="shared" si="9"/>
        <v>1573140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178</v>
      </c>
      <c r="E127" s="15">
        <v>6500</v>
      </c>
      <c r="F127" s="15">
        <v>500</v>
      </c>
      <c r="G127" s="15">
        <v>400</v>
      </c>
      <c r="H127" s="15">
        <f t="shared" si="10"/>
        <v>7400</v>
      </c>
      <c r="I127" s="15">
        <f t="shared" si="11"/>
        <v>1317200</v>
      </c>
      <c r="J127" s="20"/>
      <c r="K127" s="15"/>
      <c r="L127" s="15">
        <f t="shared" si="6"/>
        <v>3560</v>
      </c>
      <c r="M127" s="16"/>
      <c r="N127" s="16"/>
      <c r="O127" s="15">
        <f t="shared" si="7"/>
        <v>44500</v>
      </c>
      <c r="P127" s="15">
        <f t="shared" si="8"/>
        <v>48060</v>
      </c>
      <c r="Q127" s="15">
        <f t="shared" si="9"/>
        <v>1269140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137</v>
      </c>
      <c r="E128" s="15">
        <v>6500</v>
      </c>
      <c r="F128" s="15">
        <v>600</v>
      </c>
      <c r="G128" s="15">
        <v>400</v>
      </c>
      <c r="H128" s="15">
        <f t="shared" si="10"/>
        <v>7500</v>
      </c>
      <c r="I128" s="15">
        <f t="shared" si="11"/>
        <v>1027500</v>
      </c>
      <c r="J128" s="16"/>
      <c r="K128" s="15"/>
      <c r="L128" s="15">
        <f t="shared" si="6"/>
        <v>2740</v>
      </c>
      <c r="M128" s="16"/>
      <c r="N128" s="16"/>
      <c r="O128" s="15">
        <f t="shared" si="7"/>
        <v>34250</v>
      </c>
      <c r="P128" s="15">
        <f t="shared" si="8"/>
        <v>36990</v>
      </c>
      <c r="Q128" s="15">
        <f t="shared" si="9"/>
        <v>990510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36</v>
      </c>
      <c r="E129" s="15">
        <v>6500</v>
      </c>
      <c r="F129" s="15">
        <v>600</v>
      </c>
      <c r="G129" s="15">
        <v>400</v>
      </c>
      <c r="H129" s="15">
        <f t="shared" si="10"/>
        <v>7500</v>
      </c>
      <c r="I129" s="15">
        <f t="shared" si="11"/>
        <v>270000</v>
      </c>
      <c r="J129" s="16"/>
      <c r="K129" s="23">
        <v>600000</v>
      </c>
      <c r="L129" s="15">
        <f t="shared" si="6"/>
        <v>720</v>
      </c>
      <c r="M129" s="16"/>
      <c r="N129" s="16"/>
      <c r="O129" s="15">
        <f t="shared" si="7"/>
        <v>9000</v>
      </c>
      <c r="P129" s="15">
        <f t="shared" si="8"/>
        <v>609720</v>
      </c>
      <c r="Q129" s="15">
        <f t="shared" si="9"/>
        <v>-339720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690</v>
      </c>
      <c r="E130" s="15">
        <v>6500</v>
      </c>
      <c r="F130" s="15">
        <v>500</v>
      </c>
      <c r="G130" s="15">
        <v>400</v>
      </c>
      <c r="H130" s="15">
        <f t="shared" si="10"/>
        <v>7400</v>
      </c>
      <c r="I130" s="15">
        <f t="shared" si="11"/>
        <v>5106000</v>
      </c>
      <c r="J130" s="16"/>
      <c r="K130" s="15">
        <v>400000</v>
      </c>
      <c r="L130" s="15">
        <f t="shared" si="6"/>
        <v>13800</v>
      </c>
      <c r="M130" s="20"/>
      <c r="N130" s="20"/>
      <c r="O130" s="15">
        <f t="shared" si="7"/>
        <v>172500</v>
      </c>
      <c r="P130" s="15">
        <f t="shared" si="8"/>
        <v>586300</v>
      </c>
      <c r="Q130" s="15">
        <f t="shared" si="9"/>
        <v>4519700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6500</v>
      </c>
      <c r="F131" s="15">
        <v>300</v>
      </c>
      <c r="G131" s="15">
        <v>400</v>
      </c>
      <c r="H131" s="15">
        <f t="shared" si="10"/>
        <v>7200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6500</v>
      </c>
      <c r="F132" s="15">
        <v>300</v>
      </c>
      <c r="G132" s="15">
        <v>400</v>
      </c>
      <c r="H132" s="15">
        <f t="shared" si="10"/>
        <v>7200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192</v>
      </c>
      <c r="E133" s="15">
        <v>6500</v>
      </c>
      <c r="F133" s="15">
        <v>500</v>
      </c>
      <c r="G133" s="15">
        <v>400</v>
      </c>
      <c r="H133" s="15">
        <f t="shared" si="10"/>
        <v>7400</v>
      </c>
      <c r="I133" s="15">
        <f t="shared" si="11"/>
        <v>1420800</v>
      </c>
      <c r="J133" s="16"/>
      <c r="K133" s="15"/>
      <c r="L133" s="15">
        <f t="shared" ref="L133:L196" si="12">D133*20</f>
        <v>3840</v>
      </c>
      <c r="M133" s="20"/>
      <c r="N133" s="20"/>
      <c r="O133" s="15">
        <f t="shared" ref="O133:O196" si="13">250*D133</f>
        <v>48000</v>
      </c>
      <c r="P133" s="15">
        <f t="shared" ref="P133:P196" si="14">SUM(J133:O133)</f>
        <v>51840</v>
      </c>
      <c r="Q133" s="15">
        <f t="shared" ref="Q133:Q196" si="15">I133-P133</f>
        <v>1368960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163</v>
      </c>
      <c r="E134" s="15">
        <v>6500</v>
      </c>
      <c r="F134" s="15">
        <v>400</v>
      </c>
      <c r="G134" s="15">
        <v>400</v>
      </c>
      <c r="H134" s="15">
        <f t="shared" ref="H134:H197" si="16">SUM(E134:G134)</f>
        <v>7300</v>
      </c>
      <c r="I134" s="15">
        <f t="shared" ref="I134:I197" si="17">H134*D134</f>
        <v>1189900</v>
      </c>
      <c r="J134" s="20"/>
      <c r="K134" s="15"/>
      <c r="L134" s="15">
        <f t="shared" si="12"/>
        <v>3260</v>
      </c>
      <c r="M134" s="20"/>
      <c r="N134" s="20"/>
      <c r="O134" s="15">
        <f t="shared" si="13"/>
        <v>40750</v>
      </c>
      <c r="P134" s="15">
        <f t="shared" si="14"/>
        <v>44010</v>
      </c>
      <c r="Q134" s="15">
        <f t="shared" si="15"/>
        <v>1145890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6500</v>
      </c>
      <c r="F135" s="15">
        <v>400</v>
      </c>
      <c r="G135" s="15">
        <v>400</v>
      </c>
      <c r="H135" s="15">
        <f t="shared" si="16"/>
        <v>7300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6500</v>
      </c>
      <c r="F136" s="15">
        <v>300</v>
      </c>
      <c r="G136" s="15">
        <v>400</v>
      </c>
      <c r="H136" s="15">
        <f t="shared" si="16"/>
        <v>7200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6500</v>
      </c>
      <c r="F137" s="15">
        <v>300</v>
      </c>
      <c r="G137" s="15">
        <v>400</v>
      </c>
      <c r="H137" s="15">
        <f t="shared" si="16"/>
        <v>7200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6500</v>
      </c>
      <c r="F138" s="15">
        <v>300</v>
      </c>
      <c r="G138" s="15">
        <v>400</v>
      </c>
      <c r="H138" s="15">
        <f t="shared" si="16"/>
        <v>7200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198</v>
      </c>
      <c r="E139" s="15">
        <v>6500</v>
      </c>
      <c r="F139" s="15">
        <v>500</v>
      </c>
      <c r="G139" s="15">
        <v>400</v>
      </c>
      <c r="H139" s="15">
        <f t="shared" si="16"/>
        <v>7400</v>
      </c>
      <c r="I139" s="15">
        <f t="shared" si="17"/>
        <v>1465200</v>
      </c>
      <c r="J139" s="16"/>
      <c r="K139" s="15">
        <v>600000</v>
      </c>
      <c r="L139" s="15">
        <f t="shared" si="12"/>
        <v>3960</v>
      </c>
      <c r="M139" s="16"/>
      <c r="N139" s="16"/>
      <c r="O139" s="15">
        <f t="shared" si="13"/>
        <v>49500</v>
      </c>
      <c r="P139" s="15">
        <f t="shared" si="14"/>
        <v>653460</v>
      </c>
      <c r="Q139" s="15">
        <f t="shared" si="15"/>
        <v>811740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6500</v>
      </c>
      <c r="F140" s="15">
        <v>400</v>
      </c>
      <c r="G140" s="15">
        <v>400</v>
      </c>
      <c r="H140" s="15">
        <f t="shared" si="16"/>
        <v>7300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6500</v>
      </c>
      <c r="F141" s="15">
        <v>300</v>
      </c>
      <c r="G141" s="15">
        <v>400</v>
      </c>
      <c r="H141" s="15">
        <f t="shared" si="16"/>
        <v>7200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6500</v>
      </c>
      <c r="F142" s="15">
        <v>300</v>
      </c>
      <c r="G142" s="15">
        <v>400</v>
      </c>
      <c r="H142" s="15">
        <f t="shared" si="16"/>
        <v>7200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6500</v>
      </c>
      <c r="F143" s="15">
        <v>300</v>
      </c>
      <c r="G143" s="15">
        <v>400</v>
      </c>
      <c r="H143" s="15">
        <f t="shared" si="16"/>
        <v>7200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6500</v>
      </c>
      <c r="F144" s="15">
        <v>500</v>
      </c>
      <c r="G144" s="15">
        <v>400</v>
      </c>
      <c r="H144" s="15">
        <f t="shared" si="16"/>
        <v>7400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66</v>
      </c>
      <c r="E145" s="15">
        <v>6500</v>
      </c>
      <c r="F145" s="15">
        <v>400</v>
      </c>
      <c r="G145" s="15">
        <v>400</v>
      </c>
      <c r="H145" s="15">
        <f t="shared" si="16"/>
        <v>7300</v>
      </c>
      <c r="I145" s="15">
        <f t="shared" si="17"/>
        <v>481800</v>
      </c>
      <c r="J145" s="16"/>
      <c r="K145" s="15"/>
      <c r="L145" s="15">
        <f t="shared" si="12"/>
        <v>1320</v>
      </c>
      <c r="M145" s="16"/>
      <c r="N145" s="16"/>
      <c r="O145" s="15">
        <f t="shared" si="13"/>
        <v>16500</v>
      </c>
      <c r="P145" s="15">
        <f t="shared" si="14"/>
        <v>17820</v>
      </c>
      <c r="Q145" s="15">
        <f t="shared" si="15"/>
        <v>463980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107</v>
      </c>
      <c r="E146" s="15">
        <v>6500</v>
      </c>
      <c r="F146" s="15">
        <v>400</v>
      </c>
      <c r="G146" s="15">
        <v>400</v>
      </c>
      <c r="H146" s="15">
        <f t="shared" si="16"/>
        <v>7300</v>
      </c>
      <c r="I146" s="15">
        <f t="shared" si="17"/>
        <v>781100</v>
      </c>
      <c r="J146" s="16"/>
      <c r="K146" s="15"/>
      <c r="L146" s="15">
        <f t="shared" si="12"/>
        <v>2140</v>
      </c>
      <c r="M146" s="16"/>
      <c r="N146" s="16"/>
      <c r="O146" s="15">
        <f t="shared" si="13"/>
        <v>26750</v>
      </c>
      <c r="P146" s="15">
        <f t="shared" si="14"/>
        <v>28890</v>
      </c>
      <c r="Q146" s="15">
        <f t="shared" si="15"/>
        <v>752210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6500</v>
      </c>
      <c r="F147" s="15">
        <v>300</v>
      </c>
      <c r="G147" s="15">
        <v>400</v>
      </c>
      <c r="H147" s="15">
        <f t="shared" si="16"/>
        <v>7200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6500</v>
      </c>
      <c r="F148" s="15">
        <v>300</v>
      </c>
      <c r="G148" s="15">
        <v>400</v>
      </c>
      <c r="H148" s="15">
        <f t="shared" si="16"/>
        <v>7200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262</v>
      </c>
      <c r="E149" s="15">
        <v>6500</v>
      </c>
      <c r="F149" s="15">
        <v>600</v>
      </c>
      <c r="G149" s="15">
        <v>400</v>
      </c>
      <c r="H149" s="15">
        <f t="shared" si="16"/>
        <v>7500</v>
      </c>
      <c r="I149" s="15">
        <f t="shared" si="17"/>
        <v>1965000</v>
      </c>
      <c r="J149" s="16"/>
      <c r="K149" s="15"/>
      <c r="L149" s="15">
        <f t="shared" si="12"/>
        <v>5240</v>
      </c>
      <c r="M149" s="16"/>
      <c r="N149" s="16"/>
      <c r="O149" s="15">
        <f t="shared" si="13"/>
        <v>65500</v>
      </c>
      <c r="P149" s="15">
        <f t="shared" si="14"/>
        <v>70740</v>
      </c>
      <c r="Q149" s="15">
        <f t="shared" si="15"/>
        <v>1894260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6500</v>
      </c>
      <c r="F150" s="15">
        <v>300</v>
      </c>
      <c r="G150" s="15">
        <v>400</v>
      </c>
      <c r="H150" s="15">
        <f t="shared" si="16"/>
        <v>7200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6500</v>
      </c>
      <c r="F151" s="15">
        <v>300</v>
      </c>
      <c r="G151" s="15">
        <v>400</v>
      </c>
      <c r="H151" s="15">
        <f t="shared" si="16"/>
        <v>7200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6500</v>
      </c>
      <c r="F152" s="15">
        <v>300</v>
      </c>
      <c r="G152" s="15">
        <v>400</v>
      </c>
      <c r="H152" s="15">
        <f t="shared" si="16"/>
        <v>7200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6500</v>
      </c>
      <c r="F153" s="15">
        <v>300</v>
      </c>
      <c r="G153" s="15">
        <v>400</v>
      </c>
      <c r="H153" s="15">
        <f t="shared" si="16"/>
        <v>7200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6500</v>
      </c>
      <c r="F154" s="15">
        <v>300</v>
      </c>
      <c r="G154" s="15">
        <v>400</v>
      </c>
      <c r="H154" s="15">
        <f t="shared" si="16"/>
        <v>7200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6500</v>
      </c>
      <c r="F155" s="15">
        <v>300</v>
      </c>
      <c r="G155" s="15">
        <v>400</v>
      </c>
      <c r="H155" s="15">
        <f t="shared" si="16"/>
        <v>7200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55</v>
      </c>
      <c r="E156" s="15">
        <v>6500</v>
      </c>
      <c r="F156" s="15">
        <v>400</v>
      </c>
      <c r="G156" s="15">
        <v>400</v>
      </c>
      <c r="H156" s="15">
        <f t="shared" si="16"/>
        <v>7300</v>
      </c>
      <c r="I156" s="15">
        <f t="shared" si="17"/>
        <v>401500</v>
      </c>
      <c r="J156" s="16"/>
      <c r="K156" s="15">
        <v>400000</v>
      </c>
      <c r="L156" s="15">
        <f t="shared" si="12"/>
        <v>1100</v>
      </c>
      <c r="M156" s="20"/>
      <c r="N156" s="20"/>
      <c r="O156" s="15">
        <f t="shared" si="13"/>
        <v>13750</v>
      </c>
      <c r="P156" s="15">
        <f t="shared" si="14"/>
        <v>414850</v>
      </c>
      <c r="Q156" s="15">
        <f t="shared" si="15"/>
        <v>-13350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80</v>
      </c>
      <c r="E157" s="15">
        <v>6500</v>
      </c>
      <c r="F157" s="15">
        <v>500</v>
      </c>
      <c r="G157" s="15">
        <v>400</v>
      </c>
      <c r="H157" s="15">
        <f t="shared" si="16"/>
        <v>7400</v>
      </c>
      <c r="I157" s="15">
        <f t="shared" si="17"/>
        <v>592000</v>
      </c>
      <c r="J157" s="20"/>
      <c r="K157" s="15"/>
      <c r="L157" s="15">
        <f t="shared" si="12"/>
        <v>1600</v>
      </c>
      <c r="M157" s="16"/>
      <c r="N157" s="16"/>
      <c r="O157" s="15">
        <f t="shared" si="13"/>
        <v>20000</v>
      </c>
      <c r="P157" s="15">
        <f t="shared" si="14"/>
        <v>21600</v>
      </c>
      <c r="Q157" s="15">
        <f t="shared" si="15"/>
        <v>570400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6500</v>
      </c>
      <c r="F158" s="15">
        <v>300</v>
      </c>
      <c r="G158" s="15">
        <v>400</v>
      </c>
      <c r="H158" s="15">
        <f t="shared" si="16"/>
        <v>7200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6500</v>
      </c>
      <c r="F159" s="15">
        <v>300</v>
      </c>
      <c r="G159" s="15">
        <v>400</v>
      </c>
      <c r="H159" s="15">
        <f t="shared" si="16"/>
        <v>7200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6500</v>
      </c>
      <c r="F160" s="15">
        <v>400</v>
      </c>
      <c r="G160" s="15">
        <v>400</v>
      </c>
      <c r="H160" s="15">
        <f t="shared" si="16"/>
        <v>7300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6500</v>
      </c>
      <c r="F161" s="15">
        <v>300</v>
      </c>
      <c r="G161" s="15">
        <v>400</v>
      </c>
      <c r="H161" s="15">
        <f t="shared" si="16"/>
        <v>7200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6500</v>
      </c>
      <c r="F162" s="15">
        <v>300</v>
      </c>
      <c r="G162" s="15">
        <v>400</v>
      </c>
      <c r="H162" s="15">
        <f t="shared" si="16"/>
        <v>7200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6500</v>
      </c>
      <c r="F163" s="15">
        <v>300</v>
      </c>
      <c r="G163" s="15">
        <v>400</v>
      </c>
      <c r="H163" s="15">
        <f t="shared" si="16"/>
        <v>7200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6500</v>
      </c>
      <c r="F164" s="15">
        <v>300</v>
      </c>
      <c r="G164" s="15">
        <v>400</v>
      </c>
      <c r="H164" s="15">
        <f t="shared" si="16"/>
        <v>7200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144</v>
      </c>
      <c r="E165" s="15">
        <v>6500</v>
      </c>
      <c r="F165" s="15">
        <v>500</v>
      </c>
      <c r="G165" s="15">
        <v>400</v>
      </c>
      <c r="H165" s="15">
        <f t="shared" si="16"/>
        <v>7400</v>
      </c>
      <c r="I165" s="15">
        <f t="shared" si="17"/>
        <v>1065600</v>
      </c>
      <c r="J165" s="16"/>
      <c r="K165" s="15">
        <v>400000</v>
      </c>
      <c r="L165" s="15">
        <f t="shared" si="12"/>
        <v>2880</v>
      </c>
      <c r="M165" s="20"/>
      <c r="N165" s="20"/>
      <c r="O165" s="15">
        <f t="shared" si="13"/>
        <v>36000</v>
      </c>
      <c r="P165" s="15">
        <f t="shared" si="14"/>
        <v>438880</v>
      </c>
      <c r="Q165" s="15">
        <f t="shared" si="15"/>
        <v>626720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6500</v>
      </c>
      <c r="F166" s="15">
        <v>300</v>
      </c>
      <c r="G166" s="15">
        <v>400</v>
      </c>
      <c r="H166" s="15">
        <f t="shared" si="16"/>
        <v>7200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6500</v>
      </c>
      <c r="F167" s="15">
        <v>300</v>
      </c>
      <c r="G167" s="15">
        <v>400</v>
      </c>
      <c r="H167" s="15">
        <f t="shared" si="16"/>
        <v>7200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6500</v>
      </c>
      <c r="F168" s="15">
        <v>300</v>
      </c>
      <c r="G168" s="15">
        <v>400</v>
      </c>
      <c r="H168" s="15">
        <f t="shared" si="16"/>
        <v>7200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249</v>
      </c>
      <c r="E169" s="15">
        <v>6500</v>
      </c>
      <c r="F169" s="15">
        <v>500</v>
      </c>
      <c r="G169" s="15">
        <v>400</v>
      </c>
      <c r="H169" s="15">
        <f t="shared" si="16"/>
        <v>7400</v>
      </c>
      <c r="I169" s="15">
        <f t="shared" si="17"/>
        <v>1842600</v>
      </c>
      <c r="J169" s="16"/>
      <c r="K169" s="15">
        <v>800000</v>
      </c>
      <c r="L169" s="15">
        <f t="shared" si="12"/>
        <v>4980</v>
      </c>
      <c r="M169" s="16"/>
      <c r="N169" s="16"/>
      <c r="O169" s="15">
        <f t="shared" si="13"/>
        <v>62250</v>
      </c>
      <c r="P169" s="15">
        <f t="shared" si="14"/>
        <v>867230</v>
      </c>
      <c r="Q169" s="15">
        <f t="shared" si="15"/>
        <v>975370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6500</v>
      </c>
      <c r="F170" s="15">
        <v>500</v>
      </c>
      <c r="G170" s="15">
        <v>400</v>
      </c>
      <c r="H170" s="15">
        <f t="shared" si="16"/>
        <v>7400</v>
      </c>
      <c r="I170" s="15">
        <f t="shared" si="17"/>
        <v>0</v>
      </c>
      <c r="J170" s="16"/>
      <c r="K170" s="15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6500</v>
      </c>
      <c r="F171" s="15">
        <v>400</v>
      </c>
      <c r="G171" s="15">
        <v>400</v>
      </c>
      <c r="H171" s="15">
        <f t="shared" si="16"/>
        <v>7300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6500</v>
      </c>
      <c r="F172" s="15">
        <v>300</v>
      </c>
      <c r="G172" s="15">
        <v>400</v>
      </c>
      <c r="H172" s="15">
        <f t="shared" si="16"/>
        <v>7200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6500</v>
      </c>
      <c r="F173" s="15">
        <v>300</v>
      </c>
      <c r="G173" s="15">
        <v>400</v>
      </c>
      <c r="H173" s="15">
        <f t="shared" si="16"/>
        <v>7200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6500</v>
      </c>
      <c r="F174" s="15">
        <v>300</v>
      </c>
      <c r="G174" s="15">
        <v>400</v>
      </c>
      <c r="H174" s="15">
        <f t="shared" si="16"/>
        <v>7200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252</v>
      </c>
      <c r="E175" s="15">
        <v>6500</v>
      </c>
      <c r="F175" s="15">
        <v>600</v>
      </c>
      <c r="G175" s="15">
        <v>400</v>
      </c>
      <c r="H175" s="15">
        <f t="shared" si="16"/>
        <v>7500</v>
      </c>
      <c r="I175" s="15">
        <f t="shared" si="17"/>
        <v>1890000</v>
      </c>
      <c r="J175" s="16"/>
      <c r="K175" s="15">
        <v>200000</v>
      </c>
      <c r="L175" s="15">
        <f t="shared" si="12"/>
        <v>5040</v>
      </c>
      <c r="M175" s="16"/>
      <c r="N175" s="16"/>
      <c r="O175" s="15">
        <f t="shared" si="13"/>
        <v>63000</v>
      </c>
      <c r="P175" s="15">
        <f t="shared" si="14"/>
        <v>268040</v>
      </c>
      <c r="Q175" s="15">
        <f t="shared" si="15"/>
        <v>1621960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6500</v>
      </c>
      <c r="F176" s="15">
        <v>300</v>
      </c>
      <c r="G176" s="15">
        <v>400</v>
      </c>
      <c r="H176" s="15">
        <f t="shared" si="16"/>
        <v>7200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6500</v>
      </c>
      <c r="F177" s="15">
        <v>300</v>
      </c>
      <c r="G177" s="15">
        <v>400</v>
      </c>
      <c r="H177" s="15">
        <f t="shared" si="16"/>
        <v>7200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6500</v>
      </c>
      <c r="F178" s="15">
        <v>300</v>
      </c>
      <c r="G178" s="15">
        <v>400</v>
      </c>
      <c r="H178" s="15">
        <f t="shared" si="16"/>
        <v>7200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6500</v>
      </c>
      <c r="F179" s="15">
        <v>300</v>
      </c>
      <c r="G179" s="15">
        <v>400</v>
      </c>
      <c r="H179" s="15">
        <f t="shared" si="16"/>
        <v>7200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6500</v>
      </c>
      <c r="F180" s="15">
        <v>400</v>
      </c>
      <c r="G180" s="15">
        <v>400</v>
      </c>
      <c r="H180" s="15">
        <f t="shared" si="16"/>
        <v>7300</v>
      </c>
      <c r="I180" s="15">
        <f t="shared" si="17"/>
        <v>0</v>
      </c>
      <c r="J180" s="16"/>
      <c r="K180" s="15">
        <v>400000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400000</v>
      </c>
      <c r="Q180" s="15">
        <f t="shared" si="15"/>
        <v>-400000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6500</v>
      </c>
      <c r="F181" s="15">
        <v>300</v>
      </c>
      <c r="G181" s="15">
        <v>400</v>
      </c>
      <c r="H181" s="15">
        <f t="shared" si="16"/>
        <v>7200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52</v>
      </c>
      <c r="E182" s="15">
        <v>6500</v>
      </c>
      <c r="F182" s="15">
        <v>600</v>
      </c>
      <c r="G182" s="15">
        <v>400</v>
      </c>
      <c r="H182" s="15">
        <f t="shared" si="16"/>
        <v>7500</v>
      </c>
      <c r="I182" s="15">
        <f t="shared" si="17"/>
        <v>390000</v>
      </c>
      <c r="J182" s="16"/>
      <c r="K182" s="15"/>
      <c r="L182" s="15">
        <f t="shared" si="12"/>
        <v>1040</v>
      </c>
      <c r="M182" s="20"/>
      <c r="N182" s="20"/>
      <c r="O182" s="15">
        <f t="shared" si="13"/>
        <v>13000</v>
      </c>
      <c r="P182" s="15">
        <f t="shared" si="14"/>
        <v>14040</v>
      </c>
      <c r="Q182" s="15">
        <f t="shared" si="15"/>
        <v>375960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6500</v>
      </c>
      <c r="F183" s="15">
        <v>300</v>
      </c>
      <c r="G183" s="15">
        <v>400</v>
      </c>
      <c r="H183" s="15">
        <f t="shared" si="16"/>
        <v>7200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6500</v>
      </c>
      <c r="F184" s="15">
        <v>400</v>
      </c>
      <c r="G184" s="15">
        <v>400</v>
      </c>
      <c r="H184" s="15">
        <f t="shared" si="16"/>
        <v>7300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179</v>
      </c>
      <c r="E185" s="15">
        <v>6500</v>
      </c>
      <c r="F185" s="15">
        <v>600</v>
      </c>
      <c r="G185" s="15">
        <v>400</v>
      </c>
      <c r="H185" s="15">
        <f t="shared" si="16"/>
        <v>7500</v>
      </c>
      <c r="I185" s="15">
        <f t="shared" si="17"/>
        <v>1342500</v>
      </c>
      <c r="J185" s="16"/>
      <c r="K185" s="15">
        <v>400000</v>
      </c>
      <c r="L185" s="15">
        <f t="shared" si="12"/>
        <v>3580</v>
      </c>
      <c r="M185" s="20"/>
      <c r="N185" s="20"/>
      <c r="O185" s="15">
        <f t="shared" si="13"/>
        <v>44750</v>
      </c>
      <c r="P185" s="15">
        <f t="shared" si="14"/>
        <v>448330</v>
      </c>
      <c r="Q185" s="15">
        <f t="shared" si="15"/>
        <v>894170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6500</v>
      </c>
      <c r="F186" s="15">
        <v>300</v>
      </c>
      <c r="G186" s="15">
        <v>400</v>
      </c>
      <c r="H186" s="15">
        <f t="shared" si="16"/>
        <v>7200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176</v>
      </c>
      <c r="E187" s="15">
        <v>6500</v>
      </c>
      <c r="F187" s="15">
        <v>300</v>
      </c>
      <c r="G187" s="15">
        <v>400</v>
      </c>
      <c r="H187" s="15">
        <f t="shared" si="16"/>
        <v>7200</v>
      </c>
      <c r="I187" s="15">
        <f t="shared" si="17"/>
        <v>1267200</v>
      </c>
      <c r="J187" s="16"/>
      <c r="K187" s="15">
        <v>400000</v>
      </c>
      <c r="L187" s="15">
        <f t="shared" si="12"/>
        <v>3520</v>
      </c>
      <c r="M187" s="20"/>
      <c r="N187" s="20"/>
      <c r="O187" s="15">
        <f t="shared" si="13"/>
        <v>44000</v>
      </c>
      <c r="P187" s="15">
        <f t="shared" si="14"/>
        <v>447520</v>
      </c>
      <c r="Q187" s="15">
        <f t="shared" si="15"/>
        <v>819680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6500</v>
      </c>
      <c r="F188" s="15">
        <v>400</v>
      </c>
      <c r="G188" s="15">
        <v>400</v>
      </c>
      <c r="H188" s="15">
        <f t="shared" si="16"/>
        <v>7300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223</v>
      </c>
      <c r="E189" s="15">
        <v>6500</v>
      </c>
      <c r="F189" s="15">
        <v>200</v>
      </c>
      <c r="G189" s="15">
        <v>400</v>
      </c>
      <c r="H189" s="15">
        <f t="shared" si="16"/>
        <v>7100</v>
      </c>
      <c r="I189" s="15">
        <f t="shared" si="17"/>
        <v>1583300</v>
      </c>
      <c r="J189" s="20"/>
      <c r="K189" s="15"/>
      <c r="L189" s="15">
        <f t="shared" si="12"/>
        <v>4460</v>
      </c>
      <c r="M189" s="20"/>
      <c r="N189" s="20"/>
      <c r="O189" s="15">
        <f t="shared" si="13"/>
        <v>55750</v>
      </c>
      <c r="P189" s="15">
        <f t="shared" si="14"/>
        <v>60210</v>
      </c>
      <c r="Q189" s="15">
        <f t="shared" si="15"/>
        <v>1523090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6500</v>
      </c>
      <c r="F190" s="15">
        <v>300</v>
      </c>
      <c r="G190" s="15">
        <v>400</v>
      </c>
      <c r="H190" s="15">
        <f t="shared" si="16"/>
        <v>7200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6500</v>
      </c>
      <c r="F191" s="15">
        <v>300</v>
      </c>
      <c r="G191" s="15">
        <v>400</v>
      </c>
      <c r="H191" s="15">
        <f t="shared" si="16"/>
        <v>7200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6500</v>
      </c>
      <c r="F192" s="15">
        <v>300</v>
      </c>
      <c r="G192" s="15">
        <v>400</v>
      </c>
      <c r="H192" s="15">
        <f t="shared" si="16"/>
        <v>7200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196</v>
      </c>
      <c r="E193" s="15">
        <v>6500</v>
      </c>
      <c r="F193" s="15">
        <v>500</v>
      </c>
      <c r="G193" s="15">
        <v>400</v>
      </c>
      <c r="H193" s="15">
        <f t="shared" si="16"/>
        <v>7400</v>
      </c>
      <c r="I193" s="15">
        <f t="shared" si="17"/>
        <v>1450400</v>
      </c>
      <c r="J193" s="16"/>
      <c r="K193" s="15"/>
      <c r="L193" s="15">
        <f t="shared" si="12"/>
        <v>3920</v>
      </c>
      <c r="M193" s="16"/>
      <c r="N193" s="16"/>
      <c r="O193" s="15">
        <f t="shared" si="13"/>
        <v>49000</v>
      </c>
      <c r="P193" s="15">
        <f t="shared" si="14"/>
        <v>52920</v>
      </c>
      <c r="Q193" s="15">
        <f t="shared" si="15"/>
        <v>1397480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6500</v>
      </c>
      <c r="F194" s="15">
        <v>300</v>
      </c>
      <c r="G194" s="15">
        <v>400</v>
      </c>
      <c r="H194" s="15">
        <f t="shared" si="16"/>
        <v>7200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6500</v>
      </c>
      <c r="F195" s="15">
        <v>400</v>
      </c>
      <c r="G195" s="15">
        <v>400</v>
      </c>
      <c r="H195" s="15">
        <f t="shared" si="16"/>
        <v>7300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6500</v>
      </c>
      <c r="F196" s="15">
        <v>300</v>
      </c>
      <c r="G196" s="15">
        <v>400</v>
      </c>
      <c r="H196" s="15">
        <f t="shared" si="16"/>
        <v>7200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6500</v>
      </c>
      <c r="F197" s="15">
        <v>300</v>
      </c>
      <c r="G197" s="15">
        <v>400</v>
      </c>
      <c r="H197" s="15">
        <f t="shared" si="16"/>
        <v>7200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6500</v>
      </c>
      <c r="F198" s="15">
        <v>400</v>
      </c>
      <c r="G198" s="15">
        <v>400</v>
      </c>
      <c r="H198" s="15">
        <f t="shared" ref="H198:H261" si="22">SUM(E198:G198)</f>
        <v>7300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6500</v>
      </c>
      <c r="F199" s="15">
        <v>300</v>
      </c>
      <c r="G199" s="15">
        <v>400</v>
      </c>
      <c r="H199" s="15">
        <f t="shared" si="22"/>
        <v>7200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20</v>
      </c>
      <c r="E200" s="15">
        <v>6500</v>
      </c>
      <c r="F200" s="15">
        <v>400</v>
      </c>
      <c r="G200" s="15">
        <v>400</v>
      </c>
      <c r="H200" s="15">
        <f t="shared" si="22"/>
        <v>7300</v>
      </c>
      <c r="I200" s="15">
        <f t="shared" si="23"/>
        <v>146000</v>
      </c>
      <c r="J200" s="16"/>
      <c r="K200" s="15"/>
      <c r="L200" s="15">
        <f t="shared" si="18"/>
        <v>400</v>
      </c>
      <c r="M200" s="16"/>
      <c r="N200" s="16"/>
      <c r="O200" s="15">
        <f t="shared" si="19"/>
        <v>5000</v>
      </c>
      <c r="P200" s="15">
        <f t="shared" si="20"/>
        <v>5400</v>
      </c>
      <c r="Q200" s="15">
        <f t="shared" si="21"/>
        <v>140600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6500</v>
      </c>
      <c r="F201" s="15">
        <v>300</v>
      </c>
      <c r="G201" s="15">
        <v>400</v>
      </c>
      <c r="H201" s="15">
        <f t="shared" si="22"/>
        <v>7200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6500</v>
      </c>
      <c r="F202" s="15">
        <v>400</v>
      </c>
      <c r="G202" s="15">
        <v>400</v>
      </c>
      <c r="H202" s="15">
        <f t="shared" si="22"/>
        <v>7300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84</v>
      </c>
      <c r="E203" s="15">
        <v>6500</v>
      </c>
      <c r="F203" s="15">
        <v>600</v>
      </c>
      <c r="G203" s="15">
        <v>400</v>
      </c>
      <c r="H203" s="15">
        <f t="shared" si="22"/>
        <v>7500</v>
      </c>
      <c r="I203" s="15">
        <f t="shared" si="23"/>
        <v>630000</v>
      </c>
      <c r="J203" s="16"/>
      <c r="K203" s="15">
        <v>400000</v>
      </c>
      <c r="L203" s="15">
        <f t="shared" si="18"/>
        <v>1680</v>
      </c>
      <c r="M203" s="20"/>
      <c r="N203" s="20"/>
      <c r="O203" s="15">
        <f t="shared" si="19"/>
        <v>21000</v>
      </c>
      <c r="P203" s="15">
        <f t="shared" si="20"/>
        <v>422680</v>
      </c>
      <c r="Q203" s="15">
        <f t="shared" si="21"/>
        <v>207320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6500</v>
      </c>
      <c r="F204" s="15">
        <v>300</v>
      </c>
      <c r="G204" s="15">
        <v>400</v>
      </c>
      <c r="H204" s="15">
        <f t="shared" si="22"/>
        <v>7200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6500</v>
      </c>
      <c r="F205" s="15">
        <v>300</v>
      </c>
      <c r="G205" s="15">
        <v>400</v>
      </c>
      <c r="H205" s="15">
        <f t="shared" si="22"/>
        <v>7200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6500</v>
      </c>
      <c r="F206" s="15">
        <v>500</v>
      </c>
      <c r="G206" s="15">
        <v>400</v>
      </c>
      <c r="H206" s="15">
        <f t="shared" si="22"/>
        <v>7400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6500</v>
      </c>
      <c r="F207" s="15">
        <v>400</v>
      </c>
      <c r="G207" s="15">
        <v>400</v>
      </c>
      <c r="H207" s="15">
        <f t="shared" si="22"/>
        <v>7300</v>
      </c>
      <c r="I207" s="15">
        <f t="shared" si="23"/>
        <v>0</v>
      </c>
      <c r="J207" s="16">
        <v>100000</v>
      </c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100000</v>
      </c>
      <c r="Q207" s="15">
        <f t="shared" si="21"/>
        <v>-100000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6500</v>
      </c>
      <c r="F208" s="15">
        <v>300</v>
      </c>
      <c r="G208" s="15">
        <v>400</v>
      </c>
      <c r="H208" s="15">
        <f t="shared" si="22"/>
        <v>7200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6500</v>
      </c>
      <c r="F209" s="15">
        <v>300</v>
      </c>
      <c r="G209" s="15">
        <v>400</v>
      </c>
      <c r="H209" s="15">
        <f t="shared" si="22"/>
        <v>7200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6500</v>
      </c>
      <c r="F210" s="15">
        <v>300</v>
      </c>
      <c r="G210" s="15">
        <v>400</v>
      </c>
      <c r="H210" s="15">
        <f t="shared" si="22"/>
        <v>7200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147</v>
      </c>
      <c r="E211" s="15">
        <v>6500</v>
      </c>
      <c r="F211" s="15">
        <v>600</v>
      </c>
      <c r="G211" s="15">
        <v>400</v>
      </c>
      <c r="H211" s="15">
        <f t="shared" si="22"/>
        <v>7500</v>
      </c>
      <c r="I211" s="15">
        <f t="shared" si="23"/>
        <v>1102500</v>
      </c>
      <c r="J211" s="16"/>
      <c r="K211" s="15">
        <v>200000</v>
      </c>
      <c r="L211" s="15">
        <f t="shared" si="18"/>
        <v>2940</v>
      </c>
      <c r="M211" s="16"/>
      <c r="N211" s="16"/>
      <c r="O211" s="15">
        <f t="shared" si="19"/>
        <v>36750</v>
      </c>
      <c r="P211" s="15">
        <f t="shared" si="20"/>
        <v>239690</v>
      </c>
      <c r="Q211" s="15">
        <f t="shared" si="21"/>
        <v>862810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6500</v>
      </c>
      <c r="F212" s="15">
        <v>300</v>
      </c>
      <c r="G212" s="15">
        <v>400</v>
      </c>
      <c r="H212" s="15">
        <f t="shared" si="22"/>
        <v>7200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6500</v>
      </c>
      <c r="F213" s="15">
        <v>400</v>
      </c>
      <c r="G213" s="15">
        <v>400</v>
      </c>
      <c r="H213" s="15">
        <f t="shared" si="22"/>
        <v>7300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6500</v>
      </c>
      <c r="F214" s="15">
        <v>300</v>
      </c>
      <c r="G214" s="15">
        <v>400</v>
      </c>
      <c r="H214" s="15">
        <f t="shared" si="22"/>
        <v>7200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6500</v>
      </c>
      <c r="F215" s="15">
        <v>300</v>
      </c>
      <c r="G215" s="15">
        <v>400</v>
      </c>
      <c r="H215" s="15">
        <f t="shared" si="22"/>
        <v>7200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6500</v>
      </c>
      <c r="F216" s="15">
        <v>300</v>
      </c>
      <c r="G216" s="15">
        <v>400</v>
      </c>
      <c r="H216" s="15">
        <f t="shared" si="22"/>
        <v>7200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6500</v>
      </c>
      <c r="F217" s="15">
        <v>300</v>
      </c>
      <c r="G217" s="15">
        <v>400</v>
      </c>
      <c r="H217" s="15">
        <f t="shared" si="22"/>
        <v>7200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6500</v>
      </c>
      <c r="F218" s="15">
        <v>400</v>
      </c>
      <c r="G218" s="15">
        <v>400</v>
      </c>
      <c r="H218" s="15">
        <f t="shared" si="22"/>
        <v>7300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6500</v>
      </c>
      <c r="F219" s="15">
        <v>300</v>
      </c>
      <c r="G219" s="15">
        <v>400</v>
      </c>
      <c r="H219" s="15">
        <f t="shared" si="22"/>
        <v>7200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166</v>
      </c>
      <c r="E220" s="15">
        <v>6500</v>
      </c>
      <c r="F220" s="15">
        <v>600</v>
      </c>
      <c r="G220" s="15">
        <v>400</v>
      </c>
      <c r="H220" s="15">
        <f t="shared" si="22"/>
        <v>7500</v>
      </c>
      <c r="I220" s="15">
        <f t="shared" si="23"/>
        <v>1245000</v>
      </c>
      <c r="J220" s="16"/>
      <c r="K220" s="15">
        <v>200000</v>
      </c>
      <c r="L220" s="15">
        <f t="shared" si="18"/>
        <v>3320</v>
      </c>
      <c r="M220" s="16"/>
      <c r="N220" s="16"/>
      <c r="O220" s="15">
        <f t="shared" si="19"/>
        <v>41500</v>
      </c>
      <c r="P220" s="15">
        <f t="shared" si="20"/>
        <v>244820</v>
      </c>
      <c r="Q220" s="15">
        <f t="shared" si="21"/>
        <v>1000180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6500</v>
      </c>
      <c r="F221" s="15">
        <v>300</v>
      </c>
      <c r="G221" s="15">
        <v>400</v>
      </c>
      <c r="H221" s="15">
        <f t="shared" si="22"/>
        <v>7200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125</v>
      </c>
      <c r="E222" s="15">
        <v>6500</v>
      </c>
      <c r="F222" s="15">
        <v>500</v>
      </c>
      <c r="G222" s="15">
        <v>400</v>
      </c>
      <c r="H222" s="15">
        <f t="shared" si="22"/>
        <v>7400</v>
      </c>
      <c r="I222" s="15">
        <f t="shared" si="23"/>
        <v>925000</v>
      </c>
      <c r="J222" s="16"/>
      <c r="K222" s="15">
        <v>200000</v>
      </c>
      <c r="L222" s="15">
        <f t="shared" si="18"/>
        <v>2500</v>
      </c>
      <c r="M222" s="16"/>
      <c r="N222" s="16"/>
      <c r="O222" s="15">
        <f t="shared" si="19"/>
        <v>31250</v>
      </c>
      <c r="P222" s="15">
        <f t="shared" si="20"/>
        <v>233750</v>
      </c>
      <c r="Q222" s="15">
        <f t="shared" si="21"/>
        <v>691250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6500</v>
      </c>
      <c r="F223" s="15">
        <v>400</v>
      </c>
      <c r="G223" s="15">
        <v>400</v>
      </c>
      <c r="H223" s="15">
        <f t="shared" si="22"/>
        <v>7300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6500</v>
      </c>
      <c r="F224" s="15">
        <v>300</v>
      </c>
      <c r="G224" s="15">
        <v>400</v>
      </c>
      <c r="H224" s="15">
        <f t="shared" si="22"/>
        <v>7200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62</v>
      </c>
      <c r="E225" s="15">
        <v>6500</v>
      </c>
      <c r="F225" s="15">
        <v>600</v>
      </c>
      <c r="G225" s="15">
        <v>400</v>
      </c>
      <c r="H225" s="15">
        <f t="shared" si="22"/>
        <v>7500</v>
      </c>
      <c r="I225" s="15">
        <f t="shared" si="23"/>
        <v>465000</v>
      </c>
      <c r="J225" s="16"/>
      <c r="K225" s="15">
        <v>400000</v>
      </c>
      <c r="L225" s="15">
        <f t="shared" si="18"/>
        <v>1240</v>
      </c>
      <c r="M225" s="20"/>
      <c r="N225" s="20"/>
      <c r="O225" s="15">
        <f t="shared" si="19"/>
        <v>15500</v>
      </c>
      <c r="P225" s="15">
        <f t="shared" si="20"/>
        <v>416740</v>
      </c>
      <c r="Q225" s="15">
        <f t="shared" si="21"/>
        <v>48260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6500</v>
      </c>
      <c r="F226" s="15">
        <v>400</v>
      </c>
      <c r="G226" s="15">
        <v>400</v>
      </c>
      <c r="H226" s="15">
        <f t="shared" si="22"/>
        <v>7300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6500</v>
      </c>
      <c r="F227" s="15">
        <v>400</v>
      </c>
      <c r="G227" s="15">
        <v>400</v>
      </c>
      <c r="H227" s="15">
        <f t="shared" si="22"/>
        <v>7300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197</v>
      </c>
      <c r="E228" s="15">
        <v>6500</v>
      </c>
      <c r="F228" s="15">
        <v>500</v>
      </c>
      <c r="G228" s="15">
        <v>400</v>
      </c>
      <c r="H228" s="15">
        <f t="shared" si="22"/>
        <v>7400</v>
      </c>
      <c r="I228" s="15">
        <f t="shared" si="23"/>
        <v>1457800</v>
      </c>
      <c r="J228" s="16"/>
      <c r="K228" s="15">
        <v>400000</v>
      </c>
      <c r="L228" s="15">
        <f t="shared" si="18"/>
        <v>3940</v>
      </c>
      <c r="M228" s="20"/>
      <c r="N228" s="20"/>
      <c r="O228" s="15">
        <f t="shared" si="19"/>
        <v>49250</v>
      </c>
      <c r="P228" s="15">
        <f t="shared" si="20"/>
        <v>453190</v>
      </c>
      <c r="Q228" s="15">
        <f t="shared" si="21"/>
        <v>1004610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6500</v>
      </c>
      <c r="F229" s="15">
        <v>300</v>
      </c>
      <c r="G229" s="15">
        <v>400</v>
      </c>
      <c r="H229" s="15">
        <f t="shared" si="22"/>
        <v>7200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6500</v>
      </c>
      <c r="F230" s="15">
        <v>300</v>
      </c>
      <c r="G230" s="15">
        <v>400</v>
      </c>
      <c r="H230" s="15">
        <f t="shared" si="22"/>
        <v>7200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356</v>
      </c>
      <c r="E231" s="15">
        <v>6500</v>
      </c>
      <c r="F231" s="15">
        <v>600</v>
      </c>
      <c r="G231" s="15">
        <v>400</v>
      </c>
      <c r="H231" s="15">
        <f t="shared" si="22"/>
        <v>7500</v>
      </c>
      <c r="I231" s="15">
        <f t="shared" si="23"/>
        <v>2670000</v>
      </c>
      <c r="J231" s="16"/>
      <c r="K231" s="15">
        <v>600000</v>
      </c>
      <c r="L231" s="15">
        <f t="shared" si="18"/>
        <v>7120</v>
      </c>
      <c r="M231" s="16"/>
      <c r="N231" s="16"/>
      <c r="O231" s="15">
        <f t="shared" si="19"/>
        <v>89000</v>
      </c>
      <c r="P231" s="15">
        <f t="shared" si="20"/>
        <v>696120</v>
      </c>
      <c r="Q231" s="15">
        <f t="shared" si="21"/>
        <v>1973880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6500</v>
      </c>
      <c r="F232" s="15">
        <v>400</v>
      </c>
      <c r="G232" s="15">
        <v>400</v>
      </c>
      <c r="H232" s="15">
        <f t="shared" si="22"/>
        <v>7300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6500</v>
      </c>
      <c r="F233" s="15">
        <v>200</v>
      </c>
      <c r="G233" s="15">
        <v>400</v>
      </c>
      <c r="H233" s="15">
        <f t="shared" si="22"/>
        <v>7100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6500</v>
      </c>
      <c r="F234" s="15">
        <v>300</v>
      </c>
      <c r="G234" s="15">
        <v>400</v>
      </c>
      <c r="H234" s="15">
        <f t="shared" si="22"/>
        <v>7200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6500</v>
      </c>
      <c r="F235" s="15">
        <v>300</v>
      </c>
      <c r="G235" s="15">
        <v>400</v>
      </c>
      <c r="H235" s="15">
        <f t="shared" si="22"/>
        <v>7200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6500</v>
      </c>
      <c r="F236" s="15">
        <v>300</v>
      </c>
      <c r="G236" s="15">
        <v>400</v>
      </c>
      <c r="H236" s="15">
        <f t="shared" si="22"/>
        <v>7200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109</v>
      </c>
      <c r="E237" s="15">
        <v>6500</v>
      </c>
      <c r="F237" s="15">
        <v>200</v>
      </c>
      <c r="G237" s="15">
        <v>400</v>
      </c>
      <c r="H237" s="15">
        <f t="shared" si="22"/>
        <v>7100</v>
      </c>
      <c r="I237" s="15">
        <f t="shared" si="23"/>
        <v>773900</v>
      </c>
      <c r="J237" s="16"/>
      <c r="K237" s="15">
        <v>400000</v>
      </c>
      <c r="L237" s="15">
        <f t="shared" si="18"/>
        <v>2180</v>
      </c>
      <c r="M237" s="20"/>
      <c r="N237" s="20"/>
      <c r="O237" s="15">
        <f t="shared" si="19"/>
        <v>27250</v>
      </c>
      <c r="P237" s="15">
        <f t="shared" si="20"/>
        <v>429430</v>
      </c>
      <c r="Q237" s="15">
        <f t="shared" si="21"/>
        <v>344470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133</v>
      </c>
      <c r="E238" s="15">
        <v>6500</v>
      </c>
      <c r="F238" s="15">
        <v>400</v>
      </c>
      <c r="G238" s="15">
        <v>400</v>
      </c>
      <c r="H238" s="15">
        <f t="shared" si="22"/>
        <v>7300</v>
      </c>
      <c r="I238" s="15">
        <f t="shared" si="23"/>
        <v>970900</v>
      </c>
      <c r="J238" s="20"/>
      <c r="K238" s="15">
        <v>400000</v>
      </c>
      <c r="L238" s="15">
        <f t="shared" si="18"/>
        <v>2660</v>
      </c>
      <c r="M238" s="20"/>
      <c r="N238" s="20"/>
      <c r="O238" s="15">
        <f t="shared" si="19"/>
        <v>33250</v>
      </c>
      <c r="P238" s="15">
        <f t="shared" si="20"/>
        <v>435910</v>
      </c>
      <c r="Q238" s="15">
        <f t="shared" si="21"/>
        <v>534990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6500</v>
      </c>
      <c r="F239" s="15">
        <v>300</v>
      </c>
      <c r="G239" s="15">
        <v>400</v>
      </c>
      <c r="H239" s="15">
        <f t="shared" si="22"/>
        <v>7200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6500</v>
      </c>
      <c r="F240" s="15">
        <v>300</v>
      </c>
      <c r="G240" s="15">
        <v>400</v>
      </c>
      <c r="H240" s="15">
        <f t="shared" si="22"/>
        <v>7200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6500</v>
      </c>
      <c r="F241" s="15">
        <v>400</v>
      </c>
      <c r="G241" s="15">
        <v>400</v>
      </c>
      <c r="H241" s="15">
        <f t="shared" si="22"/>
        <v>7300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6500</v>
      </c>
      <c r="F242" s="15">
        <v>400</v>
      </c>
      <c r="G242" s="15">
        <v>400</v>
      </c>
      <c r="H242" s="15">
        <f t="shared" si="22"/>
        <v>7300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6500</v>
      </c>
      <c r="F243" s="15">
        <v>300</v>
      </c>
      <c r="G243" s="15">
        <v>400</v>
      </c>
      <c r="H243" s="15">
        <f t="shared" si="22"/>
        <v>7200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6500</v>
      </c>
      <c r="F244" s="15">
        <v>300</v>
      </c>
      <c r="G244" s="15">
        <v>400</v>
      </c>
      <c r="H244" s="15">
        <f t="shared" si="22"/>
        <v>7200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6500</v>
      </c>
      <c r="F245" s="15">
        <v>300</v>
      </c>
      <c r="G245" s="15">
        <v>400</v>
      </c>
      <c r="H245" s="15">
        <f t="shared" si="22"/>
        <v>7200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243</v>
      </c>
      <c r="E246" s="15">
        <v>6500</v>
      </c>
      <c r="F246" s="15">
        <v>600</v>
      </c>
      <c r="G246" s="15">
        <v>400</v>
      </c>
      <c r="H246" s="15">
        <f t="shared" si="22"/>
        <v>7500</v>
      </c>
      <c r="I246" s="15">
        <f t="shared" si="23"/>
        <v>1822500</v>
      </c>
      <c r="J246" s="16"/>
      <c r="K246" s="15">
        <v>600000</v>
      </c>
      <c r="L246" s="15">
        <f t="shared" si="18"/>
        <v>4860</v>
      </c>
      <c r="M246" s="16"/>
      <c r="N246" s="16"/>
      <c r="O246" s="15">
        <f t="shared" si="19"/>
        <v>60750</v>
      </c>
      <c r="P246" s="15">
        <f t="shared" si="20"/>
        <v>665610</v>
      </c>
      <c r="Q246" s="15">
        <f t="shared" si="21"/>
        <v>1156890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176</v>
      </c>
      <c r="E247" s="15">
        <v>6500</v>
      </c>
      <c r="F247" s="15">
        <v>500</v>
      </c>
      <c r="G247" s="15">
        <v>400</v>
      </c>
      <c r="H247" s="15">
        <f t="shared" si="22"/>
        <v>7400</v>
      </c>
      <c r="I247" s="15">
        <f t="shared" si="23"/>
        <v>1302400</v>
      </c>
      <c r="J247" s="16"/>
      <c r="K247" s="15">
        <v>400000</v>
      </c>
      <c r="L247" s="15">
        <f t="shared" si="18"/>
        <v>3520</v>
      </c>
      <c r="M247" s="20"/>
      <c r="N247" s="20"/>
      <c r="O247" s="15">
        <f t="shared" si="19"/>
        <v>44000</v>
      </c>
      <c r="P247" s="15">
        <f t="shared" si="20"/>
        <v>447520</v>
      </c>
      <c r="Q247" s="15">
        <f t="shared" si="21"/>
        <v>854880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6500</v>
      </c>
      <c r="F248" s="15">
        <v>300</v>
      </c>
      <c r="G248" s="15">
        <v>400</v>
      </c>
      <c r="H248" s="15">
        <f t="shared" si="22"/>
        <v>7200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6500</v>
      </c>
      <c r="F249" s="15">
        <v>300</v>
      </c>
      <c r="G249" s="15">
        <v>400</v>
      </c>
      <c r="H249" s="15">
        <f t="shared" si="22"/>
        <v>7200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6500</v>
      </c>
      <c r="F250" s="15">
        <v>300</v>
      </c>
      <c r="G250" s="15">
        <v>400</v>
      </c>
      <c r="H250" s="15">
        <f t="shared" si="22"/>
        <v>7200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6500</v>
      </c>
      <c r="F251" s="15">
        <v>300</v>
      </c>
      <c r="G251" s="15">
        <v>400</v>
      </c>
      <c r="H251" s="15">
        <f t="shared" si="22"/>
        <v>7200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6500</v>
      </c>
      <c r="F252" s="15">
        <v>300</v>
      </c>
      <c r="G252" s="15">
        <v>400</v>
      </c>
      <c r="H252" s="15">
        <f t="shared" si="22"/>
        <v>7200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134</v>
      </c>
      <c r="E253" s="15">
        <v>6500</v>
      </c>
      <c r="F253" s="15">
        <v>500</v>
      </c>
      <c r="G253" s="15">
        <v>400</v>
      </c>
      <c r="H253" s="15">
        <f t="shared" si="22"/>
        <v>7400</v>
      </c>
      <c r="I253" s="15">
        <f t="shared" si="23"/>
        <v>991600</v>
      </c>
      <c r="J253" s="20"/>
      <c r="K253" s="15">
        <v>400000</v>
      </c>
      <c r="L253" s="15">
        <f t="shared" si="18"/>
        <v>2680</v>
      </c>
      <c r="M253" s="20"/>
      <c r="N253" s="20"/>
      <c r="O253" s="15">
        <f t="shared" si="19"/>
        <v>33500</v>
      </c>
      <c r="P253" s="15">
        <f t="shared" si="20"/>
        <v>436180</v>
      </c>
      <c r="Q253" s="15">
        <f t="shared" si="21"/>
        <v>555420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6500</v>
      </c>
      <c r="F254" s="15">
        <v>300</v>
      </c>
      <c r="G254" s="15">
        <v>400</v>
      </c>
      <c r="H254" s="15">
        <f t="shared" si="22"/>
        <v>7200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6500</v>
      </c>
      <c r="F255" s="15">
        <v>300</v>
      </c>
      <c r="G255" s="15">
        <v>400</v>
      </c>
      <c r="H255" s="15">
        <f t="shared" si="22"/>
        <v>7200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6500</v>
      </c>
      <c r="F256" s="15">
        <v>400</v>
      </c>
      <c r="G256" s="15">
        <v>400</v>
      </c>
      <c r="H256" s="15">
        <f t="shared" si="22"/>
        <v>7300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6500</v>
      </c>
      <c r="F257" s="15">
        <v>300</v>
      </c>
      <c r="G257" s="15">
        <v>400</v>
      </c>
      <c r="H257" s="15">
        <f t="shared" si="22"/>
        <v>7200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6500</v>
      </c>
      <c r="F258" s="15">
        <v>300</v>
      </c>
      <c r="G258" s="15">
        <v>400</v>
      </c>
      <c r="H258" s="15">
        <f t="shared" si="22"/>
        <v>7200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6500</v>
      </c>
      <c r="F259" s="15">
        <v>300</v>
      </c>
      <c r="G259" s="15">
        <v>400</v>
      </c>
      <c r="H259" s="15">
        <f t="shared" si="22"/>
        <v>7200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6500</v>
      </c>
      <c r="F260" s="15">
        <v>300</v>
      </c>
      <c r="G260" s="15">
        <v>400</v>
      </c>
      <c r="H260" s="15">
        <f t="shared" si="22"/>
        <v>7200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179</v>
      </c>
      <c r="E261" s="15">
        <v>6500</v>
      </c>
      <c r="F261" s="15">
        <v>600</v>
      </c>
      <c r="G261" s="15">
        <v>400</v>
      </c>
      <c r="H261" s="15">
        <f t="shared" si="22"/>
        <v>7500</v>
      </c>
      <c r="I261" s="15">
        <f t="shared" si="23"/>
        <v>1342500</v>
      </c>
      <c r="J261" s="16"/>
      <c r="K261" s="15">
        <v>200000</v>
      </c>
      <c r="L261" s="15">
        <f t="shared" ref="L261:L324" si="24">D261*20</f>
        <v>3580</v>
      </c>
      <c r="M261" s="16"/>
      <c r="N261" s="16"/>
      <c r="O261" s="15">
        <f t="shared" ref="O261:O324" si="25">250*D261</f>
        <v>44750</v>
      </c>
      <c r="P261" s="15">
        <f t="shared" ref="P261:P324" si="26">SUM(J261:O261)</f>
        <v>248330</v>
      </c>
      <c r="Q261" s="15">
        <f t="shared" ref="Q261:Q324" si="27">I261-P261</f>
        <v>1094170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6500</v>
      </c>
      <c r="F262" s="15">
        <v>400</v>
      </c>
      <c r="G262" s="15">
        <v>400</v>
      </c>
      <c r="H262" s="15">
        <f t="shared" ref="H262:H325" si="28">SUM(E262:G262)</f>
        <v>7300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6500</v>
      </c>
      <c r="F263" s="15">
        <v>300</v>
      </c>
      <c r="G263" s="15">
        <v>400</v>
      </c>
      <c r="H263" s="15">
        <f t="shared" si="28"/>
        <v>7200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6500</v>
      </c>
      <c r="F264" s="15">
        <v>300</v>
      </c>
      <c r="G264" s="15">
        <v>400</v>
      </c>
      <c r="H264" s="15">
        <f t="shared" si="28"/>
        <v>7200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6500</v>
      </c>
      <c r="F265" s="15">
        <v>300</v>
      </c>
      <c r="G265" s="15">
        <v>400</v>
      </c>
      <c r="H265" s="15">
        <f t="shared" si="28"/>
        <v>7200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6500</v>
      </c>
      <c r="F266" s="15">
        <v>300</v>
      </c>
      <c r="G266" s="15">
        <v>400</v>
      </c>
      <c r="H266" s="15">
        <f t="shared" si="28"/>
        <v>7200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196</v>
      </c>
      <c r="E267" s="15">
        <v>6500</v>
      </c>
      <c r="F267" s="15">
        <v>600</v>
      </c>
      <c r="G267" s="15">
        <v>400</v>
      </c>
      <c r="H267" s="15">
        <f t="shared" si="28"/>
        <v>7500</v>
      </c>
      <c r="I267" s="15">
        <f t="shared" si="29"/>
        <v>1470000</v>
      </c>
      <c r="J267" s="20"/>
      <c r="K267" s="15"/>
      <c r="L267" s="15">
        <f t="shared" si="24"/>
        <v>3920</v>
      </c>
      <c r="M267" s="16"/>
      <c r="N267" s="16"/>
      <c r="O267" s="15">
        <f t="shared" si="25"/>
        <v>49000</v>
      </c>
      <c r="P267" s="15">
        <f t="shared" si="26"/>
        <v>52920</v>
      </c>
      <c r="Q267" s="15">
        <f t="shared" si="27"/>
        <v>1417080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6500</v>
      </c>
      <c r="F268" s="15">
        <v>300</v>
      </c>
      <c r="G268" s="15">
        <v>400</v>
      </c>
      <c r="H268" s="15">
        <f t="shared" si="28"/>
        <v>7200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6500</v>
      </c>
      <c r="F269" s="15">
        <v>300</v>
      </c>
      <c r="G269" s="15">
        <v>400</v>
      </c>
      <c r="H269" s="15">
        <f t="shared" si="28"/>
        <v>7200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86</v>
      </c>
      <c r="E270" s="15">
        <v>6500</v>
      </c>
      <c r="F270" s="15">
        <v>600</v>
      </c>
      <c r="G270" s="15">
        <v>400</v>
      </c>
      <c r="H270" s="15">
        <f t="shared" si="28"/>
        <v>7500</v>
      </c>
      <c r="I270" s="15">
        <f t="shared" si="29"/>
        <v>645000</v>
      </c>
      <c r="J270" s="20"/>
      <c r="K270" s="15"/>
      <c r="L270" s="15">
        <f t="shared" si="24"/>
        <v>1720</v>
      </c>
      <c r="M270" s="16"/>
      <c r="N270" s="16"/>
      <c r="O270" s="15">
        <f t="shared" si="25"/>
        <v>21500</v>
      </c>
      <c r="P270" s="15">
        <f t="shared" si="26"/>
        <v>23220</v>
      </c>
      <c r="Q270" s="15">
        <f t="shared" si="27"/>
        <v>621780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6500</v>
      </c>
      <c r="F271" s="15">
        <v>300</v>
      </c>
      <c r="G271" s="15">
        <v>400</v>
      </c>
      <c r="H271" s="15">
        <f t="shared" si="28"/>
        <v>7200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6500</v>
      </c>
      <c r="F272" s="15">
        <v>300</v>
      </c>
      <c r="G272" s="15">
        <v>400</v>
      </c>
      <c r="H272" s="15">
        <f t="shared" si="28"/>
        <v>7200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6500</v>
      </c>
      <c r="F273" s="15">
        <v>300</v>
      </c>
      <c r="G273" s="15">
        <v>400</v>
      </c>
      <c r="H273" s="15">
        <f t="shared" si="28"/>
        <v>7200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6500</v>
      </c>
      <c r="F274" s="15">
        <v>300</v>
      </c>
      <c r="G274" s="15">
        <v>400</v>
      </c>
      <c r="H274" s="15">
        <f t="shared" si="28"/>
        <v>7200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109</v>
      </c>
      <c r="E275" s="15">
        <v>6500</v>
      </c>
      <c r="F275" s="15">
        <v>600</v>
      </c>
      <c r="G275" s="15">
        <v>400</v>
      </c>
      <c r="H275" s="15">
        <f t="shared" si="28"/>
        <v>7500</v>
      </c>
      <c r="I275" s="15">
        <f t="shared" si="29"/>
        <v>817500</v>
      </c>
      <c r="J275" s="16"/>
      <c r="K275" s="15"/>
      <c r="L275" s="15">
        <f t="shared" si="24"/>
        <v>2180</v>
      </c>
      <c r="M275" s="16"/>
      <c r="N275" s="16"/>
      <c r="O275" s="15">
        <f t="shared" si="25"/>
        <v>27250</v>
      </c>
      <c r="P275" s="15">
        <f t="shared" si="26"/>
        <v>29430</v>
      </c>
      <c r="Q275" s="15">
        <f t="shared" si="27"/>
        <v>788070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6500</v>
      </c>
      <c r="F276" s="15">
        <v>300</v>
      </c>
      <c r="G276" s="15">
        <v>400</v>
      </c>
      <c r="H276" s="15">
        <f t="shared" si="28"/>
        <v>7200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6500</v>
      </c>
      <c r="F277" s="15">
        <v>500</v>
      </c>
      <c r="G277" s="15">
        <v>400</v>
      </c>
      <c r="H277" s="15">
        <f t="shared" si="28"/>
        <v>7400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6500</v>
      </c>
      <c r="F278" s="15">
        <v>300</v>
      </c>
      <c r="G278" s="15">
        <v>400</v>
      </c>
      <c r="H278" s="15">
        <f t="shared" si="28"/>
        <v>7200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6500</v>
      </c>
      <c r="F279" s="15">
        <v>300</v>
      </c>
      <c r="G279" s="15">
        <v>400</v>
      </c>
      <c r="H279" s="15">
        <f t="shared" si="28"/>
        <v>7200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6500</v>
      </c>
      <c r="F280" s="15">
        <v>300</v>
      </c>
      <c r="G280" s="15">
        <v>400</v>
      </c>
      <c r="H280" s="15">
        <f t="shared" si="28"/>
        <v>7200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6500</v>
      </c>
      <c r="F281" s="15">
        <v>500</v>
      </c>
      <c r="G281" s="15">
        <v>400</v>
      </c>
      <c r="H281" s="15">
        <f t="shared" si="28"/>
        <v>7400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594</v>
      </c>
      <c r="E282" s="15">
        <v>6500</v>
      </c>
      <c r="F282" s="15">
        <v>600</v>
      </c>
      <c r="G282" s="15">
        <v>400</v>
      </c>
      <c r="H282" s="15">
        <f t="shared" si="28"/>
        <v>7500</v>
      </c>
      <c r="I282" s="15">
        <f t="shared" si="29"/>
        <v>4455000</v>
      </c>
      <c r="J282" s="16"/>
      <c r="K282" s="15"/>
      <c r="L282" s="15">
        <f t="shared" si="24"/>
        <v>11880</v>
      </c>
      <c r="M282" s="16"/>
      <c r="N282" s="16"/>
      <c r="O282" s="15">
        <f t="shared" si="25"/>
        <v>148500</v>
      </c>
      <c r="P282" s="15">
        <f t="shared" si="26"/>
        <v>160380</v>
      </c>
      <c r="Q282" s="15">
        <f t="shared" si="27"/>
        <v>4294620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6500</v>
      </c>
      <c r="F283" s="15">
        <v>300</v>
      </c>
      <c r="G283" s="15">
        <v>400</v>
      </c>
      <c r="H283" s="15">
        <f t="shared" si="28"/>
        <v>7200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6500</v>
      </c>
      <c r="F284" s="15">
        <v>300</v>
      </c>
      <c r="G284" s="15">
        <v>400</v>
      </c>
      <c r="H284" s="15">
        <f t="shared" si="28"/>
        <v>7200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6500</v>
      </c>
      <c r="F285" s="15">
        <v>300</v>
      </c>
      <c r="G285" s="15">
        <v>400</v>
      </c>
      <c r="H285" s="15">
        <f t="shared" si="28"/>
        <v>7200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110</v>
      </c>
      <c r="E286" s="15">
        <v>6500</v>
      </c>
      <c r="F286" s="15">
        <v>500</v>
      </c>
      <c r="G286" s="15">
        <v>400</v>
      </c>
      <c r="H286" s="15">
        <f t="shared" si="28"/>
        <v>7400</v>
      </c>
      <c r="I286" s="15">
        <f t="shared" si="29"/>
        <v>814000</v>
      </c>
      <c r="J286" s="16"/>
      <c r="K286" s="15">
        <v>200000</v>
      </c>
      <c r="L286" s="15">
        <f t="shared" si="24"/>
        <v>2200</v>
      </c>
      <c r="M286" s="20"/>
      <c r="N286" s="20"/>
      <c r="O286" s="15">
        <f t="shared" si="25"/>
        <v>27500</v>
      </c>
      <c r="P286" s="15">
        <f t="shared" si="26"/>
        <v>229700</v>
      </c>
      <c r="Q286" s="15">
        <f t="shared" si="27"/>
        <v>584300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540</v>
      </c>
      <c r="E287" s="15">
        <v>6500</v>
      </c>
      <c r="F287" s="15">
        <v>600</v>
      </c>
      <c r="G287" s="15">
        <v>400</v>
      </c>
      <c r="H287" s="15">
        <f t="shared" si="28"/>
        <v>7500</v>
      </c>
      <c r="I287" s="15">
        <f t="shared" si="29"/>
        <v>4050000</v>
      </c>
      <c r="J287" s="20"/>
      <c r="K287" s="15"/>
      <c r="L287" s="15">
        <f t="shared" si="24"/>
        <v>10800</v>
      </c>
      <c r="M287" s="16"/>
      <c r="N287" s="16"/>
      <c r="O287" s="15">
        <f t="shared" si="25"/>
        <v>135000</v>
      </c>
      <c r="P287" s="15">
        <f t="shared" si="26"/>
        <v>145800</v>
      </c>
      <c r="Q287" s="15">
        <f t="shared" si="27"/>
        <v>3904200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6500</v>
      </c>
      <c r="F288" s="15">
        <v>300</v>
      </c>
      <c r="G288" s="15">
        <v>400</v>
      </c>
      <c r="H288" s="15">
        <f t="shared" si="28"/>
        <v>7200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6500</v>
      </c>
      <c r="F289" s="15">
        <v>400</v>
      </c>
      <c r="G289" s="15">
        <v>400</v>
      </c>
      <c r="H289" s="15">
        <f t="shared" si="28"/>
        <v>7300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162</v>
      </c>
      <c r="E290" s="15">
        <v>6500</v>
      </c>
      <c r="F290" s="15">
        <v>400</v>
      </c>
      <c r="G290" s="15">
        <v>400</v>
      </c>
      <c r="H290" s="15">
        <f t="shared" si="28"/>
        <v>7300</v>
      </c>
      <c r="I290" s="15">
        <f t="shared" si="29"/>
        <v>1182600</v>
      </c>
      <c r="J290" s="16"/>
      <c r="K290" s="15">
        <v>400000</v>
      </c>
      <c r="L290" s="15">
        <f t="shared" si="24"/>
        <v>3240</v>
      </c>
      <c r="M290" s="16"/>
      <c r="N290" s="16"/>
      <c r="O290" s="15">
        <f t="shared" si="25"/>
        <v>40500</v>
      </c>
      <c r="P290" s="15">
        <f t="shared" si="26"/>
        <v>443740</v>
      </c>
      <c r="Q290" s="15">
        <f t="shared" si="27"/>
        <v>738860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353</v>
      </c>
      <c r="E291" s="15">
        <v>6500</v>
      </c>
      <c r="F291" s="15">
        <v>500</v>
      </c>
      <c r="G291" s="15">
        <v>400</v>
      </c>
      <c r="H291" s="15">
        <f t="shared" si="28"/>
        <v>7400</v>
      </c>
      <c r="I291" s="15">
        <f t="shared" si="29"/>
        <v>2612200</v>
      </c>
      <c r="J291" s="20"/>
      <c r="K291" s="15">
        <v>600000</v>
      </c>
      <c r="L291" s="15">
        <f t="shared" si="24"/>
        <v>7060</v>
      </c>
      <c r="M291" s="16"/>
      <c r="N291" s="16"/>
      <c r="O291" s="15">
        <f t="shared" si="25"/>
        <v>88250</v>
      </c>
      <c r="P291" s="15">
        <f t="shared" si="26"/>
        <v>695310</v>
      </c>
      <c r="Q291" s="15">
        <f t="shared" si="27"/>
        <v>1916890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6500</v>
      </c>
      <c r="F292" s="15">
        <v>300</v>
      </c>
      <c r="G292" s="15">
        <v>400</v>
      </c>
      <c r="H292" s="15">
        <f t="shared" si="28"/>
        <v>7200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6500</v>
      </c>
      <c r="F293" s="15">
        <v>500</v>
      </c>
      <c r="G293" s="15">
        <v>400</v>
      </c>
      <c r="H293" s="15">
        <f t="shared" si="28"/>
        <v>7400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185</v>
      </c>
      <c r="E294" s="15">
        <v>6500</v>
      </c>
      <c r="F294" s="15">
        <v>600</v>
      </c>
      <c r="G294" s="15">
        <v>400</v>
      </c>
      <c r="H294" s="15">
        <f t="shared" si="28"/>
        <v>7500</v>
      </c>
      <c r="I294" s="15">
        <f t="shared" si="29"/>
        <v>1387500</v>
      </c>
      <c r="J294" s="16"/>
      <c r="K294" s="15">
        <v>600000</v>
      </c>
      <c r="L294" s="15">
        <f t="shared" si="24"/>
        <v>3700</v>
      </c>
      <c r="M294" s="20"/>
      <c r="N294" s="20"/>
      <c r="O294" s="15">
        <f t="shared" si="25"/>
        <v>46250</v>
      </c>
      <c r="P294" s="15">
        <f t="shared" si="26"/>
        <v>649950</v>
      </c>
      <c r="Q294" s="15">
        <f t="shared" si="27"/>
        <v>737550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66</v>
      </c>
      <c r="E295" s="15">
        <v>6500</v>
      </c>
      <c r="F295" s="15">
        <v>500</v>
      </c>
      <c r="G295" s="15">
        <v>400</v>
      </c>
      <c r="H295" s="15">
        <f t="shared" si="28"/>
        <v>7400</v>
      </c>
      <c r="I295" s="15">
        <f t="shared" si="29"/>
        <v>488400</v>
      </c>
      <c r="J295" s="16"/>
      <c r="K295" s="15"/>
      <c r="L295" s="15">
        <f t="shared" si="24"/>
        <v>1320</v>
      </c>
      <c r="M295" s="16"/>
      <c r="N295" s="16"/>
      <c r="O295" s="15">
        <f t="shared" si="25"/>
        <v>16500</v>
      </c>
      <c r="P295" s="15">
        <f t="shared" si="26"/>
        <v>17820</v>
      </c>
      <c r="Q295" s="15">
        <f t="shared" si="27"/>
        <v>470580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140</v>
      </c>
      <c r="E296" s="15">
        <v>6500</v>
      </c>
      <c r="F296" s="15">
        <v>600</v>
      </c>
      <c r="G296" s="15">
        <v>400</v>
      </c>
      <c r="H296" s="15">
        <f t="shared" si="28"/>
        <v>7500</v>
      </c>
      <c r="I296" s="15">
        <f t="shared" si="29"/>
        <v>1050000</v>
      </c>
      <c r="J296" s="20"/>
      <c r="K296" s="15">
        <v>400000</v>
      </c>
      <c r="L296" s="15">
        <f t="shared" si="24"/>
        <v>2800</v>
      </c>
      <c r="M296" s="20"/>
      <c r="N296" s="20"/>
      <c r="O296" s="15">
        <f t="shared" si="25"/>
        <v>35000</v>
      </c>
      <c r="P296" s="15">
        <f t="shared" si="26"/>
        <v>437800</v>
      </c>
      <c r="Q296" s="15">
        <f t="shared" si="27"/>
        <v>612200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6500</v>
      </c>
      <c r="F297" s="15">
        <v>400</v>
      </c>
      <c r="G297" s="15">
        <v>400</v>
      </c>
      <c r="H297" s="15">
        <f t="shared" si="28"/>
        <v>7300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879</v>
      </c>
      <c r="E298" s="15">
        <v>6500</v>
      </c>
      <c r="F298" s="15">
        <v>500</v>
      </c>
      <c r="G298" s="15">
        <v>400</v>
      </c>
      <c r="H298" s="15">
        <f t="shared" si="28"/>
        <v>7400</v>
      </c>
      <c r="I298" s="15">
        <f t="shared" si="29"/>
        <v>6504600</v>
      </c>
      <c r="J298" s="20"/>
      <c r="K298" s="15"/>
      <c r="L298" s="15">
        <f t="shared" si="24"/>
        <v>17580</v>
      </c>
      <c r="M298" s="20"/>
      <c r="N298" s="20"/>
      <c r="O298" s="15">
        <f t="shared" si="25"/>
        <v>219750</v>
      </c>
      <c r="P298" s="15">
        <f t="shared" si="26"/>
        <v>237330</v>
      </c>
      <c r="Q298" s="15">
        <f t="shared" si="27"/>
        <v>6267270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6500</v>
      </c>
      <c r="F299" s="15">
        <v>300</v>
      </c>
      <c r="G299" s="15">
        <v>400</v>
      </c>
      <c r="H299" s="15">
        <f t="shared" si="28"/>
        <v>7200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6500</v>
      </c>
      <c r="F300" s="15">
        <v>300</v>
      </c>
      <c r="G300" s="15">
        <v>400</v>
      </c>
      <c r="H300" s="15">
        <f t="shared" si="28"/>
        <v>7200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6500</v>
      </c>
      <c r="F301" s="15">
        <v>300</v>
      </c>
      <c r="G301" s="15">
        <v>400</v>
      </c>
      <c r="H301" s="15">
        <f t="shared" si="28"/>
        <v>7200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6500</v>
      </c>
      <c r="F302" s="15">
        <v>300</v>
      </c>
      <c r="G302" s="15">
        <v>400</v>
      </c>
      <c r="H302" s="15">
        <f t="shared" si="28"/>
        <v>7200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6500</v>
      </c>
      <c r="F303" s="15">
        <v>300</v>
      </c>
      <c r="G303" s="15">
        <v>400</v>
      </c>
      <c r="H303" s="15">
        <f t="shared" si="28"/>
        <v>7200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6500</v>
      </c>
      <c r="F304" s="15">
        <v>300</v>
      </c>
      <c r="G304" s="15">
        <v>400</v>
      </c>
      <c r="H304" s="15">
        <f t="shared" si="28"/>
        <v>7200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6500</v>
      </c>
      <c r="F305" s="15">
        <v>300</v>
      </c>
      <c r="G305" s="15">
        <v>400</v>
      </c>
      <c r="H305" s="15">
        <f t="shared" si="28"/>
        <v>7200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6500</v>
      </c>
      <c r="F306" s="15">
        <v>300</v>
      </c>
      <c r="G306" s="15">
        <v>400</v>
      </c>
      <c r="H306" s="15">
        <f t="shared" si="28"/>
        <v>7200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6500</v>
      </c>
      <c r="F307" s="15">
        <v>300</v>
      </c>
      <c r="G307" s="15">
        <v>400</v>
      </c>
      <c r="H307" s="15">
        <f t="shared" si="28"/>
        <v>7200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6500</v>
      </c>
      <c r="F308" s="15">
        <v>300</v>
      </c>
      <c r="G308" s="15">
        <v>400</v>
      </c>
      <c r="H308" s="15">
        <f t="shared" si="28"/>
        <v>7200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6500</v>
      </c>
      <c r="F309" s="15">
        <v>300</v>
      </c>
      <c r="G309" s="15">
        <v>400</v>
      </c>
      <c r="H309" s="15">
        <f t="shared" si="28"/>
        <v>7200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6500</v>
      </c>
      <c r="F310" s="15">
        <v>500</v>
      </c>
      <c r="G310" s="15">
        <v>400</v>
      </c>
      <c r="H310" s="15">
        <f t="shared" si="28"/>
        <v>7400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6500</v>
      </c>
      <c r="F311" s="15">
        <v>400</v>
      </c>
      <c r="G311" s="15">
        <v>400</v>
      </c>
      <c r="H311" s="15">
        <f t="shared" si="28"/>
        <v>7300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6500</v>
      </c>
      <c r="F312" s="15">
        <v>400</v>
      </c>
      <c r="G312" s="15">
        <v>400</v>
      </c>
      <c r="H312" s="15">
        <f t="shared" si="28"/>
        <v>7300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6500</v>
      </c>
      <c r="F313" s="15">
        <v>300</v>
      </c>
      <c r="G313" s="15">
        <v>400</v>
      </c>
      <c r="H313" s="15">
        <f t="shared" si="28"/>
        <v>7200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6500</v>
      </c>
      <c r="F314" s="15">
        <v>400</v>
      </c>
      <c r="G314" s="15">
        <v>400</v>
      </c>
      <c r="H314" s="15">
        <f t="shared" si="28"/>
        <v>7300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398</v>
      </c>
      <c r="E315" s="15">
        <v>6500</v>
      </c>
      <c r="F315" s="15">
        <v>600</v>
      </c>
      <c r="G315" s="15">
        <v>400</v>
      </c>
      <c r="H315" s="15">
        <f t="shared" si="28"/>
        <v>7500</v>
      </c>
      <c r="I315" s="15">
        <f t="shared" si="29"/>
        <v>2985000</v>
      </c>
      <c r="J315" s="16"/>
      <c r="K315" s="15"/>
      <c r="L315" s="15">
        <f t="shared" si="24"/>
        <v>7960</v>
      </c>
      <c r="M315" s="20"/>
      <c r="N315" s="20"/>
      <c r="O315" s="15">
        <f t="shared" si="25"/>
        <v>99500</v>
      </c>
      <c r="P315" s="15">
        <f t="shared" si="26"/>
        <v>107460</v>
      </c>
      <c r="Q315" s="15">
        <f t="shared" si="27"/>
        <v>2877540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306</v>
      </c>
      <c r="E316" s="15">
        <v>6500</v>
      </c>
      <c r="F316" s="15">
        <v>400</v>
      </c>
      <c r="G316" s="15">
        <v>400</v>
      </c>
      <c r="H316" s="15">
        <f t="shared" si="28"/>
        <v>7300</v>
      </c>
      <c r="I316" s="15">
        <f t="shared" si="29"/>
        <v>2233800</v>
      </c>
      <c r="J316" s="16"/>
      <c r="K316" s="15">
        <v>400000</v>
      </c>
      <c r="L316" s="15">
        <f t="shared" si="24"/>
        <v>6120</v>
      </c>
      <c r="M316" s="16"/>
      <c r="N316" s="16"/>
      <c r="O316" s="15">
        <f t="shared" si="25"/>
        <v>76500</v>
      </c>
      <c r="P316" s="15">
        <f t="shared" si="26"/>
        <v>482620</v>
      </c>
      <c r="Q316" s="15">
        <f t="shared" si="27"/>
        <v>1751180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6500</v>
      </c>
      <c r="F317" s="15">
        <v>400</v>
      </c>
      <c r="G317" s="15">
        <v>400</v>
      </c>
      <c r="H317" s="15">
        <f t="shared" si="28"/>
        <v>7300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6500</v>
      </c>
      <c r="F318" s="15">
        <v>400</v>
      </c>
      <c r="G318" s="15">
        <v>400</v>
      </c>
      <c r="H318" s="15">
        <f t="shared" si="28"/>
        <v>7300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41</v>
      </c>
      <c r="E319" s="15">
        <v>6500</v>
      </c>
      <c r="F319" s="15">
        <v>400</v>
      </c>
      <c r="G319" s="15">
        <v>400</v>
      </c>
      <c r="H319" s="15">
        <f t="shared" si="28"/>
        <v>7300</v>
      </c>
      <c r="I319" s="15">
        <f t="shared" si="29"/>
        <v>299300</v>
      </c>
      <c r="J319" s="20"/>
      <c r="K319" s="15"/>
      <c r="L319" s="15">
        <f t="shared" si="24"/>
        <v>820</v>
      </c>
      <c r="M319" s="20"/>
      <c r="N319" s="20"/>
      <c r="O319" s="15">
        <f t="shared" si="25"/>
        <v>10250</v>
      </c>
      <c r="P319" s="15">
        <f t="shared" si="26"/>
        <v>11070</v>
      </c>
      <c r="Q319" s="15">
        <f t="shared" si="27"/>
        <v>288230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6500</v>
      </c>
      <c r="F320" s="15">
        <v>400</v>
      </c>
      <c r="G320" s="15">
        <v>400</v>
      </c>
      <c r="H320" s="15">
        <f t="shared" si="28"/>
        <v>7300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143</v>
      </c>
      <c r="E321" s="15">
        <v>6500</v>
      </c>
      <c r="F321" s="15">
        <v>600</v>
      </c>
      <c r="G321" s="15">
        <v>400</v>
      </c>
      <c r="H321" s="15">
        <f t="shared" si="28"/>
        <v>7500</v>
      </c>
      <c r="I321" s="15">
        <f t="shared" si="29"/>
        <v>1072500</v>
      </c>
      <c r="J321" s="20"/>
      <c r="K321" s="15">
        <v>200000</v>
      </c>
      <c r="L321" s="15">
        <f t="shared" si="24"/>
        <v>2860</v>
      </c>
      <c r="M321" s="16"/>
      <c r="N321" s="16"/>
      <c r="O321" s="15">
        <f t="shared" si="25"/>
        <v>35750</v>
      </c>
      <c r="P321" s="15">
        <f t="shared" si="26"/>
        <v>238610</v>
      </c>
      <c r="Q321" s="15">
        <f t="shared" si="27"/>
        <v>833890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6500</v>
      </c>
      <c r="F322" s="15">
        <v>300</v>
      </c>
      <c r="G322" s="15">
        <v>400</v>
      </c>
      <c r="H322" s="15">
        <f t="shared" si="28"/>
        <v>7200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6500</v>
      </c>
      <c r="F323" s="15">
        <v>300</v>
      </c>
      <c r="G323" s="15">
        <v>400</v>
      </c>
      <c r="H323" s="15">
        <f t="shared" si="28"/>
        <v>7200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6500</v>
      </c>
      <c r="F324" s="15">
        <v>300</v>
      </c>
      <c r="G324" s="15">
        <v>400</v>
      </c>
      <c r="H324" s="15">
        <f t="shared" si="28"/>
        <v>7200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326</v>
      </c>
      <c r="E325" s="15">
        <v>6500</v>
      </c>
      <c r="F325" s="15">
        <v>400</v>
      </c>
      <c r="G325" s="15">
        <v>400</v>
      </c>
      <c r="H325" s="15">
        <f t="shared" si="28"/>
        <v>7300</v>
      </c>
      <c r="I325" s="15">
        <f t="shared" si="29"/>
        <v>2379800</v>
      </c>
      <c r="J325" s="20"/>
      <c r="K325" s="15">
        <v>800000</v>
      </c>
      <c r="L325" s="15">
        <f t="shared" ref="L325:L388" si="30">D325*20</f>
        <v>6520</v>
      </c>
      <c r="M325" s="16"/>
      <c r="N325" s="16"/>
      <c r="O325" s="15">
        <f t="shared" ref="O325:O388" si="31">250*D325</f>
        <v>81500</v>
      </c>
      <c r="P325" s="15">
        <f t="shared" ref="P325:P388" si="32">SUM(J325:O325)</f>
        <v>888020</v>
      </c>
      <c r="Q325" s="15">
        <f t="shared" ref="Q325:Q388" si="33">I325-P325</f>
        <v>1491780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6500</v>
      </c>
      <c r="F326" s="15">
        <v>400</v>
      </c>
      <c r="G326" s="15">
        <v>400</v>
      </c>
      <c r="H326" s="15">
        <f t="shared" ref="H326:H389" si="34">SUM(E326:G326)</f>
        <v>7300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6500</v>
      </c>
      <c r="F327" s="15">
        <v>300</v>
      </c>
      <c r="G327" s="15">
        <v>400</v>
      </c>
      <c r="H327" s="15">
        <f t="shared" si="34"/>
        <v>7200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140</v>
      </c>
      <c r="E328" s="15">
        <v>6500</v>
      </c>
      <c r="F328" s="15">
        <v>300</v>
      </c>
      <c r="G328" s="15">
        <v>400</v>
      </c>
      <c r="H328" s="15">
        <f t="shared" si="34"/>
        <v>7200</v>
      </c>
      <c r="I328" s="15">
        <f t="shared" si="35"/>
        <v>1008000</v>
      </c>
      <c r="J328" s="16"/>
      <c r="K328" s="15"/>
      <c r="L328" s="15">
        <f t="shared" si="30"/>
        <v>2800</v>
      </c>
      <c r="M328" s="20"/>
      <c r="N328" s="20"/>
      <c r="O328" s="15">
        <f t="shared" si="31"/>
        <v>35000</v>
      </c>
      <c r="P328" s="15">
        <f t="shared" si="32"/>
        <v>37800</v>
      </c>
      <c r="Q328" s="15">
        <f t="shared" si="33"/>
        <v>970200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6500</v>
      </c>
      <c r="F329" s="15">
        <v>300</v>
      </c>
      <c r="G329" s="15">
        <v>400</v>
      </c>
      <c r="H329" s="15">
        <f t="shared" si="34"/>
        <v>7200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6500</v>
      </c>
      <c r="F330" s="15">
        <v>300</v>
      </c>
      <c r="G330" s="15">
        <v>400</v>
      </c>
      <c r="H330" s="15">
        <f t="shared" si="34"/>
        <v>7200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6500</v>
      </c>
      <c r="F331" s="15">
        <v>400</v>
      </c>
      <c r="G331" s="15">
        <v>400</v>
      </c>
      <c r="H331" s="15">
        <f t="shared" si="34"/>
        <v>7300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6500</v>
      </c>
      <c r="F332" s="15">
        <v>300</v>
      </c>
      <c r="G332" s="15">
        <v>400</v>
      </c>
      <c r="H332" s="15">
        <f t="shared" si="34"/>
        <v>7200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6500</v>
      </c>
      <c r="F333" s="15">
        <v>300</v>
      </c>
      <c r="G333" s="15">
        <v>400</v>
      </c>
      <c r="H333" s="15">
        <f t="shared" si="34"/>
        <v>7200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6500</v>
      </c>
      <c r="F334" s="15">
        <v>300</v>
      </c>
      <c r="G334" s="15">
        <v>400</v>
      </c>
      <c r="H334" s="15">
        <f t="shared" si="34"/>
        <v>7200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74</v>
      </c>
      <c r="E335" s="15">
        <v>6500</v>
      </c>
      <c r="F335" s="15">
        <v>300</v>
      </c>
      <c r="G335" s="15">
        <v>400</v>
      </c>
      <c r="H335" s="15">
        <f t="shared" si="34"/>
        <v>7200</v>
      </c>
      <c r="I335" s="15">
        <f t="shared" si="35"/>
        <v>532800</v>
      </c>
      <c r="J335" s="16"/>
      <c r="K335" s="15"/>
      <c r="L335" s="15">
        <f t="shared" si="30"/>
        <v>1480</v>
      </c>
      <c r="M335" s="16"/>
      <c r="N335" s="16"/>
      <c r="O335" s="15">
        <f t="shared" si="31"/>
        <v>18500</v>
      </c>
      <c r="P335" s="15">
        <f t="shared" si="32"/>
        <v>19980</v>
      </c>
      <c r="Q335" s="15">
        <f t="shared" si="33"/>
        <v>512820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6500</v>
      </c>
      <c r="F336" s="15">
        <v>300</v>
      </c>
      <c r="G336" s="15">
        <v>400</v>
      </c>
      <c r="H336" s="15">
        <f t="shared" si="34"/>
        <v>7200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6500</v>
      </c>
      <c r="F337" s="15">
        <v>300</v>
      </c>
      <c r="G337" s="15">
        <v>400</v>
      </c>
      <c r="H337" s="15">
        <f t="shared" si="34"/>
        <v>7200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6500</v>
      </c>
      <c r="F338" s="15">
        <v>300</v>
      </c>
      <c r="G338" s="15">
        <v>400</v>
      </c>
      <c r="H338" s="15">
        <f t="shared" si="34"/>
        <v>7200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123</v>
      </c>
      <c r="E339" s="15">
        <v>6500</v>
      </c>
      <c r="F339" s="15">
        <v>600</v>
      </c>
      <c r="G339" s="15">
        <v>400</v>
      </c>
      <c r="H339" s="15">
        <f t="shared" si="34"/>
        <v>7500</v>
      </c>
      <c r="I339" s="15">
        <f t="shared" si="35"/>
        <v>922500</v>
      </c>
      <c r="J339" s="16"/>
      <c r="K339" s="15">
        <v>600000</v>
      </c>
      <c r="L339" s="15">
        <f t="shared" si="30"/>
        <v>2460</v>
      </c>
      <c r="M339" s="20"/>
      <c r="N339" s="20"/>
      <c r="O339" s="15">
        <f t="shared" si="31"/>
        <v>30750</v>
      </c>
      <c r="P339" s="15">
        <f t="shared" si="32"/>
        <v>633210</v>
      </c>
      <c r="Q339" s="15">
        <f t="shared" si="33"/>
        <v>289290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6500</v>
      </c>
      <c r="F340" s="15">
        <v>300</v>
      </c>
      <c r="G340" s="15">
        <v>400</v>
      </c>
      <c r="H340" s="15">
        <f t="shared" si="34"/>
        <v>7200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6500</v>
      </c>
      <c r="F341" s="15">
        <v>300</v>
      </c>
      <c r="G341" s="15">
        <v>400</v>
      </c>
      <c r="H341" s="15">
        <f t="shared" si="34"/>
        <v>7200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6500</v>
      </c>
      <c r="F342" s="15">
        <v>300</v>
      </c>
      <c r="G342" s="15">
        <v>400</v>
      </c>
      <c r="H342" s="15">
        <f t="shared" si="34"/>
        <v>7200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6500</v>
      </c>
      <c r="F343" s="15">
        <v>300</v>
      </c>
      <c r="G343" s="15">
        <v>400</v>
      </c>
      <c r="H343" s="15">
        <f t="shared" si="34"/>
        <v>7200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300</v>
      </c>
      <c r="E344" s="15">
        <v>6500</v>
      </c>
      <c r="F344" s="15">
        <v>500</v>
      </c>
      <c r="G344" s="15">
        <v>400</v>
      </c>
      <c r="H344" s="15">
        <f t="shared" si="34"/>
        <v>7400</v>
      </c>
      <c r="I344" s="15">
        <f t="shared" si="35"/>
        <v>2220000</v>
      </c>
      <c r="J344" s="20"/>
      <c r="K344" s="15"/>
      <c r="L344" s="15">
        <f t="shared" si="30"/>
        <v>6000</v>
      </c>
      <c r="M344" s="16"/>
      <c r="N344" s="16"/>
      <c r="O344" s="15">
        <f t="shared" si="31"/>
        <v>75000</v>
      </c>
      <c r="P344" s="15">
        <f t="shared" si="32"/>
        <v>81000</v>
      </c>
      <c r="Q344" s="15">
        <f t="shared" si="33"/>
        <v>2139000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6500</v>
      </c>
      <c r="F345" s="15">
        <v>300</v>
      </c>
      <c r="G345" s="15">
        <v>400</v>
      </c>
      <c r="H345" s="15">
        <f t="shared" si="34"/>
        <v>7200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6500</v>
      </c>
      <c r="F346" s="15">
        <v>300</v>
      </c>
      <c r="G346" s="15">
        <v>400</v>
      </c>
      <c r="H346" s="15">
        <f t="shared" si="34"/>
        <v>7200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6500</v>
      </c>
      <c r="F347" s="15">
        <v>300</v>
      </c>
      <c r="G347" s="15">
        <v>400</v>
      </c>
      <c r="H347" s="15">
        <f t="shared" si="34"/>
        <v>7200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6500</v>
      </c>
      <c r="F348" s="15">
        <v>300</v>
      </c>
      <c r="G348" s="15">
        <v>400</v>
      </c>
      <c r="H348" s="15">
        <f t="shared" si="34"/>
        <v>7200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6500</v>
      </c>
      <c r="F349" s="15">
        <v>300</v>
      </c>
      <c r="G349" s="15">
        <v>400</v>
      </c>
      <c r="H349" s="15">
        <f t="shared" si="34"/>
        <v>7200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63</v>
      </c>
      <c r="E350" s="15">
        <v>6500</v>
      </c>
      <c r="F350" s="15">
        <v>600</v>
      </c>
      <c r="G350" s="15">
        <v>400</v>
      </c>
      <c r="H350" s="15">
        <f t="shared" si="34"/>
        <v>7500</v>
      </c>
      <c r="I350" s="15">
        <f t="shared" si="35"/>
        <v>472500</v>
      </c>
      <c r="J350" s="16">
        <v>100000</v>
      </c>
      <c r="K350" s="15">
        <v>200000</v>
      </c>
      <c r="L350" s="15">
        <f t="shared" si="30"/>
        <v>1260</v>
      </c>
      <c r="M350" s="16"/>
      <c r="N350" s="16"/>
      <c r="O350" s="15">
        <f t="shared" si="31"/>
        <v>15750</v>
      </c>
      <c r="P350" s="15">
        <f t="shared" si="32"/>
        <v>317010</v>
      </c>
      <c r="Q350" s="15">
        <f t="shared" si="33"/>
        <v>155490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6500</v>
      </c>
      <c r="F351" s="15">
        <v>300</v>
      </c>
      <c r="G351" s="15">
        <v>400</v>
      </c>
      <c r="H351" s="15">
        <f t="shared" si="34"/>
        <v>7200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6500</v>
      </c>
      <c r="F352" s="15">
        <v>300</v>
      </c>
      <c r="G352" s="15">
        <v>400</v>
      </c>
      <c r="H352" s="15">
        <f t="shared" si="34"/>
        <v>7200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152</v>
      </c>
      <c r="E353" s="15">
        <v>6500</v>
      </c>
      <c r="F353" s="15">
        <v>600</v>
      </c>
      <c r="G353" s="15">
        <v>400</v>
      </c>
      <c r="H353" s="15">
        <f t="shared" si="34"/>
        <v>7500</v>
      </c>
      <c r="I353" s="15">
        <f t="shared" si="35"/>
        <v>1140000</v>
      </c>
      <c r="J353" s="20"/>
      <c r="K353" s="15"/>
      <c r="L353" s="15">
        <f t="shared" si="30"/>
        <v>3040</v>
      </c>
      <c r="M353" s="20"/>
      <c r="N353" s="20"/>
      <c r="O353" s="15">
        <f t="shared" si="31"/>
        <v>38000</v>
      </c>
      <c r="P353" s="15">
        <f t="shared" si="32"/>
        <v>41040</v>
      </c>
      <c r="Q353" s="15">
        <f t="shared" si="33"/>
        <v>1098960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6500</v>
      </c>
      <c r="F354" s="15">
        <v>300</v>
      </c>
      <c r="G354" s="15">
        <v>400</v>
      </c>
      <c r="H354" s="15">
        <f t="shared" si="34"/>
        <v>7200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6500</v>
      </c>
      <c r="F355" s="15">
        <v>300</v>
      </c>
      <c r="G355" s="15">
        <v>400</v>
      </c>
      <c r="H355" s="15">
        <f t="shared" si="34"/>
        <v>7200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6500</v>
      </c>
      <c r="F356" s="15">
        <v>400</v>
      </c>
      <c r="G356" s="15">
        <v>400</v>
      </c>
      <c r="H356" s="15">
        <f t="shared" si="34"/>
        <v>7300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6500</v>
      </c>
      <c r="F357" s="15">
        <v>300</v>
      </c>
      <c r="G357" s="15">
        <v>400</v>
      </c>
      <c r="H357" s="15">
        <f t="shared" si="34"/>
        <v>7200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6500</v>
      </c>
      <c r="F358" s="15">
        <v>300</v>
      </c>
      <c r="G358" s="15">
        <v>400</v>
      </c>
      <c r="H358" s="15">
        <f t="shared" si="34"/>
        <v>7200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6500</v>
      </c>
      <c r="F359" s="15">
        <v>300</v>
      </c>
      <c r="G359" s="15">
        <v>400</v>
      </c>
      <c r="H359" s="15">
        <f t="shared" si="34"/>
        <v>7200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6500</v>
      </c>
      <c r="F360" s="15">
        <v>300</v>
      </c>
      <c r="G360" s="15">
        <v>400</v>
      </c>
      <c r="H360" s="15">
        <f t="shared" si="34"/>
        <v>7200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6500</v>
      </c>
      <c r="F361" s="15">
        <v>300</v>
      </c>
      <c r="G361" s="15">
        <v>400</v>
      </c>
      <c r="H361" s="15">
        <f t="shared" si="34"/>
        <v>7200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6500</v>
      </c>
      <c r="F362" s="15">
        <v>500</v>
      </c>
      <c r="G362" s="15">
        <v>400</v>
      </c>
      <c r="H362" s="15">
        <f t="shared" si="34"/>
        <v>7400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6500</v>
      </c>
      <c r="F363" s="15">
        <v>400</v>
      </c>
      <c r="G363" s="15">
        <v>400</v>
      </c>
      <c r="H363" s="15">
        <f t="shared" si="34"/>
        <v>7300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6500</v>
      </c>
      <c r="F364" s="15">
        <v>300</v>
      </c>
      <c r="G364" s="15">
        <v>400</v>
      </c>
      <c r="H364" s="15">
        <f t="shared" si="34"/>
        <v>7200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53</v>
      </c>
      <c r="E365" s="15">
        <v>6500</v>
      </c>
      <c r="F365" s="15">
        <v>600</v>
      </c>
      <c r="G365" s="15">
        <v>400</v>
      </c>
      <c r="H365" s="15">
        <f t="shared" si="34"/>
        <v>7500</v>
      </c>
      <c r="I365" s="15">
        <f t="shared" si="35"/>
        <v>397500</v>
      </c>
      <c r="J365" s="16"/>
      <c r="K365" s="15"/>
      <c r="L365" s="15">
        <f t="shared" si="30"/>
        <v>1060</v>
      </c>
      <c r="M365" s="20"/>
      <c r="N365" s="20"/>
      <c r="O365" s="15">
        <f t="shared" si="31"/>
        <v>13250</v>
      </c>
      <c r="P365" s="15">
        <f t="shared" si="32"/>
        <v>14310</v>
      </c>
      <c r="Q365" s="15">
        <f t="shared" si="33"/>
        <v>383190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6500</v>
      </c>
      <c r="F366" s="15">
        <v>300</v>
      </c>
      <c r="G366" s="15">
        <v>400</v>
      </c>
      <c r="H366" s="15">
        <f t="shared" si="34"/>
        <v>7200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6500</v>
      </c>
      <c r="F367" s="15">
        <v>400</v>
      </c>
      <c r="G367" s="15">
        <v>400</v>
      </c>
      <c r="H367" s="15">
        <f t="shared" si="34"/>
        <v>7300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45</v>
      </c>
      <c r="E368" s="15">
        <v>6500</v>
      </c>
      <c r="F368" s="15">
        <v>500</v>
      </c>
      <c r="G368" s="15">
        <v>400</v>
      </c>
      <c r="H368" s="15">
        <f t="shared" si="34"/>
        <v>7400</v>
      </c>
      <c r="I368" s="15">
        <f t="shared" si="35"/>
        <v>333000</v>
      </c>
      <c r="J368" s="16"/>
      <c r="K368" s="15"/>
      <c r="L368" s="15">
        <f t="shared" si="30"/>
        <v>900</v>
      </c>
      <c r="M368" s="16"/>
      <c r="N368" s="16"/>
      <c r="O368" s="15">
        <f t="shared" si="31"/>
        <v>11250</v>
      </c>
      <c r="P368" s="15">
        <f t="shared" si="32"/>
        <v>12150</v>
      </c>
      <c r="Q368" s="15">
        <f t="shared" si="33"/>
        <v>320850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6500</v>
      </c>
      <c r="F369" s="15">
        <v>300</v>
      </c>
      <c r="G369" s="15">
        <v>400</v>
      </c>
      <c r="H369" s="15">
        <f t="shared" si="34"/>
        <v>7200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6500</v>
      </c>
      <c r="F370" s="15">
        <v>300</v>
      </c>
      <c r="G370" s="15">
        <v>400</v>
      </c>
      <c r="H370" s="15">
        <f t="shared" si="34"/>
        <v>7200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6500</v>
      </c>
      <c r="F371" s="15">
        <v>300</v>
      </c>
      <c r="G371" s="15">
        <v>400</v>
      </c>
      <c r="H371" s="15">
        <f t="shared" si="34"/>
        <v>7200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6500</v>
      </c>
      <c r="F372" s="15">
        <v>400</v>
      </c>
      <c r="G372" s="15">
        <v>400</v>
      </c>
      <c r="H372" s="15">
        <f t="shared" si="34"/>
        <v>7300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41</v>
      </c>
      <c r="E373" s="15">
        <v>6500</v>
      </c>
      <c r="F373" s="15">
        <v>400</v>
      </c>
      <c r="G373" s="15">
        <v>400</v>
      </c>
      <c r="H373" s="15">
        <f t="shared" si="34"/>
        <v>7300</v>
      </c>
      <c r="I373" s="15">
        <f t="shared" si="35"/>
        <v>299300</v>
      </c>
      <c r="J373" s="16"/>
      <c r="K373" s="15">
        <v>200000</v>
      </c>
      <c r="L373" s="15">
        <f t="shared" si="30"/>
        <v>820</v>
      </c>
      <c r="M373" s="16"/>
      <c r="N373" s="16"/>
      <c r="O373" s="15">
        <f t="shared" si="31"/>
        <v>10250</v>
      </c>
      <c r="P373" s="15">
        <f t="shared" si="32"/>
        <v>211070</v>
      </c>
      <c r="Q373" s="15">
        <f t="shared" si="33"/>
        <v>88230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6500</v>
      </c>
      <c r="F374" s="15">
        <v>300</v>
      </c>
      <c r="G374" s="15">
        <v>400</v>
      </c>
      <c r="H374" s="15">
        <f t="shared" si="34"/>
        <v>7200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6500</v>
      </c>
      <c r="F375" s="15">
        <v>400</v>
      </c>
      <c r="G375" s="15">
        <v>400</v>
      </c>
      <c r="H375" s="15">
        <f t="shared" si="34"/>
        <v>7300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6500</v>
      </c>
      <c r="F376" s="15">
        <v>300</v>
      </c>
      <c r="G376" s="15">
        <v>400</v>
      </c>
      <c r="H376" s="15">
        <f t="shared" si="34"/>
        <v>7200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6500</v>
      </c>
      <c r="F377" s="15">
        <v>300</v>
      </c>
      <c r="G377" s="15">
        <v>400</v>
      </c>
      <c r="H377" s="15">
        <f t="shared" si="34"/>
        <v>7200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70</v>
      </c>
      <c r="E378" s="15">
        <v>6500</v>
      </c>
      <c r="F378" s="15">
        <v>400</v>
      </c>
      <c r="G378" s="15">
        <v>400</v>
      </c>
      <c r="H378" s="15">
        <f t="shared" si="34"/>
        <v>7300</v>
      </c>
      <c r="I378" s="15">
        <f t="shared" si="35"/>
        <v>511000</v>
      </c>
      <c r="J378" s="16"/>
      <c r="K378" s="15"/>
      <c r="L378" s="15">
        <f t="shared" si="30"/>
        <v>1400</v>
      </c>
      <c r="M378" s="16"/>
      <c r="N378" s="16"/>
      <c r="O378" s="15">
        <f t="shared" si="31"/>
        <v>17500</v>
      </c>
      <c r="P378" s="15">
        <f t="shared" si="32"/>
        <v>18900</v>
      </c>
      <c r="Q378" s="15">
        <f t="shared" si="33"/>
        <v>492100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6500</v>
      </c>
      <c r="F379" s="15">
        <v>400</v>
      </c>
      <c r="G379" s="15">
        <v>400</v>
      </c>
      <c r="H379" s="15">
        <f t="shared" si="34"/>
        <v>7300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6500</v>
      </c>
      <c r="F380" s="15">
        <v>300</v>
      </c>
      <c r="G380" s="15">
        <v>400</v>
      </c>
      <c r="H380" s="15">
        <f t="shared" si="34"/>
        <v>7200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6500</v>
      </c>
      <c r="F381" s="15">
        <v>300</v>
      </c>
      <c r="G381" s="15">
        <v>400</v>
      </c>
      <c r="H381" s="15">
        <f t="shared" si="34"/>
        <v>7200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6500</v>
      </c>
      <c r="F382" s="15">
        <v>300</v>
      </c>
      <c r="G382" s="15">
        <v>400</v>
      </c>
      <c r="H382" s="15">
        <f t="shared" si="34"/>
        <v>7200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6500</v>
      </c>
      <c r="F383" s="15">
        <v>300</v>
      </c>
      <c r="G383" s="15">
        <v>400</v>
      </c>
      <c r="H383" s="15">
        <f t="shared" si="34"/>
        <v>7200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6500</v>
      </c>
      <c r="F384" s="15">
        <v>300</v>
      </c>
      <c r="G384" s="15">
        <v>400</v>
      </c>
      <c r="H384" s="15">
        <f t="shared" si="34"/>
        <v>7200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6500</v>
      </c>
      <c r="F385" s="15">
        <v>300</v>
      </c>
      <c r="G385" s="15">
        <v>400</v>
      </c>
      <c r="H385" s="15">
        <f t="shared" si="34"/>
        <v>7200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6500</v>
      </c>
      <c r="F386" s="15">
        <v>300</v>
      </c>
      <c r="G386" s="15">
        <v>400</v>
      </c>
      <c r="H386" s="15">
        <f t="shared" si="34"/>
        <v>7200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180</v>
      </c>
      <c r="E387" s="15">
        <v>6500</v>
      </c>
      <c r="F387" s="15">
        <v>600</v>
      </c>
      <c r="G387" s="15">
        <v>400</v>
      </c>
      <c r="H387" s="15">
        <f t="shared" si="34"/>
        <v>7500</v>
      </c>
      <c r="I387" s="15">
        <f t="shared" si="35"/>
        <v>1350000</v>
      </c>
      <c r="J387" s="16"/>
      <c r="K387" s="15">
        <v>400000</v>
      </c>
      <c r="L387" s="15">
        <f t="shared" si="30"/>
        <v>3600</v>
      </c>
      <c r="M387" s="16"/>
      <c r="N387" s="16"/>
      <c r="O387" s="15">
        <f t="shared" si="31"/>
        <v>45000</v>
      </c>
      <c r="P387" s="15">
        <f t="shared" si="32"/>
        <v>448600</v>
      </c>
      <c r="Q387" s="15">
        <f t="shared" si="33"/>
        <v>901400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6500</v>
      </c>
      <c r="F388" s="15">
        <v>300</v>
      </c>
      <c r="G388" s="15">
        <v>400</v>
      </c>
      <c r="H388" s="15">
        <f t="shared" si="34"/>
        <v>7200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6500</v>
      </c>
      <c r="F389" s="15">
        <v>300</v>
      </c>
      <c r="G389" s="15">
        <v>400</v>
      </c>
      <c r="H389" s="15">
        <f t="shared" si="34"/>
        <v>7200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6500</v>
      </c>
      <c r="F390" s="15">
        <v>400</v>
      </c>
      <c r="G390" s="15">
        <v>400</v>
      </c>
      <c r="H390" s="15">
        <f t="shared" ref="H390:H453" si="40">SUM(E390:G390)</f>
        <v>7300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6500</v>
      </c>
      <c r="F391" s="15">
        <v>400</v>
      </c>
      <c r="G391" s="15">
        <v>400</v>
      </c>
      <c r="H391" s="15">
        <f t="shared" si="40"/>
        <v>7300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251</v>
      </c>
      <c r="E392" s="15">
        <v>6500</v>
      </c>
      <c r="F392" s="15">
        <v>500</v>
      </c>
      <c r="G392" s="15">
        <v>400</v>
      </c>
      <c r="H392" s="15">
        <f t="shared" si="40"/>
        <v>7400</v>
      </c>
      <c r="I392" s="15">
        <f t="shared" si="41"/>
        <v>1857400</v>
      </c>
      <c r="J392" s="16"/>
      <c r="K392" s="15">
        <v>600000</v>
      </c>
      <c r="L392" s="15">
        <f t="shared" si="36"/>
        <v>5020</v>
      </c>
      <c r="M392" s="16"/>
      <c r="N392" s="16"/>
      <c r="O392" s="15">
        <f t="shared" si="37"/>
        <v>62750</v>
      </c>
      <c r="P392" s="15">
        <f t="shared" si="38"/>
        <v>667770</v>
      </c>
      <c r="Q392" s="15">
        <f t="shared" si="39"/>
        <v>1189630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6500</v>
      </c>
      <c r="F393" s="15">
        <v>400</v>
      </c>
      <c r="G393" s="15">
        <v>400</v>
      </c>
      <c r="H393" s="15">
        <f t="shared" si="40"/>
        <v>7300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39</v>
      </c>
      <c r="E394" s="15">
        <v>6500</v>
      </c>
      <c r="F394" s="15">
        <v>600</v>
      </c>
      <c r="G394" s="15">
        <v>400</v>
      </c>
      <c r="H394" s="15">
        <f t="shared" si="40"/>
        <v>7500</v>
      </c>
      <c r="I394" s="15">
        <f t="shared" si="41"/>
        <v>292500</v>
      </c>
      <c r="J394" s="16"/>
      <c r="K394" s="15">
        <v>200000</v>
      </c>
      <c r="L394" s="15">
        <f t="shared" si="36"/>
        <v>780</v>
      </c>
      <c r="M394" s="16"/>
      <c r="N394" s="16"/>
      <c r="O394" s="15">
        <f t="shared" si="37"/>
        <v>9750</v>
      </c>
      <c r="P394" s="15">
        <f t="shared" si="38"/>
        <v>210530</v>
      </c>
      <c r="Q394" s="15">
        <f t="shared" si="39"/>
        <v>81970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146</v>
      </c>
      <c r="E395" s="15">
        <v>6500</v>
      </c>
      <c r="F395" s="15">
        <v>500</v>
      </c>
      <c r="G395" s="15">
        <v>400</v>
      </c>
      <c r="H395" s="15">
        <f t="shared" si="40"/>
        <v>7400</v>
      </c>
      <c r="I395" s="15">
        <f t="shared" si="41"/>
        <v>1080400</v>
      </c>
      <c r="J395" s="16">
        <v>200000</v>
      </c>
      <c r="K395" s="15">
        <v>400000</v>
      </c>
      <c r="L395" s="15">
        <f t="shared" si="36"/>
        <v>2920</v>
      </c>
      <c r="M395" s="16"/>
      <c r="N395" s="16"/>
      <c r="O395" s="15">
        <f t="shared" si="37"/>
        <v>36500</v>
      </c>
      <c r="P395" s="15">
        <f t="shared" si="38"/>
        <v>639420</v>
      </c>
      <c r="Q395" s="15">
        <f t="shared" si="39"/>
        <v>440980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100</v>
      </c>
      <c r="E396" s="15">
        <v>6500</v>
      </c>
      <c r="F396" s="15">
        <v>500</v>
      </c>
      <c r="G396" s="15">
        <v>400</v>
      </c>
      <c r="H396" s="15">
        <f t="shared" si="40"/>
        <v>7400</v>
      </c>
      <c r="I396" s="15">
        <f t="shared" si="41"/>
        <v>740000</v>
      </c>
      <c r="J396" s="16"/>
      <c r="K396" s="15"/>
      <c r="L396" s="15">
        <f t="shared" si="36"/>
        <v>2000</v>
      </c>
      <c r="M396" s="16"/>
      <c r="N396" s="16"/>
      <c r="O396" s="15">
        <f t="shared" si="37"/>
        <v>25000</v>
      </c>
      <c r="P396" s="15">
        <f t="shared" si="38"/>
        <v>27000</v>
      </c>
      <c r="Q396" s="15">
        <f t="shared" si="39"/>
        <v>713000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6500</v>
      </c>
      <c r="F397" s="15">
        <v>300</v>
      </c>
      <c r="G397" s="15">
        <v>400</v>
      </c>
      <c r="H397" s="15">
        <f t="shared" si="40"/>
        <v>7200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178</v>
      </c>
      <c r="E398" s="15">
        <v>6500</v>
      </c>
      <c r="F398" s="15">
        <v>200</v>
      </c>
      <c r="G398" s="15">
        <v>400</v>
      </c>
      <c r="H398" s="15">
        <f t="shared" si="40"/>
        <v>7100</v>
      </c>
      <c r="I398" s="15">
        <f t="shared" si="41"/>
        <v>1263800</v>
      </c>
      <c r="J398" s="16"/>
      <c r="K398" s="15"/>
      <c r="L398" s="15">
        <f t="shared" si="36"/>
        <v>3560</v>
      </c>
      <c r="M398" s="16"/>
      <c r="N398" s="16"/>
      <c r="O398" s="15">
        <f t="shared" si="37"/>
        <v>44500</v>
      </c>
      <c r="P398" s="15">
        <f t="shared" si="38"/>
        <v>48060</v>
      </c>
      <c r="Q398" s="15">
        <f t="shared" si="39"/>
        <v>1215740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6500</v>
      </c>
      <c r="F399" s="15">
        <v>300</v>
      </c>
      <c r="G399" s="15">
        <v>400</v>
      </c>
      <c r="H399" s="15">
        <f t="shared" si="40"/>
        <v>7200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95</v>
      </c>
      <c r="E400" s="15">
        <v>6500</v>
      </c>
      <c r="F400" s="15">
        <v>600</v>
      </c>
      <c r="G400" s="15">
        <v>400</v>
      </c>
      <c r="H400" s="15">
        <f t="shared" si="40"/>
        <v>7500</v>
      </c>
      <c r="I400" s="15">
        <f t="shared" si="41"/>
        <v>712500</v>
      </c>
      <c r="J400" s="16"/>
      <c r="K400" s="15"/>
      <c r="L400" s="15">
        <f t="shared" si="36"/>
        <v>1900</v>
      </c>
      <c r="M400" s="16"/>
      <c r="N400" s="16"/>
      <c r="O400" s="15">
        <f t="shared" si="37"/>
        <v>23750</v>
      </c>
      <c r="P400" s="15">
        <f t="shared" si="38"/>
        <v>25650</v>
      </c>
      <c r="Q400" s="15">
        <f t="shared" si="39"/>
        <v>686850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6500</v>
      </c>
      <c r="F401" s="15">
        <v>300</v>
      </c>
      <c r="G401" s="15">
        <v>400</v>
      </c>
      <c r="H401" s="15">
        <f t="shared" si="40"/>
        <v>7200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6500</v>
      </c>
      <c r="F402" s="15">
        <v>300</v>
      </c>
      <c r="G402" s="15">
        <v>400</v>
      </c>
      <c r="H402" s="15">
        <f t="shared" si="40"/>
        <v>7200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6500</v>
      </c>
      <c r="F403" s="15">
        <v>300</v>
      </c>
      <c r="G403" s="15">
        <v>400</v>
      </c>
      <c r="H403" s="15">
        <f t="shared" si="40"/>
        <v>7200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6500</v>
      </c>
      <c r="F404" s="15">
        <v>400</v>
      </c>
      <c r="G404" s="15">
        <v>400</v>
      </c>
      <c r="H404" s="15">
        <f t="shared" si="40"/>
        <v>7300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254</v>
      </c>
      <c r="E405" s="15">
        <v>6500</v>
      </c>
      <c r="F405" s="15">
        <v>600</v>
      </c>
      <c r="G405" s="15">
        <v>400</v>
      </c>
      <c r="H405" s="15">
        <f t="shared" si="40"/>
        <v>7500</v>
      </c>
      <c r="I405" s="15">
        <f t="shared" si="41"/>
        <v>1905000</v>
      </c>
      <c r="J405" s="16"/>
      <c r="K405" s="15">
        <v>600000</v>
      </c>
      <c r="L405" s="15">
        <f t="shared" si="36"/>
        <v>5080</v>
      </c>
      <c r="M405" s="16"/>
      <c r="N405" s="16"/>
      <c r="O405" s="15">
        <f t="shared" si="37"/>
        <v>63500</v>
      </c>
      <c r="P405" s="15">
        <f t="shared" si="38"/>
        <v>668580</v>
      </c>
      <c r="Q405" s="15">
        <f t="shared" si="39"/>
        <v>1236420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82</v>
      </c>
      <c r="E406" s="15">
        <v>6500</v>
      </c>
      <c r="F406" s="15">
        <v>400</v>
      </c>
      <c r="G406" s="15">
        <v>400</v>
      </c>
      <c r="H406" s="15">
        <f t="shared" si="40"/>
        <v>7300</v>
      </c>
      <c r="I406" s="15">
        <f t="shared" si="41"/>
        <v>598600</v>
      </c>
      <c r="J406" s="16"/>
      <c r="K406" s="15"/>
      <c r="L406" s="15">
        <f t="shared" si="36"/>
        <v>1640</v>
      </c>
      <c r="M406" s="16"/>
      <c r="N406" s="16"/>
      <c r="O406" s="15">
        <f t="shared" si="37"/>
        <v>20500</v>
      </c>
      <c r="P406" s="15">
        <f t="shared" si="38"/>
        <v>22140</v>
      </c>
      <c r="Q406" s="15">
        <f t="shared" si="39"/>
        <v>576460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6500</v>
      </c>
      <c r="F407" s="15">
        <v>300</v>
      </c>
      <c r="G407" s="15">
        <v>400</v>
      </c>
      <c r="H407" s="15">
        <f t="shared" si="40"/>
        <v>7200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6500</v>
      </c>
      <c r="F408" s="15">
        <v>300</v>
      </c>
      <c r="G408" s="15">
        <v>400</v>
      </c>
      <c r="H408" s="15">
        <f t="shared" si="40"/>
        <v>7200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203</v>
      </c>
      <c r="E409" s="15">
        <v>6500</v>
      </c>
      <c r="F409" s="15">
        <v>400</v>
      </c>
      <c r="G409" s="15">
        <v>400</v>
      </c>
      <c r="H409" s="15">
        <f t="shared" si="40"/>
        <v>7300</v>
      </c>
      <c r="I409" s="15">
        <f t="shared" si="41"/>
        <v>1481900</v>
      </c>
      <c r="J409" s="16"/>
      <c r="K409" s="15">
        <v>200000</v>
      </c>
      <c r="L409" s="15">
        <f t="shared" si="36"/>
        <v>4060</v>
      </c>
      <c r="M409" s="16"/>
      <c r="N409" s="16"/>
      <c r="O409" s="15">
        <f t="shared" si="37"/>
        <v>50750</v>
      </c>
      <c r="P409" s="15">
        <f t="shared" si="38"/>
        <v>254810</v>
      </c>
      <c r="Q409" s="15">
        <f t="shared" si="39"/>
        <v>1227090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208</v>
      </c>
      <c r="E410" s="15">
        <v>6500</v>
      </c>
      <c r="F410" s="15">
        <v>500</v>
      </c>
      <c r="G410" s="15">
        <v>400</v>
      </c>
      <c r="H410" s="15">
        <f t="shared" si="40"/>
        <v>7400</v>
      </c>
      <c r="I410" s="15">
        <f t="shared" si="41"/>
        <v>1539200</v>
      </c>
      <c r="J410" s="16"/>
      <c r="K410" s="15">
        <v>1000000</v>
      </c>
      <c r="L410" s="15">
        <f t="shared" si="36"/>
        <v>4160</v>
      </c>
      <c r="M410" s="16"/>
      <c r="N410" s="16"/>
      <c r="O410" s="15">
        <f t="shared" si="37"/>
        <v>52000</v>
      </c>
      <c r="P410" s="15">
        <f t="shared" si="38"/>
        <v>1056160</v>
      </c>
      <c r="Q410" s="15">
        <f t="shared" si="39"/>
        <v>483040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6500</v>
      </c>
      <c r="F411" s="15">
        <v>300</v>
      </c>
      <c r="G411" s="15">
        <v>400</v>
      </c>
      <c r="H411" s="15">
        <f t="shared" si="40"/>
        <v>7200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6500</v>
      </c>
      <c r="F412" s="15">
        <v>300</v>
      </c>
      <c r="G412" s="15">
        <v>400</v>
      </c>
      <c r="H412" s="15">
        <f t="shared" si="40"/>
        <v>7200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6500</v>
      </c>
      <c r="F413" s="15">
        <v>300</v>
      </c>
      <c r="G413" s="15">
        <v>400</v>
      </c>
      <c r="H413" s="15">
        <f t="shared" si="40"/>
        <v>7200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6500</v>
      </c>
      <c r="F414" s="15">
        <v>400</v>
      </c>
      <c r="G414" s="15">
        <v>400</v>
      </c>
      <c r="H414" s="15">
        <f t="shared" si="40"/>
        <v>7300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6500</v>
      </c>
      <c r="F415" s="15">
        <v>300</v>
      </c>
      <c r="G415" s="15">
        <v>400</v>
      </c>
      <c r="H415" s="15">
        <f t="shared" si="40"/>
        <v>7200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6500</v>
      </c>
      <c r="F416" s="15">
        <v>400</v>
      </c>
      <c r="G416" s="15">
        <v>400</v>
      </c>
      <c r="H416" s="15">
        <f t="shared" si="40"/>
        <v>7300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6500</v>
      </c>
      <c r="F417" s="15">
        <v>300</v>
      </c>
      <c r="G417" s="15">
        <v>400</v>
      </c>
      <c r="H417" s="15">
        <f t="shared" si="40"/>
        <v>7200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6500</v>
      </c>
      <c r="F418" s="15">
        <v>300</v>
      </c>
      <c r="G418" s="15">
        <v>400</v>
      </c>
      <c r="H418" s="15">
        <f t="shared" si="40"/>
        <v>7200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410</v>
      </c>
      <c r="E419" s="15">
        <v>6500</v>
      </c>
      <c r="F419" s="15">
        <v>400</v>
      </c>
      <c r="G419" s="15">
        <v>400</v>
      </c>
      <c r="H419" s="15">
        <f t="shared" si="40"/>
        <v>7300</v>
      </c>
      <c r="I419" s="15">
        <f t="shared" si="41"/>
        <v>2993000</v>
      </c>
      <c r="J419" s="20"/>
      <c r="K419" s="20"/>
      <c r="L419" s="15">
        <f t="shared" si="36"/>
        <v>8200</v>
      </c>
      <c r="M419" s="16"/>
      <c r="N419" s="16"/>
      <c r="O419" s="15">
        <f t="shared" si="37"/>
        <v>102500</v>
      </c>
      <c r="P419" s="15">
        <f t="shared" si="38"/>
        <v>110700</v>
      </c>
      <c r="Q419" s="15">
        <f t="shared" si="39"/>
        <v>2882300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6500</v>
      </c>
      <c r="F420" s="15">
        <v>300</v>
      </c>
      <c r="G420" s="15">
        <v>400</v>
      </c>
      <c r="H420" s="15">
        <f t="shared" si="40"/>
        <v>7200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194</v>
      </c>
      <c r="E421" s="15">
        <v>6500</v>
      </c>
      <c r="F421" s="15">
        <v>500</v>
      </c>
      <c r="G421" s="15">
        <v>400</v>
      </c>
      <c r="H421" s="15">
        <f t="shared" si="40"/>
        <v>7400</v>
      </c>
      <c r="I421" s="15">
        <f t="shared" si="41"/>
        <v>1435600</v>
      </c>
      <c r="J421" s="16"/>
      <c r="K421" s="15"/>
      <c r="L421" s="15">
        <f t="shared" si="36"/>
        <v>3880</v>
      </c>
      <c r="M421" s="16"/>
      <c r="N421" s="16"/>
      <c r="O421" s="15">
        <f t="shared" si="37"/>
        <v>48500</v>
      </c>
      <c r="P421" s="15">
        <f t="shared" si="38"/>
        <v>52380</v>
      </c>
      <c r="Q421" s="15">
        <f t="shared" si="39"/>
        <v>1383220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6500</v>
      </c>
      <c r="F422" s="15">
        <v>400</v>
      </c>
      <c r="G422" s="15">
        <v>400</v>
      </c>
      <c r="H422" s="15">
        <f t="shared" si="40"/>
        <v>7300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6500</v>
      </c>
      <c r="F423" s="15">
        <v>300</v>
      </c>
      <c r="G423" s="15">
        <v>400</v>
      </c>
      <c r="H423" s="15">
        <f t="shared" si="40"/>
        <v>7200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6500</v>
      </c>
      <c r="F424" s="15">
        <v>400</v>
      </c>
      <c r="G424" s="15">
        <v>400</v>
      </c>
      <c r="H424" s="15">
        <f t="shared" si="40"/>
        <v>7300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388</v>
      </c>
      <c r="E425" s="15">
        <v>6500</v>
      </c>
      <c r="F425" s="15">
        <v>400</v>
      </c>
      <c r="G425" s="15">
        <v>400</v>
      </c>
      <c r="H425" s="15">
        <f t="shared" si="40"/>
        <v>7300</v>
      </c>
      <c r="I425" s="15">
        <f t="shared" si="41"/>
        <v>2832400</v>
      </c>
      <c r="J425" s="16"/>
      <c r="K425" s="15"/>
      <c r="L425" s="15">
        <f t="shared" si="36"/>
        <v>7760</v>
      </c>
      <c r="M425" s="16"/>
      <c r="N425" s="16"/>
      <c r="O425" s="15">
        <f t="shared" si="37"/>
        <v>97000</v>
      </c>
      <c r="P425" s="15">
        <f t="shared" si="38"/>
        <v>104760</v>
      </c>
      <c r="Q425" s="15">
        <f t="shared" si="39"/>
        <v>2727640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6500</v>
      </c>
      <c r="F426" s="15">
        <v>300</v>
      </c>
      <c r="G426" s="15">
        <v>400</v>
      </c>
      <c r="H426" s="15">
        <f t="shared" si="40"/>
        <v>7200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361</v>
      </c>
      <c r="E427" s="15">
        <v>6500</v>
      </c>
      <c r="F427" s="15">
        <v>400</v>
      </c>
      <c r="G427" s="15">
        <v>400</v>
      </c>
      <c r="H427" s="15">
        <f t="shared" si="40"/>
        <v>7300</v>
      </c>
      <c r="I427" s="15">
        <f t="shared" si="41"/>
        <v>2635300</v>
      </c>
      <c r="J427" s="16"/>
      <c r="K427" s="15"/>
      <c r="L427" s="15">
        <f t="shared" si="36"/>
        <v>7220</v>
      </c>
      <c r="M427" s="16"/>
      <c r="N427" s="16"/>
      <c r="O427" s="15">
        <f t="shared" si="37"/>
        <v>90250</v>
      </c>
      <c r="P427" s="15">
        <f t="shared" si="38"/>
        <v>97470</v>
      </c>
      <c r="Q427" s="15">
        <f t="shared" si="39"/>
        <v>2537830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6500</v>
      </c>
      <c r="F428" s="15">
        <v>300</v>
      </c>
      <c r="G428" s="15">
        <v>400</v>
      </c>
      <c r="H428" s="15">
        <f t="shared" si="40"/>
        <v>7200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6500</v>
      </c>
      <c r="F429" s="15">
        <v>400</v>
      </c>
      <c r="G429" s="15">
        <v>400</v>
      </c>
      <c r="H429" s="15">
        <f t="shared" si="40"/>
        <v>7300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6500</v>
      </c>
      <c r="F430" s="15">
        <v>300</v>
      </c>
      <c r="G430" s="15">
        <v>400</v>
      </c>
      <c r="H430" s="15">
        <f t="shared" si="40"/>
        <v>7200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6500</v>
      </c>
      <c r="F431" s="15">
        <v>300</v>
      </c>
      <c r="G431" s="15">
        <v>400</v>
      </c>
      <c r="H431" s="15">
        <f t="shared" si="40"/>
        <v>7200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6500</v>
      </c>
      <c r="F432" s="15">
        <v>400</v>
      </c>
      <c r="G432" s="15">
        <v>400</v>
      </c>
      <c r="H432" s="15">
        <f t="shared" si="40"/>
        <v>7300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6500</v>
      </c>
      <c r="F433" s="15">
        <v>300</v>
      </c>
      <c r="G433" s="15">
        <v>400</v>
      </c>
      <c r="H433" s="15">
        <f t="shared" si="40"/>
        <v>7200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201</v>
      </c>
      <c r="E434" s="15">
        <v>6500</v>
      </c>
      <c r="F434" s="15">
        <v>200</v>
      </c>
      <c r="G434" s="15">
        <v>400</v>
      </c>
      <c r="H434" s="15">
        <f t="shared" si="40"/>
        <v>7100</v>
      </c>
      <c r="I434" s="15">
        <f t="shared" si="41"/>
        <v>1427100</v>
      </c>
      <c r="J434" s="16"/>
      <c r="K434" s="15">
        <v>400000</v>
      </c>
      <c r="L434" s="15">
        <f t="shared" si="36"/>
        <v>4020</v>
      </c>
      <c r="M434" s="16"/>
      <c r="N434" s="16"/>
      <c r="O434" s="15">
        <f t="shared" si="37"/>
        <v>50250</v>
      </c>
      <c r="P434" s="15">
        <f t="shared" si="38"/>
        <v>454270</v>
      </c>
      <c r="Q434" s="15">
        <f t="shared" si="39"/>
        <v>972830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6500</v>
      </c>
      <c r="F435" s="15">
        <v>300</v>
      </c>
      <c r="G435" s="15">
        <v>400</v>
      </c>
      <c r="H435" s="15">
        <f t="shared" si="40"/>
        <v>7200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6500</v>
      </c>
      <c r="F436" s="15">
        <v>300</v>
      </c>
      <c r="G436" s="15">
        <v>400</v>
      </c>
      <c r="H436" s="15">
        <f t="shared" si="40"/>
        <v>7200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410</v>
      </c>
      <c r="E437" s="15">
        <v>6500</v>
      </c>
      <c r="F437" s="15">
        <v>200</v>
      </c>
      <c r="G437" s="15">
        <v>400</v>
      </c>
      <c r="H437" s="15">
        <f t="shared" si="40"/>
        <v>7100</v>
      </c>
      <c r="I437" s="15">
        <f t="shared" si="41"/>
        <v>2911000</v>
      </c>
      <c r="J437" s="16"/>
      <c r="K437" s="15">
        <v>100000</v>
      </c>
      <c r="L437" s="15">
        <f t="shared" si="36"/>
        <v>8200</v>
      </c>
      <c r="M437" s="16"/>
      <c r="N437" s="16"/>
      <c r="O437" s="15">
        <f t="shared" si="37"/>
        <v>102500</v>
      </c>
      <c r="P437" s="15">
        <f t="shared" si="38"/>
        <v>210700</v>
      </c>
      <c r="Q437" s="15">
        <f t="shared" si="39"/>
        <v>2700300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6500</v>
      </c>
      <c r="F438" s="15">
        <v>300</v>
      </c>
      <c r="G438" s="15">
        <v>400</v>
      </c>
      <c r="H438" s="15">
        <f t="shared" si="40"/>
        <v>7200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6500</v>
      </c>
      <c r="F439" s="15">
        <v>500</v>
      </c>
      <c r="G439" s="15">
        <v>400</v>
      </c>
      <c r="H439" s="15">
        <f t="shared" si="40"/>
        <v>7400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6500</v>
      </c>
      <c r="F440" s="15">
        <v>400</v>
      </c>
      <c r="G440" s="15">
        <v>400</v>
      </c>
      <c r="H440" s="15">
        <f t="shared" si="40"/>
        <v>7300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6500</v>
      </c>
      <c r="F441" s="15">
        <v>400</v>
      </c>
      <c r="G441" s="15">
        <v>400</v>
      </c>
      <c r="H441" s="15">
        <f t="shared" si="40"/>
        <v>7300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6500</v>
      </c>
      <c r="F442" s="15">
        <v>400</v>
      </c>
      <c r="G442" s="15">
        <v>400</v>
      </c>
      <c r="H442" s="15">
        <f t="shared" si="40"/>
        <v>7300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6500</v>
      </c>
      <c r="F443" s="15">
        <v>300</v>
      </c>
      <c r="G443" s="15">
        <v>400</v>
      </c>
      <c r="H443" s="15">
        <f t="shared" si="40"/>
        <v>7200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180</v>
      </c>
      <c r="E444" s="15">
        <v>6500</v>
      </c>
      <c r="F444" s="15">
        <v>600</v>
      </c>
      <c r="G444" s="15">
        <v>400</v>
      </c>
      <c r="H444" s="15">
        <f t="shared" si="40"/>
        <v>7500</v>
      </c>
      <c r="I444" s="15">
        <f t="shared" si="41"/>
        <v>1350000</v>
      </c>
      <c r="J444" s="16">
        <v>200000</v>
      </c>
      <c r="K444" s="15">
        <v>400000</v>
      </c>
      <c r="L444" s="15">
        <f t="shared" si="36"/>
        <v>3600</v>
      </c>
      <c r="M444" s="16"/>
      <c r="N444" s="16"/>
      <c r="O444" s="15">
        <f t="shared" si="37"/>
        <v>45000</v>
      </c>
      <c r="P444" s="15">
        <f t="shared" si="38"/>
        <v>648600</v>
      </c>
      <c r="Q444" s="15">
        <f t="shared" si="39"/>
        <v>701400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6500</v>
      </c>
      <c r="F445" s="15">
        <v>400</v>
      </c>
      <c r="G445" s="15">
        <v>400</v>
      </c>
      <c r="H445" s="15">
        <f t="shared" si="40"/>
        <v>7300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6500</v>
      </c>
      <c r="F446" s="15">
        <v>400</v>
      </c>
      <c r="G446" s="15">
        <v>400</v>
      </c>
      <c r="H446" s="15">
        <f t="shared" si="40"/>
        <v>7300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102</v>
      </c>
      <c r="E447" s="15">
        <v>6500</v>
      </c>
      <c r="F447" s="15">
        <v>500</v>
      </c>
      <c r="G447" s="15">
        <v>400</v>
      </c>
      <c r="H447" s="15">
        <f t="shared" si="40"/>
        <v>7400</v>
      </c>
      <c r="I447" s="15">
        <f t="shared" si="41"/>
        <v>754800</v>
      </c>
      <c r="J447" s="16"/>
      <c r="K447" s="15"/>
      <c r="L447" s="15">
        <f t="shared" si="36"/>
        <v>2040</v>
      </c>
      <c r="M447" s="16"/>
      <c r="N447" s="16"/>
      <c r="O447" s="15">
        <f t="shared" si="37"/>
        <v>25500</v>
      </c>
      <c r="P447" s="15">
        <f t="shared" si="38"/>
        <v>27540</v>
      </c>
      <c r="Q447" s="15">
        <f t="shared" si="39"/>
        <v>727260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6500</v>
      </c>
      <c r="F448" s="15">
        <v>300</v>
      </c>
      <c r="G448" s="15">
        <v>400</v>
      </c>
      <c r="H448" s="15">
        <f t="shared" si="40"/>
        <v>7200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314</v>
      </c>
      <c r="E449" s="15">
        <v>6500</v>
      </c>
      <c r="F449" s="15">
        <v>600</v>
      </c>
      <c r="G449" s="15">
        <v>400</v>
      </c>
      <c r="H449" s="15">
        <f t="shared" si="40"/>
        <v>7500</v>
      </c>
      <c r="I449" s="15">
        <f t="shared" si="41"/>
        <v>2355000</v>
      </c>
      <c r="J449" s="16"/>
      <c r="K449" s="15">
        <v>200000</v>
      </c>
      <c r="L449" s="15">
        <f t="shared" si="36"/>
        <v>6280</v>
      </c>
      <c r="M449" s="16"/>
      <c r="N449" s="16"/>
      <c r="O449" s="15">
        <f t="shared" si="37"/>
        <v>78500</v>
      </c>
      <c r="P449" s="15">
        <f t="shared" si="38"/>
        <v>284780</v>
      </c>
      <c r="Q449" s="15">
        <f t="shared" si="39"/>
        <v>2070220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6500</v>
      </c>
      <c r="F450" s="15">
        <v>300</v>
      </c>
      <c r="G450" s="15">
        <v>400</v>
      </c>
      <c r="H450" s="15">
        <f t="shared" si="40"/>
        <v>7200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148</v>
      </c>
      <c r="E451" s="15">
        <v>6500</v>
      </c>
      <c r="F451" s="15">
        <v>500</v>
      </c>
      <c r="G451" s="15">
        <v>400</v>
      </c>
      <c r="H451" s="15">
        <f t="shared" si="40"/>
        <v>7400</v>
      </c>
      <c r="I451" s="15">
        <f t="shared" si="41"/>
        <v>1095200</v>
      </c>
      <c r="J451" s="16"/>
      <c r="K451" s="15">
        <v>400000</v>
      </c>
      <c r="L451" s="15">
        <f t="shared" si="36"/>
        <v>2960</v>
      </c>
      <c r="M451" s="16"/>
      <c r="N451" s="16"/>
      <c r="O451" s="15">
        <f t="shared" si="37"/>
        <v>37000</v>
      </c>
      <c r="P451" s="15">
        <f t="shared" si="38"/>
        <v>439960</v>
      </c>
      <c r="Q451" s="15">
        <f t="shared" si="39"/>
        <v>655240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>
        <v>64</v>
      </c>
      <c r="E452" s="15">
        <v>6500</v>
      </c>
      <c r="F452" s="15">
        <v>300</v>
      </c>
      <c r="G452" s="15">
        <v>400</v>
      </c>
      <c r="H452" s="15">
        <f t="shared" si="40"/>
        <v>7200</v>
      </c>
      <c r="I452" s="15">
        <f t="shared" si="41"/>
        <v>460800</v>
      </c>
      <c r="J452" s="16"/>
      <c r="K452" s="15"/>
      <c r="L452" s="15">
        <f t="shared" si="36"/>
        <v>1280</v>
      </c>
      <c r="M452" s="16"/>
      <c r="N452" s="16"/>
      <c r="O452" s="15">
        <f t="shared" si="37"/>
        <v>16000</v>
      </c>
      <c r="P452" s="15">
        <f t="shared" si="38"/>
        <v>17280</v>
      </c>
      <c r="Q452" s="15">
        <f t="shared" si="39"/>
        <v>443520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6500</v>
      </c>
      <c r="F453" s="15">
        <v>300</v>
      </c>
      <c r="G453" s="15">
        <v>400</v>
      </c>
      <c r="H453" s="15">
        <f t="shared" si="40"/>
        <v>7200</v>
      </c>
      <c r="I453" s="15">
        <f t="shared" si="41"/>
        <v>0</v>
      </c>
      <c r="J453" s="16"/>
      <c r="K453" s="15"/>
      <c r="L453" s="15">
        <f t="shared" ref="L453:L478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177</v>
      </c>
      <c r="E454" s="15">
        <v>6500</v>
      </c>
      <c r="F454" s="15">
        <v>400</v>
      </c>
      <c r="G454" s="15">
        <v>400</v>
      </c>
      <c r="H454" s="15">
        <f t="shared" ref="H454:H473" si="46">SUM(E454:G454)</f>
        <v>7300</v>
      </c>
      <c r="I454" s="15">
        <f t="shared" ref="I454:I478" si="47">H454*D454</f>
        <v>1292100</v>
      </c>
      <c r="J454" s="16"/>
      <c r="K454" s="15"/>
      <c r="L454" s="15">
        <f t="shared" si="42"/>
        <v>3540</v>
      </c>
      <c r="M454" s="16"/>
      <c r="N454" s="16"/>
      <c r="O454" s="15">
        <f t="shared" si="43"/>
        <v>44250</v>
      </c>
      <c r="P454" s="15">
        <f t="shared" si="44"/>
        <v>47790</v>
      </c>
      <c r="Q454" s="15">
        <f t="shared" si="45"/>
        <v>1244310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6500</v>
      </c>
      <c r="F455" s="15">
        <v>400</v>
      </c>
      <c r="G455" s="15">
        <v>400</v>
      </c>
      <c r="H455" s="15">
        <f t="shared" si="46"/>
        <v>7300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6500</v>
      </c>
      <c r="F456" s="15">
        <v>300</v>
      </c>
      <c r="G456" s="15">
        <v>400</v>
      </c>
      <c r="H456" s="15">
        <f t="shared" si="46"/>
        <v>7200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83</v>
      </c>
      <c r="E457" s="15">
        <v>6500</v>
      </c>
      <c r="F457" s="15">
        <v>500</v>
      </c>
      <c r="G457" s="15">
        <v>400</v>
      </c>
      <c r="H457" s="15">
        <f t="shared" si="46"/>
        <v>7400</v>
      </c>
      <c r="I457" s="15">
        <f t="shared" si="47"/>
        <v>614200</v>
      </c>
      <c r="J457" s="16"/>
      <c r="K457" s="15"/>
      <c r="L457" s="15">
        <f t="shared" si="42"/>
        <v>1660</v>
      </c>
      <c r="M457" s="16"/>
      <c r="N457" s="16"/>
      <c r="O457" s="15">
        <f t="shared" si="43"/>
        <v>20750</v>
      </c>
      <c r="P457" s="15">
        <f t="shared" si="44"/>
        <v>22410</v>
      </c>
      <c r="Q457" s="15">
        <f t="shared" si="45"/>
        <v>591790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6500</v>
      </c>
      <c r="F458" s="15">
        <v>300</v>
      </c>
      <c r="G458" s="15">
        <v>400</v>
      </c>
      <c r="H458" s="15">
        <f t="shared" si="46"/>
        <v>7200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90</v>
      </c>
      <c r="E459" s="15">
        <v>6500</v>
      </c>
      <c r="F459" s="15">
        <v>600</v>
      </c>
      <c r="G459" s="15">
        <v>400</v>
      </c>
      <c r="H459" s="15">
        <f t="shared" si="46"/>
        <v>7500</v>
      </c>
      <c r="I459" s="15">
        <f t="shared" si="47"/>
        <v>675000</v>
      </c>
      <c r="J459" s="16"/>
      <c r="K459" s="15">
        <v>200000</v>
      </c>
      <c r="L459" s="15">
        <f t="shared" si="42"/>
        <v>1800</v>
      </c>
      <c r="M459" s="16"/>
      <c r="N459" s="16"/>
      <c r="O459" s="15">
        <f t="shared" si="43"/>
        <v>22500</v>
      </c>
      <c r="P459" s="15">
        <f t="shared" si="44"/>
        <v>224300</v>
      </c>
      <c r="Q459" s="15">
        <f t="shared" si="45"/>
        <v>450700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350</v>
      </c>
      <c r="E460" s="15">
        <v>6500</v>
      </c>
      <c r="F460" s="15">
        <v>600</v>
      </c>
      <c r="G460" s="15">
        <v>400</v>
      </c>
      <c r="H460" s="15">
        <f t="shared" si="46"/>
        <v>7500</v>
      </c>
      <c r="I460" s="15">
        <f t="shared" si="47"/>
        <v>2625000</v>
      </c>
      <c r="J460" s="16"/>
      <c r="K460" s="15"/>
      <c r="L460" s="15">
        <f t="shared" si="42"/>
        <v>7000</v>
      </c>
      <c r="M460" s="16"/>
      <c r="N460" s="16"/>
      <c r="O460" s="15">
        <f t="shared" si="43"/>
        <v>87500</v>
      </c>
      <c r="P460" s="15">
        <f t="shared" si="44"/>
        <v>94500</v>
      </c>
      <c r="Q460" s="15">
        <f t="shared" si="45"/>
        <v>2530500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118</v>
      </c>
      <c r="E461" s="15">
        <v>6500</v>
      </c>
      <c r="F461" s="15">
        <v>400</v>
      </c>
      <c r="G461" s="15">
        <v>400</v>
      </c>
      <c r="H461" s="15">
        <f t="shared" si="46"/>
        <v>7300</v>
      </c>
      <c r="I461" s="15">
        <f t="shared" si="47"/>
        <v>861400</v>
      </c>
      <c r="J461" s="16"/>
      <c r="K461" s="15">
        <v>200000</v>
      </c>
      <c r="L461" s="15">
        <f t="shared" si="42"/>
        <v>2360</v>
      </c>
      <c r="M461" s="16"/>
      <c r="N461" s="16"/>
      <c r="O461" s="15">
        <f t="shared" si="43"/>
        <v>29500</v>
      </c>
      <c r="P461" s="15">
        <f t="shared" si="44"/>
        <v>231860</v>
      </c>
      <c r="Q461" s="15">
        <f t="shared" si="45"/>
        <v>629540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199</v>
      </c>
      <c r="E462" s="15">
        <v>6500</v>
      </c>
      <c r="F462" s="15">
        <v>200</v>
      </c>
      <c r="G462" s="15">
        <v>400</v>
      </c>
      <c r="H462" s="15">
        <f t="shared" si="46"/>
        <v>7100</v>
      </c>
      <c r="I462" s="15">
        <f t="shared" si="47"/>
        <v>1412900</v>
      </c>
      <c r="J462" s="16"/>
      <c r="K462" s="15">
        <v>400000</v>
      </c>
      <c r="L462" s="15">
        <f t="shared" si="42"/>
        <v>3980</v>
      </c>
      <c r="M462" s="16"/>
      <c r="N462" s="16"/>
      <c r="O462" s="15">
        <f t="shared" si="43"/>
        <v>49750</v>
      </c>
      <c r="P462" s="15">
        <f t="shared" si="44"/>
        <v>453730</v>
      </c>
      <c r="Q462" s="15">
        <f t="shared" si="45"/>
        <v>959170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124</v>
      </c>
      <c r="E463" s="15">
        <v>6500</v>
      </c>
      <c r="F463" s="15">
        <v>500</v>
      </c>
      <c r="G463" s="15">
        <v>400</v>
      </c>
      <c r="H463" s="15">
        <f t="shared" si="46"/>
        <v>7400</v>
      </c>
      <c r="I463" s="15">
        <f t="shared" si="47"/>
        <v>917600</v>
      </c>
      <c r="J463" s="16"/>
      <c r="K463" s="15">
        <v>200000</v>
      </c>
      <c r="L463" s="15">
        <f t="shared" si="42"/>
        <v>2480</v>
      </c>
      <c r="M463" s="16"/>
      <c r="N463" s="16"/>
      <c r="O463" s="15">
        <f t="shared" si="43"/>
        <v>31000</v>
      </c>
      <c r="P463" s="15">
        <f t="shared" si="44"/>
        <v>233480</v>
      </c>
      <c r="Q463" s="15">
        <f t="shared" si="45"/>
        <v>684120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73</v>
      </c>
      <c r="E464" s="15">
        <v>6500</v>
      </c>
      <c r="F464" s="15">
        <v>200</v>
      </c>
      <c r="G464" s="15">
        <v>400</v>
      </c>
      <c r="H464" s="15">
        <f t="shared" si="46"/>
        <v>7100</v>
      </c>
      <c r="I464" s="15">
        <f t="shared" si="47"/>
        <v>518300</v>
      </c>
      <c r="J464" s="16"/>
      <c r="K464" s="15"/>
      <c r="L464" s="15">
        <f t="shared" si="42"/>
        <v>1460</v>
      </c>
      <c r="M464" s="16"/>
      <c r="N464" s="16"/>
      <c r="O464" s="15">
        <f t="shared" si="43"/>
        <v>18250</v>
      </c>
      <c r="P464" s="15">
        <f t="shared" si="44"/>
        <v>19710</v>
      </c>
      <c r="Q464" s="15">
        <f t="shared" si="45"/>
        <v>498590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286</v>
      </c>
      <c r="E465" s="15">
        <v>6500</v>
      </c>
      <c r="F465" s="15">
        <v>400</v>
      </c>
      <c r="G465" s="15">
        <v>400</v>
      </c>
      <c r="H465" s="15">
        <f t="shared" si="46"/>
        <v>7300</v>
      </c>
      <c r="I465" s="15">
        <f t="shared" si="47"/>
        <v>2087800</v>
      </c>
      <c r="J465" s="16"/>
      <c r="K465" s="15">
        <v>200000</v>
      </c>
      <c r="L465" s="15">
        <f t="shared" si="42"/>
        <v>5720</v>
      </c>
      <c r="M465" s="16"/>
      <c r="N465" s="16"/>
      <c r="O465" s="15">
        <f t="shared" si="43"/>
        <v>71500</v>
      </c>
      <c r="P465" s="15">
        <f t="shared" si="44"/>
        <v>277220</v>
      </c>
      <c r="Q465" s="15">
        <f t="shared" si="45"/>
        <v>1810580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166</v>
      </c>
      <c r="E466" s="15">
        <v>6500</v>
      </c>
      <c r="F466" s="15">
        <v>500</v>
      </c>
      <c r="G466" s="15">
        <v>400</v>
      </c>
      <c r="H466" s="15">
        <f t="shared" si="46"/>
        <v>7400</v>
      </c>
      <c r="I466" s="15">
        <f t="shared" si="47"/>
        <v>1228400</v>
      </c>
      <c r="J466" s="16"/>
      <c r="K466" s="15"/>
      <c r="L466" s="15">
        <f t="shared" si="42"/>
        <v>3320</v>
      </c>
      <c r="M466" s="16"/>
      <c r="N466" s="16"/>
      <c r="O466" s="15">
        <f t="shared" si="43"/>
        <v>41500</v>
      </c>
      <c r="P466" s="15">
        <f t="shared" si="44"/>
        <v>44820</v>
      </c>
      <c r="Q466" s="15">
        <f t="shared" si="45"/>
        <v>1183580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6500</v>
      </c>
      <c r="F467" s="15">
        <v>400</v>
      </c>
      <c r="G467" s="15">
        <v>400</v>
      </c>
      <c r="H467" s="15">
        <f t="shared" si="46"/>
        <v>7300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452</v>
      </c>
      <c r="C468" s="13" t="s">
        <v>30</v>
      </c>
      <c r="D468" s="20"/>
      <c r="E468" s="15">
        <v>6500</v>
      </c>
      <c r="F468" s="15">
        <v>400</v>
      </c>
      <c r="G468" s="15">
        <v>400</v>
      </c>
      <c r="H468" s="15">
        <f t="shared" si="46"/>
        <v>7300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6500</v>
      </c>
      <c r="F469" s="15">
        <v>400</v>
      </c>
      <c r="G469" s="15">
        <v>400</v>
      </c>
      <c r="H469" s="15">
        <f t="shared" si="46"/>
        <v>7300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6500</v>
      </c>
      <c r="F470" s="15">
        <v>500</v>
      </c>
      <c r="G470" s="15">
        <v>400</v>
      </c>
      <c r="H470" s="15">
        <f t="shared" si="46"/>
        <v>7400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/>
      <c r="E471" s="15">
        <v>6500</v>
      </c>
      <c r="F471" s="15">
        <v>300</v>
      </c>
      <c r="G471" s="15">
        <v>400</v>
      </c>
      <c r="H471" s="15">
        <f t="shared" si="46"/>
        <v>7200</v>
      </c>
      <c r="I471" s="15">
        <f t="shared" si="47"/>
        <v>0</v>
      </c>
      <c r="J471" s="16"/>
      <c r="K471" s="15"/>
      <c r="L471" s="15">
        <f t="shared" si="42"/>
        <v>0</v>
      </c>
      <c r="M471" s="16"/>
      <c r="N471" s="16"/>
      <c r="O471" s="15">
        <f t="shared" si="43"/>
        <v>0</v>
      </c>
      <c r="P471" s="15">
        <f t="shared" si="44"/>
        <v>0</v>
      </c>
      <c r="Q471" s="15">
        <f t="shared" si="45"/>
        <v>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6500</v>
      </c>
      <c r="F472" s="15">
        <v>400</v>
      </c>
      <c r="G472" s="15">
        <v>400</v>
      </c>
      <c r="H472" s="15">
        <f t="shared" si="46"/>
        <v>7300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6500</v>
      </c>
      <c r="F473" s="15">
        <v>400</v>
      </c>
      <c r="G473" s="15">
        <v>400</v>
      </c>
      <c r="H473" s="15">
        <f t="shared" si="46"/>
        <v>7300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86</v>
      </c>
      <c r="E474" s="15">
        <v>6500</v>
      </c>
      <c r="F474" s="15">
        <v>500</v>
      </c>
      <c r="G474" s="15">
        <v>400</v>
      </c>
      <c r="H474" s="15">
        <f t="shared" ref="H474" si="48">SUM(E474:G474)</f>
        <v>7400</v>
      </c>
      <c r="I474" s="15">
        <f t="shared" si="47"/>
        <v>636400</v>
      </c>
      <c r="J474" s="16"/>
      <c r="K474" s="15"/>
      <c r="L474" s="15">
        <f t="shared" si="42"/>
        <v>1720</v>
      </c>
      <c r="M474" s="16"/>
      <c r="N474" s="16"/>
      <c r="O474" s="15">
        <f>250*D474</f>
        <v>21500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1064</v>
      </c>
      <c r="E475" s="15">
        <v>6500</v>
      </c>
      <c r="F475" s="15">
        <v>600</v>
      </c>
      <c r="G475" s="15">
        <v>400</v>
      </c>
      <c r="H475" s="15">
        <f t="shared" ref="H475:H478" si="49">SUM(E475:G475)</f>
        <v>7500</v>
      </c>
      <c r="I475" s="15">
        <f t="shared" si="47"/>
        <v>7980000</v>
      </c>
      <c r="J475" s="16"/>
      <c r="K475" s="15"/>
      <c r="L475" s="15">
        <f t="shared" si="42"/>
        <v>21280</v>
      </c>
      <c r="M475" s="16"/>
      <c r="N475" s="16"/>
      <c r="O475" s="15">
        <f t="shared" ref="O475:O478" si="50">250*D475</f>
        <v>266000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>
        <v>42</v>
      </c>
      <c r="E476" s="15">
        <v>6500</v>
      </c>
      <c r="F476" s="15">
        <v>400</v>
      </c>
      <c r="G476" s="15">
        <v>400</v>
      </c>
      <c r="H476" s="15">
        <f t="shared" si="49"/>
        <v>7300</v>
      </c>
      <c r="I476" s="15">
        <f t="shared" si="47"/>
        <v>306600</v>
      </c>
      <c r="J476" s="16"/>
      <c r="K476" s="15"/>
      <c r="L476" s="15">
        <f t="shared" si="42"/>
        <v>840</v>
      </c>
      <c r="M476" s="16"/>
      <c r="N476" s="16"/>
      <c r="O476" s="15">
        <f t="shared" si="50"/>
        <v>10500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>
        <v>274</v>
      </c>
      <c r="E477" s="15">
        <v>6500</v>
      </c>
      <c r="F477" s="15">
        <v>400</v>
      </c>
      <c r="G477" s="15">
        <v>400</v>
      </c>
      <c r="H477" s="15">
        <f t="shared" si="49"/>
        <v>7300</v>
      </c>
      <c r="I477" s="15">
        <f t="shared" si="47"/>
        <v>2000200</v>
      </c>
      <c r="J477" s="16"/>
      <c r="K477" s="15"/>
      <c r="L477" s="15">
        <f t="shared" si="42"/>
        <v>5480</v>
      </c>
      <c r="M477" s="16"/>
      <c r="N477" s="16"/>
      <c r="O477" s="15">
        <f t="shared" si="50"/>
        <v>68500</v>
      </c>
      <c r="P477" s="15"/>
      <c r="Q477" s="15"/>
      <c r="R477" s="17"/>
    </row>
    <row r="478" spans="1:18" ht="16.5" x14ac:dyDescent="0.25">
      <c r="A478" s="12">
        <v>1671</v>
      </c>
      <c r="B478" s="13" t="s">
        <v>457</v>
      </c>
      <c r="C478" s="13" t="s">
        <v>30</v>
      </c>
      <c r="D478" s="20">
        <v>260</v>
      </c>
      <c r="E478" s="15">
        <v>6500</v>
      </c>
      <c r="F478" s="15">
        <v>600</v>
      </c>
      <c r="G478" s="15">
        <v>400</v>
      </c>
      <c r="H478" s="15">
        <f t="shared" si="49"/>
        <v>7500</v>
      </c>
      <c r="I478" s="15">
        <f t="shared" si="47"/>
        <v>1950000</v>
      </c>
      <c r="J478" s="16"/>
      <c r="K478" s="15"/>
      <c r="L478" s="15">
        <f t="shared" si="42"/>
        <v>5200</v>
      </c>
      <c r="M478" s="16"/>
      <c r="N478" s="16"/>
      <c r="O478" s="15">
        <f t="shared" si="50"/>
        <v>65000</v>
      </c>
      <c r="P478" s="15"/>
      <c r="Q478" s="15"/>
      <c r="R478" s="17"/>
    </row>
    <row r="479" spans="1:18" ht="16.5" x14ac:dyDescent="0.25">
      <c r="A479" s="12"/>
      <c r="B479" s="13"/>
      <c r="C479" s="13"/>
      <c r="D479" s="20"/>
      <c r="E479" s="15"/>
      <c r="F479" s="15"/>
      <c r="G479" s="15"/>
      <c r="H479" s="15"/>
      <c r="I479" s="15"/>
      <c r="J479" s="16"/>
      <c r="K479" s="15"/>
      <c r="L479" s="15"/>
      <c r="M479" s="16"/>
      <c r="N479" s="16"/>
      <c r="O479" s="15"/>
      <c r="P479" s="15"/>
      <c r="Q479" s="15"/>
      <c r="R479" s="17"/>
    </row>
    <row r="480" spans="1:18" ht="16.5" x14ac:dyDescent="0.25">
      <c r="A480" s="12"/>
      <c r="B480" s="13"/>
      <c r="C480" s="13"/>
      <c r="D480" s="20"/>
      <c r="E480" s="15"/>
      <c r="F480" s="15"/>
      <c r="G480" s="15"/>
      <c r="H480" s="15"/>
      <c r="I480" s="15"/>
      <c r="J480" s="16"/>
      <c r="K480" s="15"/>
      <c r="L480" s="15"/>
      <c r="M480" s="16"/>
      <c r="N480" s="16"/>
      <c r="O480" s="15"/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 t="shared" ref="D483:Q483" si="51">SUM(D4:D482)</f>
        <v>28714</v>
      </c>
      <c r="E483" s="20">
        <f t="shared" si="51"/>
        <v>3087500</v>
      </c>
      <c r="F483" s="20">
        <f t="shared" si="51"/>
        <v>178900</v>
      </c>
      <c r="G483" s="20">
        <f t="shared" si="51"/>
        <v>190000</v>
      </c>
      <c r="H483" s="20">
        <f t="shared" si="51"/>
        <v>3456400</v>
      </c>
      <c r="I483" s="20">
        <f t="shared" si="51"/>
        <v>212397500</v>
      </c>
      <c r="J483" s="20">
        <f t="shared" si="51"/>
        <v>600000</v>
      </c>
      <c r="K483" s="20">
        <f t="shared" si="51"/>
        <v>36176000</v>
      </c>
      <c r="L483" s="20">
        <f t="shared" si="51"/>
        <v>574280</v>
      </c>
      <c r="M483" s="20">
        <f t="shared" si="51"/>
        <v>0</v>
      </c>
      <c r="N483" s="20">
        <f t="shared" si="51"/>
        <v>0</v>
      </c>
      <c r="O483" s="20">
        <f t="shared" si="51"/>
        <v>7178500</v>
      </c>
      <c r="P483" s="20">
        <f t="shared" si="51"/>
        <v>44062760</v>
      </c>
      <c r="Q483" s="20">
        <f t="shared" si="51"/>
        <v>155461540</v>
      </c>
      <c r="R483" s="36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 t="str">
        <f>A1</f>
        <v>PEMBAYARAN SETORAN SUSU  PADA PETERNAK BAGIAN TANGGAL :  01 S / D 10 JUNI 2026</v>
      </c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>
        <v>0</v>
      </c>
      <c r="D498" s="40">
        <v>60</v>
      </c>
      <c r="E498" s="16">
        <v>7300</v>
      </c>
      <c r="F498" s="16"/>
      <c r="G498" s="16"/>
      <c r="H498" s="15">
        <f>SUM(E498:G498)</f>
        <v>7300</v>
      </c>
      <c r="I498" s="15">
        <f>D498*H498</f>
        <v>438000</v>
      </c>
      <c r="J498" s="20"/>
      <c r="K498" s="15"/>
      <c r="L498" s="15"/>
      <c r="M498" s="20"/>
      <c r="N498" s="20"/>
      <c r="O498" s="22"/>
      <c r="P498" s="15">
        <f>SUM(J498:O498)</f>
        <v>0</v>
      </c>
      <c r="Q498" s="15">
        <f>I498-P498</f>
        <v>438000</v>
      </c>
      <c r="R498" s="36"/>
    </row>
    <row r="499" spans="1:18" ht="16.5" x14ac:dyDescent="0.25">
      <c r="A499" s="12">
        <v>0</v>
      </c>
      <c r="B499" s="13" t="s">
        <v>25</v>
      </c>
      <c r="C499" s="13">
        <v>0</v>
      </c>
      <c r="D499" s="20">
        <v>165</v>
      </c>
      <c r="E499" s="16">
        <v>7300</v>
      </c>
      <c r="F499" s="16"/>
      <c r="G499" s="16"/>
      <c r="H499" s="15">
        <f t="shared" ref="H499:H506" si="52">SUM(E499:G499)</f>
        <v>7300</v>
      </c>
      <c r="I499" s="15">
        <f t="shared" ref="I499:I506" si="53">D499*H499</f>
        <v>1204500</v>
      </c>
      <c r="J499" s="20"/>
      <c r="K499" s="15"/>
      <c r="L499" s="15"/>
      <c r="M499" s="20"/>
      <c r="N499" s="20"/>
      <c r="O499" s="22"/>
      <c r="P499" s="15">
        <f t="shared" ref="P499:P506" si="54">SUM(J499:O499)</f>
        <v>0</v>
      </c>
      <c r="Q499" s="15">
        <f t="shared" ref="Q499:Q506" si="55">I499-P499</f>
        <v>1204500</v>
      </c>
      <c r="R499" s="36"/>
    </row>
    <row r="500" spans="1:18" ht="16.5" x14ac:dyDescent="0.25">
      <c r="A500" s="12">
        <v>0</v>
      </c>
      <c r="B500" s="13" t="s">
        <v>21</v>
      </c>
      <c r="C500" s="13">
        <v>0</v>
      </c>
      <c r="D500" s="20">
        <v>9</v>
      </c>
      <c r="E500" s="16">
        <v>7300</v>
      </c>
      <c r="F500" s="16"/>
      <c r="G500" s="16"/>
      <c r="H500" s="15">
        <f t="shared" si="52"/>
        <v>7300</v>
      </c>
      <c r="I500" s="15">
        <f t="shared" si="53"/>
        <v>65700</v>
      </c>
      <c r="J500" s="20"/>
      <c r="K500" s="15"/>
      <c r="L500" s="15"/>
      <c r="M500" s="20"/>
      <c r="N500" s="20"/>
      <c r="O500" s="22"/>
      <c r="P500" s="15">
        <f t="shared" si="54"/>
        <v>0</v>
      </c>
      <c r="Q500" s="15">
        <f t="shared" si="55"/>
        <v>65700</v>
      </c>
      <c r="R500" s="36"/>
    </row>
    <row r="501" spans="1:18" ht="16.5" x14ac:dyDescent="0.25">
      <c r="A501" s="12">
        <v>0</v>
      </c>
      <c r="B501" s="13" t="s">
        <v>47</v>
      </c>
      <c r="C501" s="13">
        <v>0</v>
      </c>
      <c r="D501" s="20">
        <v>70</v>
      </c>
      <c r="E501" s="16">
        <v>7300</v>
      </c>
      <c r="F501" s="16"/>
      <c r="G501" s="16"/>
      <c r="H501" s="15">
        <f t="shared" si="52"/>
        <v>7300</v>
      </c>
      <c r="I501" s="15">
        <f t="shared" si="53"/>
        <v>511000</v>
      </c>
      <c r="J501" s="20"/>
      <c r="K501" s="15"/>
      <c r="L501" s="15"/>
      <c r="M501" s="20"/>
      <c r="N501" s="20"/>
      <c r="O501" s="22"/>
      <c r="P501" s="15">
        <f t="shared" si="54"/>
        <v>0</v>
      </c>
      <c r="Q501" s="15">
        <f t="shared" si="55"/>
        <v>511000</v>
      </c>
      <c r="R501" s="36"/>
    </row>
    <row r="502" spans="1:18" ht="16.5" x14ac:dyDescent="0.25">
      <c r="A502" s="12">
        <v>0</v>
      </c>
      <c r="B502" s="13" t="s">
        <v>43</v>
      </c>
      <c r="C502" s="13">
        <v>0</v>
      </c>
      <c r="D502" s="20">
        <v>260</v>
      </c>
      <c r="E502" s="16">
        <v>7300</v>
      </c>
      <c r="F502" s="16"/>
      <c r="G502" s="16"/>
      <c r="H502" s="15">
        <f t="shared" si="52"/>
        <v>7300</v>
      </c>
      <c r="I502" s="15">
        <f t="shared" si="53"/>
        <v>1898000</v>
      </c>
      <c r="J502" s="20"/>
      <c r="K502" s="15"/>
      <c r="L502" s="15"/>
      <c r="M502" s="20"/>
      <c r="N502" s="20"/>
      <c r="O502" s="22"/>
      <c r="P502" s="15">
        <f t="shared" si="54"/>
        <v>0</v>
      </c>
      <c r="Q502" s="15">
        <f t="shared" si="55"/>
        <v>1898000</v>
      </c>
      <c r="R502" s="36"/>
    </row>
    <row r="503" spans="1:18" ht="16.5" x14ac:dyDescent="0.25">
      <c r="A503" s="12">
        <v>0</v>
      </c>
      <c r="B503" s="13" t="s">
        <v>30</v>
      </c>
      <c r="C503" s="13">
        <v>0</v>
      </c>
      <c r="D503" s="20">
        <v>210</v>
      </c>
      <c r="E503" s="16">
        <v>7300</v>
      </c>
      <c r="F503" s="16"/>
      <c r="G503" s="16"/>
      <c r="H503" s="15">
        <f t="shared" si="52"/>
        <v>7300</v>
      </c>
      <c r="I503" s="15">
        <f t="shared" si="53"/>
        <v>1533000</v>
      </c>
      <c r="J503" s="20"/>
      <c r="K503" s="15"/>
      <c r="L503" s="15"/>
      <c r="M503" s="20"/>
      <c r="N503" s="20"/>
      <c r="O503" s="22"/>
      <c r="P503" s="15">
        <f t="shared" si="54"/>
        <v>0</v>
      </c>
      <c r="Q503" s="15">
        <f t="shared" si="55"/>
        <v>1533000</v>
      </c>
      <c r="R503" s="36"/>
    </row>
    <row r="504" spans="1:18" ht="16.5" x14ac:dyDescent="0.25">
      <c r="A504" s="12">
        <v>0</v>
      </c>
      <c r="B504" s="13" t="s">
        <v>54</v>
      </c>
      <c r="C504" s="13">
        <v>0</v>
      </c>
      <c r="D504" s="20">
        <v>70</v>
      </c>
      <c r="E504" s="16">
        <v>7300</v>
      </c>
      <c r="F504" s="16"/>
      <c r="G504" s="16"/>
      <c r="H504" s="15">
        <f t="shared" si="52"/>
        <v>7300</v>
      </c>
      <c r="I504" s="15">
        <f t="shared" si="53"/>
        <v>511000</v>
      </c>
      <c r="J504" s="20"/>
      <c r="K504" s="15"/>
      <c r="L504" s="15"/>
      <c r="M504" s="20"/>
      <c r="N504" s="20"/>
      <c r="O504" s="22"/>
      <c r="P504" s="15">
        <f t="shared" si="54"/>
        <v>0</v>
      </c>
      <c r="Q504" s="15">
        <f t="shared" si="55"/>
        <v>511000</v>
      </c>
      <c r="R504" s="36"/>
    </row>
    <row r="505" spans="1:18" ht="16.5" x14ac:dyDescent="0.25">
      <c r="A505" s="12">
        <v>0</v>
      </c>
      <c r="B505" s="13" t="s">
        <v>392</v>
      </c>
      <c r="C505" s="13">
        <v>0</v>
      </c>
      <c r="D505" s="20">
        <v>20</v>
      </c>
      <c r="E505" s="16">
        <v>7300</v>
      </c>
      <c r="F505" s="16"/>
      <c r="G505" s="16"/>
      <c r="H505" s="15">
        <f t="shared" si="52"/>
        <v>7300</v>
      </c>
      <c r="I505" s="15">
        <f t="shared" si="53"/>
        <v>146000</v>
      </c>
      <c r="J505" s="20"/>
      <c r="K505" s="15"/>
      <c r="L505" s="15"/>
      <c r="M505" s="20"/>
      <c r="N505" s="20"/>
      <c r="O505" s="22"/>
      <c r="P505" s="15">
        <f t="shared" si="54"/>
        <v>0</v>
      </c>
      <c r="Q505" s="15">
        <f t="shared" si="55"/>
        <v>146000</v>
      </c>
      <c r="R505" s="36"/>
    </row>
    <row r="506" spans="1:18" ht="16.5" x14ac:dyDescent="0.25">
      <c r="A506" s="12">
        <v>0</v>
      </c>
      <c r="B506" s="41" t="s">
        <v>19</v>
      </c>
      <c r="C506" s="13">
        <v>0</v>
      </c>
      <c r="D506" s="20"/>
      <c r="E506" s="16">
        <v>7300</v>
      </c>
      <c r="F506" s="16"/>
      <c r="G506" s="16"/>
      <c r="H506" s="15">
        <f t="shared" si="52"/>
        <v>7300</v>
      </c>
      <c r="I506" s="15">
        <f t="shared" si="53"/>
        <v>0</v>
      </c>
      <c r="J506" s="20"/>
      <c r="K506" s="15"/>
      <c r="L506" s="15"/>
      <c r="M506" s="20"/>
      <c r="N506" s="20"/>
      <c r="O506" s="22"/>
      <c r="P506" s="15">
        <f t="shared" si="54"/>
        <v>0</v>
      </c>
      <c r="Q506" s="15">
        <f t="shared" si="55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 t="shared" ref="Q507" si="56">H507-P507</f>
        <v>0</v>
      </c>
      <c r="R507" s="36"/>
    </row>
    <row r="508" spans="1:18" ht="16.5" x14ac:dyDescent="0.25">
      <c r="A508" s="44"/>
      <c r="B508" s="70" t="s">
        <v>393</v>
      </c>
      <c r="C508" s="71"/>
      <c r="D508" s="22">
        <f>SUM(D498:D507)</f>
        <v>864</v>
      </c>
      <c r="E508" s="22">
        <f t="shared" ref="E508:Q508" si="57">SUM(E498:E507)</f>
        <v>65700</v>
      </c>
      <c r="F508" s="22">
        <f t="shared" si="57"/>
        <v>0</v>
      </c>
      <c r="G508" s="22">
        <f t="shared" si="57"/>
        <v>0</v>
      </c>
      <c r="H508" s="22">
        <f t="shared" si="57"/>
        <v>65700</v>
      </c>
      <c r="I508" s="22">
        <f t="shared" si="57"/>
        <v>6307200</v>
      </c>
      <c r="J508" s="22">
        <f t="shared" si="57"/>
        <v>0</v>
      </c>
      <c r="K508" s="22">
        <f t="shared" si="57"/>
        <v>0</v>
      </c>
      <c r="L508" s="22">
        <f t="shared" si="57"/>
        <v>0</v>
      </c>
      <c r="M508" s="22">
        <f t="shared" si="57"/>
        <v>0</v>
      </c>
      <c r="N508" s="22">
        <f t="shared" si="57"/>
        <v>0</v>
      </c>
      <c r="O508" s="22">
        <f t="shared" si="57"/>
        <v>0</v>
      </c>
      <c r="P508" s="22">
        <f t="shared" si="57"/>
        <v>0</v>
      </c>
      <c r="Q508" s="22">
        <f t="shared" si="57"/>
        <v>6307200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 t="str">
        <f>A496</f>
        <v>PEMBAYARAN SETORAN SUSU  PADA PETERNAK BAGIAN TANGGAL :  01 S / D 10 JUNI 2026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473</v>
      </c>
      <c r="E520" s="16">
        <v>7200</v>
      </c>
      <c r="F520" s="16"/>
      <c r="G520" s="16"/>
      <c r="H520" s="15">
        <v>7000</v>
      </c>
      <c r="I520" s="15">
        <f>D520*H520</f>
        <v>0</v>
      </c>
      <c r="J520" s="15"/>
      <c r="K520" s="15"/>
      <c r="L520" s="15"/>
      <c r="M520" s="15"/>
      <c r="N520" s="15"/>
      <c r="O520" s="15"/>
      <c r="P520" s="15">
        <f>SUM(J520:O520)</f>
        <v>0</v>
      </c>
      <c r="Q520" s="15">
        <f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ref="H521:H528" si="58">SUM(E521:G521)</f>
        <v>8000</v>
      </c>
      <c r="I521" s="15">
        <f>D521*H521</f>
        <v>0</v>
      </c>
      <c r="J521" s="15"/>
      <c r="K521" s="15"/>
      <c r="L521" s="15"/>
      <c r="M521" s="15"/>
      <c r="N521" s="15"/>
      <c r="O521" s="15"/>
      <c r="P521" s="15">
        <f t="shared" ref="P521:P528" si="59">SUM(J521:O521)</f>
        <v>0</v>
      </c>
      <c r="Q521" s="15">
        <f t="shared" ref="Q521:Q528" si="60">I521-P521</f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>
        <v>960</v>
      </c>
      <c r="E522" s="16">
        <v>8000</v>
      </c>
      <c r="F522" s="16"/>
      <c r="G522" s="16"/>
      <c r="H522" s="15">
        <f t="shared" si="58"/>
        <v>8000</v>
      </c>
      <c r="I522" s="15">
        <f t="shared" ref="I522:I528" si="61">D522*H522</f>
        <v>7680000</v>
      </c>
      <c r="J522" s="15"/>
      <c r="K522" s="15"/>
      <c r="L522" s="15"/>
      <c r="M522" s="15"/>
      <c r="N522" s="15"/>
      <c r="O522" s="15"/>
      <c r="P522" s="15">
        <f t="shared" si="59"/>
        <v>0</v>
      </c>
      <c r="Q522" s="15">
        <f t="shared" si="60"/>
        <v>7680000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>
        <v>730</v>
      </c>
      <c r="E523" s="16">
        <v>7400</v>
      </c>
      <c r="F523" s="16"/>
      <c r="G523" s="16"/>
      <c r="H523" s="15">
        <f t="shared" si="58"/>
        <v>7400</v>
      </c>
      <c r="I523" s="15">
        <f t="shared" si="61"/>
        <v>5402000</v>
      </c>
      <c r="J523" s="15"/>
      <c r="K523" s="15"/>
      <c r="L523" s="15"/>
      <c r="M523" s="15"/>
      <c r="N523" s="15"/>
      <c r="O523" s="15"/>
      <c r="P523" s="15">
        <f t="shared" si="59"/>
        <v>0</v>
      </c>
      <c r="Q523" s="15">
        <f t="shared" si="60"/>
        <v>5402000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>
        <v>554</v>
      </c>
      <c r="E524" s="16">
        <v>7400</v>
      </c>
      <c r="F524" s="16"/>
      <c r="G524" s="16"/>
      <c r="H524" s="15">
        <f t="shared" si="58"/>
        <v>7400</v>
      </c>
      <c r="I524" s="15">
        <f t="shared" si="61"/>
        <v>4099600</v>
      </c>
      <c r="J524" s="15"/>
      <c r="K524" s="15"/>
      <c r="L524" s="15"/>
      <c r="M524" s="15"/>
      <c r="N524" s="15"/>
      <c r="O524" s="15"/>
      <c r="P524" s="15">
        <f t="shared" si="59"/>
        <v>0</v>
      </c>
      <c r="Q524" s="15">
        <f t="shared" si="60"/>
        <v>4099600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>
        <v>2823</v>
      </c>
      <c r="E525" s="16">
        <v>8000</v>
      </c>
      <c r="F525" s="16"/>
      <c r="G525" s="16"/>
      <c r="H525" s="15">
        <f t="shared" si="58"/>
        <v>8000</v>
      </c>
      <c r="I525" s="15">
        <f t="shared" si="61"/>
        <v>22584000</v>
      </c>
      <c r="J525" s="15"/>
      <c r="K525" s="15"/>
      <c r="L525" s="15"/>
      <c r="M525" s="15"/>
      <c r="N525" s="15"/>
      <c r="O525" s="15"/>
      <c r="P525" s="15">
        <f t="shared" si="59"/>
        <v>0</v>
      </c>
      <c r="Q525" s="15">
        <f t="shared" si="60"/>
        <v>22584000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>
        <v>820</v>
      </c>
      <c r="E526" s="61">
        <v>7500</v>
      </c>
      <c r="F526" s="61"/>
      <c r="G526" s="61"/>
      <c r="H526" s="15">
        <f t="shared" si="58"/>
        <v>7500</v>
      </c>
      <c r="I526" s="15">
        <f t="shared" si="61"/>
        <v>6150000</v>
      </c>
      <c r="J526" s="15"/>
      <c r="K526" s="15"/>
      <c r="L526" s="15"/>
      <c r="M526" s="15"/>
      <c r="N526" s="15"/>
      <c r="O526" s="15"/>
      <c r="P526" s="15">
        <f t="shared" si="59"/>
        <v>0</v>
      </c>
      <c r="Q526" s="15">
        <f t="shared" si="60"/>
        <v>6150000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58"/>
        <v>7500</v>
      </c>
      <c r="I527" s="15">
        <f t="shared" si="61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59"/>
        <v>0</v>
      </c>
      <c r="Q527" s="15">
        <f t="shared" si="60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58"/>
        <v>0</v>
      </c>
      <c r="I528" s="15">
        <f t="shared" si="61"/>
        <v>0</v>
      </c>
      <c r="J528" s="15"/>
      <c r="K528" s="15"/>
      <c r="L528" s="15"/>
      <c r="M528" s="15"/>
      <c r="N528" s="15"/>
      <c r="O528" s="15"/>
      <c r="P528" s="15">
        <f t="shared" si="59"/>
        <v>0</v>
      </c>
      <c r="Q528" s="15">
        <f t="shared" si="60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>SUM(D520:D528)</f>
        <v>5887</v>
      </c>
      <c r="E529" s="22">
        <f>SUM(E520:E528)</f>
        <v>61000</v>
      </c>
      <c r="F529" s="22">
        <f t="shared" ref="F529:Q529" si="62">SUM(F520:F528)</f>
        <v>0</v>
      </c>
      <c r="G529" s="22">
        <f t="shared" si="62"/>
        <v>0</v>
      </c>
      <c r="H529" s="22">
        <f t="shared" si="62"/>
        <v>60800</v>
      </c>
      <c r="I529" s="22">
        <f t="shared" si="62"/>
        <v>45915600</v>
      </c>
      <c r="J529" s="22">
        <f t="shared" si="62"/>
        <v>0</v>
      </c>
      <c r="K529" s="22">
        <f t="shared" si="62"/>
        <v>0</v>
      </c>
      <c r="L529" s="22">
        <f t="shared" si="62"/>
        <v>0</v>
      </c>
      <c r="M529" s="22">
        <f t="shared" si="62"/>
        <v>0</v>
      </c>
      <c r="N529" s="22">
        <f t="shared" si="62"/>
        <v>0</v>
      </c>
      <c r="O529" s="22">
        <f t="shared" si="62"/>
        <v>0</v>
      </c>
      <c r="P529" s="22">
        <f t="shared" si="62"/>
        <v>0</v>
      </c>
      <c r="Q529" s="22">
        <f t="shared" si="62"/>
        <v>45915600</v>
      </c>
      <c r="R529" s="47"/>
    </row>
    <row r="530" spans="1:18" ht="16.5" x14ac:dyDescent="0.25">
      <c r="A530" s="74" t="s">
        <v>398</v>
      </c>
      <c r="B530" s="75"/>
      <c r="C530" s="76"/>
      <c r="D530" s="22">
        <f>SUM(D508,D483,D529)</f>
        <v>35465</v>
      </c>
      <c r="E530" s="22">
        <f t="shared" ref="E530:Q530" si="63">SUM(E508,E483,E529)</f>
        <v>3214200</v>
      </c>
      <c r="F530" s="22">
        <f t="shared" si="63"/>
        <v>178900</v>
      </c>
      <c r="G530" s="22">
        <f t="shared" si="63"/>
        <v>190000</v>
      </c>
      <c r="H530" s="22">
        <f t="shared" si="63"/>
        <v>3582900</v>
      </c>
      <c r="I530" s="22">
        <f t="shared" si="63"/>
        <v>264620300</v>
      </c>
      <c r="J530" s="22">
        <f t="shared" si="63"/>
        <v>600000</v>
      </c>
      <c r="K530" s="22">
        <f t="shared" si="63"/>
        <v>36176000</v>
      </c>
      <c r="L530" s="22">
        <f t="shared" si="63"/>
        <v>574280</v>
      </c>
      <c r="M530" s="22">
        <f t="shared" si="63"/>
        <v>0</v>
      </c>
      <c r="N530" s="22">
        <f t="shared" si="63"/>
        <v>0</v>
      </c>
      <c r="O530" s="22">
        <f t="shared" si="63"/>
        <v>7178500</v>
      </c>
      <c r="P530" s="22">
        <f t="shared" si="63"/>
        <v>44062760</v>
      </c>
      <c r="Q530" s="22">
        <f t="shared" si="63"/>
        <v>207684340</v>
      </c>
      <c r="R530" s="47"/>
    </row>
    <row r="531" spans="1:18" x14ac:dyDescent="0.25">
      <c r="A531" s="52"/>
      <c r="B531" s="52"/>
      <c r="C531" s="52"/>
      <c r="D531" s="7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465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7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7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18:R518"/>
    <mergeCell ref="A529:C529"/>
    <mergeCell ref="A530:C530"/>
    <mergeCell ref="A496:R496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view="pageBreakPreview" zoomScaleNormal="100" zoomScaleSheetLayoutView="100" workbookViewId="0">
      <pane xSplit="2" ySplit="3" topLeftCell="G467" activePane="bottomRight" state="frozen"/>
      <selection pane="topRight"/>
      <selection pane="bottomLeft"/>
      <selection pane="bottomRight" activeCell="Q484" sqref="Q484"/>
    </sheetView>
  </sheetViews>
  <sheetFormatPr defaultColWidth="10" defaultRowHeight="15" x14ac:dyDescent="0.25"/>
  <cols>
    <col min="1" max="1" width="7" customWidth="1"/>
    <col min="2" max="2" width="12.7109375" customWidth="1"/>
    <col min="3" max="3" width="13.42578125" customWidth="1"/>
    <col min="4" max="4" width="7.85546875" customWidth="1"/>
    <col min="5" max="5" width="10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4" customWidth="1"/>
    <col min="18" max="18" width="8.7109375" style="1"/>
  </cols>
  <sheetData>
    <row r="1" spans="1:18" ht="18" x14ac:dyDescent="0.25">
      <c r="A1" s="78" t="s">
        <v>475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404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6500</v>
      </c>
      <c r="F4" s="15">
        <v>400</v>
      </c>
      <c r="G4" s="15">
        <v>400</v>
      </c>
      <c r="H4" s="15">
        <f>SUM(E4:G4)</f>
        <v>7300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195</v>
      </c>
      <c r="E5" s="15">
        <v>6500</v>
      </c>
      <c r="F5" s="15">
        <v>300</v>
      </c>
      <c r="G5" s="15">
        <v>400</v>
      </c>
      <c r="H5" s="15">
        <f t="shared" ref="H5:H69" si="3">SUM(E5:G5)</f>
        <v>7200</v>
      </c>
      <c r="I5" s="15">
        <f t="shared" ref="I5:I69" si="4">H5*D5</f>
        <v>1404000</v>
      </c>
      <c r="J5" s="16"/>
      <c r="K5" s="15">
        <v>800000</v>
      </c>
      <c r="L5" s="15">
        <f t="shared" si="0"/>
        <v>3900</v>
      </c>
      <c r="M5" s="16"/>
      <c r="N5" s="16"/>
      <c r="O5" s="15">
        <f t="shared" si="1"/>
        <v>48750</v>
      </c>
      <c r="P5" s="15">
        <f t="shared" si="2"/>
        <v>852650</v>
      </c>
      <c r="Q5" s="15">
        <f t="shared" ref="Q5:Q68" si="5">I5-P5</f>
        <v>551350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357</v>
      </c>
      <c r="E6" s="15">
        <v>6500</v>
      </c>
      <c r="F6" s="15">
        <v>600</v>
      </c>
      <c r="G6" s="15">
        <v>400</v>
      </c>
      <c r="H6" s="15">
        <f t="shared" si="3"/>
        <v>7500</v>
      </c>
      <c r="I6" s="15">
        <f t="shared" si="4"/>
        <v>2677500</v>
      </c>
      <c r="J6" s="16"/>
      <c r="K6" s="15">
        <v>600000</v>
      </c>
      <c r="L6" s="15">
        <f t="shared" si="0"/>
        <v>7140</v>
      </c>
      <c r="M6" s="16"/>
      <c r="N6" s="16"/>
      <c r="O6" s="15">
        <f t="shared" si="1"/>
        <v>89250</v>
      </c>
      <c r="P6" s="15">
        <f t="shared" si="2"/>
        <v>696390</v>
      </c>
      <c r="Q6" s="15">
        <f t="shared" si="5"/>
        <v>1981110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6500</v>
      </c>
      <c r="F7" s="15">
        <v>400</v>
      </c>
      <c r="G7" s="15">
        <v>400</v>
      </c>
      <c r="H7" s="15">
        <f t="shared" si="3"/>
        <v>7300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6500</v>
      </c>
      <c r="F8" s="15">
        <v>400</v>
      </c>
      <c r="G8" s="15">
        <v>400</v>
      </c>
      <c r="H8" s="15">
        <f t="shared" si="3"/>
        <v>7300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456</v>
      </c>
      <c r="E9" s="15">
        <v>6500</v>
      </c>
      <c r="F9" s="15">
        <v>500</v>
      </c>
      <c r="G9" s="15">
        <v>400</v>
      </c>
      <c r="H9" s="15">
        <f t="shared" si="3"/>
        <v>7400</v>
      </c>
      <c r="I9" s="15">
        <f t="shared" si="4"/>
        <v>3374400</v>
      </c>
      <c r="J9" s="16"/>
      <c r="K9" s="15">
        <v>300000</v>
      </c>
      <c r="L9" s="15">
        <f t="shared" si="0"/>
        <v>9120</v>
      </c>
      <c r="M9" s="16"/>
      <c r="N9" s="16"/>
      <c r="O9" s="15">
        <f t="shared" si="1"/>
        <v>114000</v>
      </c>
      <c r="P9" s="15">
        <f t="shared" si="2"/>
        <v>423120</v>
      </c>
      <c r="Q9" s="15">
        <f t="shared" si="5"/>
        <v>2951280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6500</v>
      </c>
      <c r="F10" s="15">
        <v>400</v>
      </c>
      <c r="G10" s="15">
        <v>400</v>
      </c>
      <c r="H10" s="15">
        <f t="shared" si="3"/>
        <v>7300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6500</v>
      </c>
      <c r="F11" s="15">
        <v>400</v>
      </c>
      <c r="G11" s="15">
        <v>400</v>
      </c>
      <c r="H11" s="15">
        <f t="shared" si="3"/>
        <v>7300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6500</v>
      </c>
      <c r="F12" s="15">
        <v>400</v>
      </c>
      <c r="G12" s="15">
        <v>400</v>
      </c>
      <c r="H12" s="15">
        <f t="shared" si="3"/>
        <v>7300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6500</v>
      </c>
      <c r="F13" s="15">
        <v>400</v>
      </c>
      <c r="G13" s="15">
        <v>400</v>
      </c>
      <c r="H13" s="15">
        <f t="shared" si="3"/>
        <v>7300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6500</v>
      </c>
      <c r="F14" s="15">
        <v>400</v>
      </c>
      <c r="G14" s="15">
        <v>400</v>
      </c>
      <c r="H14" s="15">
        <f t="shared" si="3"/>
        <v>7300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6500</v>
      </c>
      <c r="F15" s="15">
        <v>400</v>
      </c>
      <c r="G15" s="15">
        <v>400</v>
      </c>
      <c r="H15" s="15">
        <f t="shared" si="3"/>
        <v>7300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6500</v>
      </c>
      <c r="F16" s="15">
        <v>400</v>
      </c>
      <c r="G16" s="15">
        <v>400</v>
      </c>
      <c r="H16" s="15">
        <f t="shared" si="3"/>
        <v>7300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6500</v>
      </c>
      <c r="F17" s="15">
        <v>400</v>
      </c>
      <c r="G17" s="15">
        <v>400</v>
      </c>
      <c r="H17" s="15">
        <f t="shared" si="3"/>
        <v>7300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217</v>
      </c>
      <c r="E18" s="15">
        <v>6500</v>
      </c>
      <c r="F18" s="15">
        <v>500</v>
      </c>
      <c r="G18" s="15">
        <v>400</v>
      </c>
      <c r="H18" s="15">
        <f t="shared" si="3"/>
        <v>7400</v>
      </c>
      <c r="I18" s="15">
        <f t="shared" si="4"/>
        <v>1605800</v>
      </c>
      <c r="J18" s="16"/>
      <c r="K18" s="15">
        <v>400000</v>
      </c>
      <c r="L18" s="15">
        <f t="shared" si="0"/>
        <v>4340</v>
      </c>
      <c r="M18" s="16"/>
      <c r="N18" s="16"/>
      <c r="O18" s="15">
        <f t="shared" si="1"/>
        <v>54250</v>
      </c>
      <c r="P18" s="15">
        <f t="shared" si="2"/>
        <v>458590</v>
      </c>
      <c r="Q18" s="15">
        <f t="shared" si="5"/>
        <v>1147210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6500</v>
      </c>
      <c r="F19" s="15">
        <v>400</v>
      </c>
      <c r="G19" s="15">
        <v>400</v>
      </c>
      <c r="H19" s="15">
        <f t="shared" si="3"/>
        <v>7300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6500</v>
      </c>
      <c r="F20" s="15">
        <v>400</v>
      </c>
      <c r="G20" s="15">
        <v>400</v>
      </c>
      <c r="H20" s="15">
        <f t="shared" si="3"/>
        <v>7300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6500</v>
      </c>
      <c r="F21" s="15">
        <v>400</v>
      </c>
      <c r="G21" s="15">
        <v>400</v>
      </c>
      <c r="H21" s="15">
        <f t="shared" si="3"/>
        <v>7300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6500</v>
      </c>
      <c r="F22" s="15">
        <v>400</v>
      </c>
      <c r="G22" s="15">
        <v>400</v>
      </c>
      <c r="H22" s="15">
        <f t="shared" si="3"/>
        <v>7300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6500</v>
      </c>
      <c r="F23" s="15">
        <v>400</v>
      </c>
      <c r="G23" s="15">
        <v>400</v>
      </c>
      <c r="H23" s="15">
        <f t="shared" si="3"/>
        <v>7300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6500</v>
      </c>
      <c r="F24" s="15">
        <v>400</v>
      </c>
      <c r="G24" s="15">
        <v>400</v>
      </c>
      <c r="H24" s="15">
        <f t="shared" si="3"/>
        <v>7300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6500</v>
      </c>
      <c r="F25" s="15">
        <v>400</v>
      </c>
      <c r="G25" s="15">
        <v>400</v>
      </c>
      <c r="H25" s="15">
        <f t="shared" si="3"/>
        <v>7300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6500</v>
      </c>
      <c r="F26" s="15">
        <v>400</v>
      </c>
      <c r="G26" s="15">
        <v>400</v>
      </c>
      <c r="H26" s="15">
        <f t="shared" si="3"/>
        <v>7300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252</v>
      </c>
      <c r="E27" s="15">
        <v>6500</v>
      </c>
      <c r="F27" s="15">
        <v>500</v>
      </c>
      <c r="G27" s="15">
        <v>400</v>
      </c>
      <c r="H27" s="15">
        <f t="shared" si="3"/>
        <v>7400</v>
      </c>
      <c r="I27" s="15">
        <f t="shared" si="4"/>
        <v>1864800</v>
      </c>
      <c r="J27" s="16"/>
      <c r="K27" s="15">
        <v>400000</v>
      </c>
      <c r="L27" s="15">
        <f t="shared" si="0"/>
        <v>5040</v>
      </c>
      <c r="M27" s="16"/>
      <c r="N27" s="16"/>
      <c r="O27" s="15">
        <f t="shared" si="1"/>
        <v>63000</v>
      </c>
      <c r="P27" s="15">
        <f t="shared" si="2"/>
        <v>468040</v>
      </c>
      <c r="Q27" s="15">
        <f t="shared" si="5"/>
        <v>1396760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6500</v>
      </c>
      <c r="F28" s="15">
        <v>400</v>
      </c>
      <c r="G28" s="15">
        <v>400</v>
      </c>
      <c r="H28" s="15">
        <f t="shared" si="3"/>
        <v>7300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73</v>
      </c>
      <c r="E29" s="15">
        <v>6500</v>
      </c>
      <c r="F29" s="15">
        <v>500</v>
      </c>
      <c r="G29" s="15">
        <v>400</v>
      </c>
      <c r="H29" s="15">
        <f t="shared" si="3"/>
        <v>7400</v>
      </c>
      <c r="I29" s="15">
        <f t="shared" si="4"/>
        <v>540200</v>
      </c>
      <c r="J29" s="16"/>
      <c r="K29" s="15">
        <v>140000</v>
      </c>
      <c r="L29" s="15">
        <f t="shared" si="0"/>
        <v>1460</v>
      </c>
      <c r="M29" s="16"/>
      <c r="N29" s="16"/>
      <c r="O29" s="15">
        <f t="shared" si="1"/>
        <v>18250</v>
      </c>
      <c r="P29" s="15">
        <f t="shared" si="2"/>
        <v>159710</v>
      </c>
      <c r="Q29" s="15">
        <f t="shared" si="5"/>
        <v>380490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76</v>
      </c>
      <c r="E30" s="15">
        <v>6500</v>
      </c>
      <c r="F30" s="15">
        <v>200</v>
      </c>
      <c r="G30" s="15">
        <v>400</v>
      </c>
      <c r="H30" s="15">
        <f t="shared" si="3"/>
        <v>7100</v>
      </c>
      <c r="I30" s="15">
        <f t="shared" si="4"/>
        <v>539600</v>
      </c>
      <c r="J30" s="16"/>
      <c r="K30" s="15">
        <v>200000</v>
      </c>
      <c r="L30" s="15">
        <f t="shared" si="0"/>
        <v>1520</v>
      </c>
      <c r="M30" s="16"/>
      <c r="N30" s="16"/>
      <c r="O30" s="15">
        <f t="shared" si="1"/>
        <v>19000</v>
      </c>
      <c r="P30" s="15">
        <f t="shared" si="2"/>
        <v>220520</v>
      </c>
      <c r="Q30" s="15">
        <f t="shared" si="5"/>
        <v>319080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6500</v>
      </c>
      <c r="F31" s="15">
        <v>300</v>
      </c>
      <c r="G31" s="15">
        <v>400</v>
      </c>
      <c r="H31" s="15">
        <f t="shared" si="3"/>
        <v>7200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6500</v>
      </c>
      <c r="F32" s="15">
        <v>400</v>
      </c>
      <c r="G32" s="15">
        <v>400</v>
      </c>
      <c r="H32" s="15">
        <f t="shared" si="3"/>
        <v>7300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6500</v>
      </c>
      <c r="F33" s="15">
        <v>300</v>
      </c>
      <c r="G33" s="15">
        <v>400</v>
      </c>
      <c r="H33" s="15">
        <f t="shared" si="3"/>
        <v>7200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6500</v>
      </c>
      <c r="F34" s="15">
        <v>300</v>
      </c>
      <c r="G34" s="15">
        <v>400</v>
      </c>
      <c r="H34" s="15">
        <f t="shared" si="3"/>
        <v>7200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308</v>
      </c>
      <c r="E35" s="15">
        <v>6500</v>
      </c>
      <c r="F35" s="15">
        <v>300</v>
      </c>
      <c r="G35" s="15">
        <v>400</v>
      </c>
      <c r="H35" s="15">
        <f t="shared" si="3"/>
        <v>7200</v>
      </c>
      <c r="I35" s="15">
        <f t="shared" si="4"/>
        <v>2217600</v>
      </c>
      <c r="J35" s="16"/>
      <c r="K35" s="15"/>
      <c r="L35" s="15">
        <f t="shared" si="0"/>
        <v>6160</v>
      </c>
      <c r="M35" s="16"/>
      <c r="N35" s="16"/>
      <c r="O35" s="15">
        <f t="shared" si="1"/>
        <v>77000</v>
      </c>
      <c r="P35" s="15">
        <f t="shared" si="2"/>
        <v>83160</v>
      </c>
      <c r="Q35" s="15">
        <f t="shared" si="5"/>
        <v>2134440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6500</v>
      </c>
      <c r="F36" s="15">
        <v>400</v>
      </c>
      <c r="G36" s="15">
        <v>400</v>
      </c>
      <c r="H36" s="15">
        <f t="shared" si="3"/>
        <v>7300</v>
      </c>
      <c r="I36" s="15">
        <f t="shared" si="4"/>
        <v>0</v>
      </c>
      <c r="J36" s="16"/>
      <c r="K36" s="15">
        <v>100000</v>
      </c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100000</v>
      </c>
      <c r="Q36" s="15">
        <f t="shared" si="5"/>
        <v>-100000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470</v>
      </c>
      <c r="E37" s="15">
        <v>6500</v>
      </c>
      <c r="F37" s="15">
        <v>400</v>
      </c>
      <c r="G37" s="15">
        <v>400</v>
      </c>
      <c r="H37" s="15">
        <f t="shared" si="3"/>
        <v>7300</v>
      </c>
      <c r="I37" s="15">
        <f t="shared" si="4"/>
        <v>3431000</v>
      </c>
      <c r="J37" s="16"/>
      <c r="K37" s="15">
        <v>800000</v>
      </c>
      <c r="L37" s="15">
        <f t="shared" si="0"/>
        <v>9400</v>
      </c>
      <c r="M37" s="20"/>
      <c r="N37" s="20"/>
      <c r="O37" s="15">
        <f t="shared" si="1"/>
        <v>117500</v>
      </c>
      <c r="P37" s="15">
        <f t="shared" si="2"/>
        <v>926900</v>
      </c>
      <c r="Q37" s="15">
        <f t="shared" si="5"/>
        <v>2504100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6500</v>
      </c>
      <c r="F38" s="15">
        <v>300</v>
      </c>
      <c r="G38" s="15">
        <v>400</v>
      </c>
      <c r="H38" s="15">
        <f t="shared" si="3"/>
        <v>7200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6500</v>
      </c>
      <c r="F39" s="15">
        <v>300</v>
      </c>
      <c r="G39" s="15">
        <v>400</v>
      </c>
      <c r="H39" s="15">
        <f t="shared" si="3"/>
        <v>7200</v>
      </c>
      <c r="I39" s="15">
        <f t="shared" si="4"/>
        <v>0</v>
      </c>
      <c r="J39" s="20"/>
      <c r="K39" s="15">
        <v>200000</v>
      </c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200000</v>
      </c>
      <c r="Q39" s="15">
        <f t="shared" si="5"/>
        <v>-200000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206</v>
      </c>
      <c r="E40" s="15">
        <v>6500</v>
      </c>
      <c r="F40" s="15">
        <v>600</v>
      </c>
      <c r="G40" s="15">
        <v>400</v>
      </c>
      <c r="H40" s="15">
        <f t="shared" si="3"/>
        <v>7500</v>
      </c>
      <c r="I40" s="15">
        <f t="shared" si="4"/>
        <v>1545000</v>
      </c>
      <c r="J40" s="16"/>
      <c r="K40" s="15"/>
      <c r="L40" s="15">
        <f t="shared" si="0"/>
        <v>4120</v>
      </c>
      <c r="M40" s="20"/>
      <c r="N40" s="20"/>
      <c r="O40" s="15">
        <f t="shared" si="1"/>
        <v>51500</v>
      </c>
      <c r="P40" s="15">
        <f t="shared" si="2"/>
        <v>55620</v>
      </c>
      <c r="Q40" s="15">
        <f t="shared" si="5"/>
        <v>1489380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234</v>
      </c>
      <c r="E41" s="15">
        <v>6500</v>
      </c>
      <c r="F41" s="15">
        <v>500</v>
      </c>
      <c r="G41" s="15">
        <v>400</v>
      </c>
      <c r="H41" s="15">
        <f t="shared" si="3"/>
        <v>7400</v>
      </c>
      <c r="I41" s="15">
        <f t="shared" si="4"/>
        <v>1731600</v>
      </c>
      <c r="J41" s="20"/>
      <c r="K41" s="15"/>
      <c r="L41" s="15">
        <f t="shared" si="0"/>
        <v>4680</v>
      </c>
      <c r="M41" s="20"/>
      <c r="N41" s="20"/>
      <c r="O41" s="15">
        <f t="shared" si="1"/>
        <v>58500</v>
      </c>
      <c r="P41" s="15">
        <f t="shared" si="2"/>
        <v>63180</v>
      </c>
      <c r="Q41" s="15">
        <f t="shared" si="5"/>
        <v>1668420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6500</v>
      </c>
      <c r="F42" s="15">
        <v>300</v>
      </c>
      <c r="G42" s="15">
        <v>400</v>
      </c>
      <c r="H42" s="15">
        <f t="shared" si="3"/>
        <v>7200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150</v>
      </c>
      <c r="E43" s="15">
        <v>6500</v>
      </c>
      <c r="F43" s="15">
        <v>600</v>
      </c>
      <c r="G43" s="15">
        <v>400</v>
      </c>
      <c r="H43" s="15">
        <f t="shared" si="3"/>
        <v>7500</v>
      </c>
      <c r="I43" s="15">
        <f t="shared" si="4"/>
        <v>1125000</v>
      </c>
      <c r="J43" s="16"/>
      <c r="K43" s="15">
        <v>400000</v>
      </c>
      <c r="L43" s="15">
        <f t="shared" si="0"/>
        <v>3000</v>
      </c>
      <c r="M43" s="16"/>
      <c r="N43" s="16"/>
      <c r="O43" s="15">
        <f t="shared" si="1"/>
        <v>37500</v>
      </c>
      <c r="P43" s="15">
        <f t="shared" si="2"/>
        <v>440500</v>
      </c>
      <c r="Q43" s="15">
        <f t="shared" si="5"/>
        <v>684500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6500</v>
      </c>
      <c r="F44" s="15">
        <v>300</v>
      </c>
      <c r="G44" s="15">
        <v>400</v>
      </c>
      <c r="H44" s="15">
        <f t="shared" si="3"/>
        <v>7200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6500</v>
      </c>
      <c r="F45" s="15">
        <v>400</v>
      </c>
      <c r="G45" s="15">
        <v>400</v>
      </c>
      <c r="H45" s="15">
        <f t="shared" si="3"/>
        <v>7300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6500</v>
      </c>
      <c r="F46" s="15">
        <v>300</v>
      </c>
      <c r="G46" s="15">
        <v>400</v>
      </c>
      <c r="H46" s="15">
        <f t="shared" si="3"/>
        <v>7200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6500</v>
      </c>
      <c r="F47" s="15">
        <v>300</v>
      </c>
      <c r="G47" s="15">
        <v>400</v>
      </c>
      <c r="H47" s="15">
        <f t="shared" si="3"/>
        <v>7200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6500</v>
      </c>
      <c r="F48" s="15">
        <v>400</v>
      </c>
      <c r="G48" s="15">
        <v>400</v>
      </c>
      <c r="H48" s="15">
        <f t="shared" si="3"/>
        <v>7300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6500</v>
      </c>
      <c r="F49" s="15">
        <v>300</v>
      </c>
      <c r="G49" s="15">
        <v>400</v>
      </c>
      <c r="H49" s="15">
        <f t="shared" si="3"/>
        <v>7200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391</v>
      </c>
      <c r="E50" s="15">
        <v>6500</v>
      </c>
      <c r="F50" s="15">
        <v>400</v>
      </c>
      <c r="G50" s="15">
        <v>400</v>
      </c>
      <c r="H50" s="15">
        <f t="shared" si="3"/>
        <v>7300</v>
      </c>
      <c r="I50" s="15">
        <f t="shared" si="4"/>
        <v>2854300</v>
      </c>
      <c r="J50" s="16"/>
      <c r="K50" s="15">
        <v>1575000</v>
      </c>
      <c r="L50" s="15">
        <f t="shared" si="0"/>
        <v>7820</v>
      </c>
      <c r="M50" s="16"/>
      <c r="N50" s="16"/>
      <c r="O50" s="15">
        <f t="shared" si="1"/>
        <v>97750</v>
      </c>
      <c r="P50" s="15">
        <f t="shared" si="2"/>
        <v>1680570</v>
      </c>
      <c r="Q50" s="15">
        <f t="shared" si="5"/>
        <v>1173730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269</v>
      </c>
      <c r="E51" s="15">
        <v>6500</v>
      </c>
      <c r="F51" s="15">
        <v>400</v>
      </c>
      <c r="G51" s="15">
        <v>400</v>
      </c>
      <c r="H51" s="15">
        <f t="shared" si="3"/>
        <v>7300</v>
      </c>
      <c r="I51" s="15">
        <f t="shared" si="4"/>
        <v>1963700</v>
      </c>
      <c r="J51" s="16"/>
      <c r="K51" s="15">
        <v>600000</v>
      </c>
      <c r="L51" s="15">
        <f t="shared" si="0"/>
        <v>5380</v>
      </c>
      <c r="M51" s="16"/>
      <c r="N51" s="16"/>
      <c r="O51" s="15">
        <f t="shared" si="1"/>
        <v>67250</v>
      </c>
      <c r="P51" s="15">
        <f t="shared" si="2"/>
        <v>672630</v>
      </c>
      <c r="Q51" s="15">
        <f t="shared" si="5"/>
        <v>1291070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75</v>
      </c>
      <c r="E52" s="15">
        <v>6500</v>
      </c>
      <c r="F52" s="15">
        <v>500</v>
      </c>
      <c r="G52" s="15">
        <v>400</v>
      </c>
      <c r="H52" s="15">
        <f t="shared" si="3"/>
        <v>7400</v>
      </c>
      <c r="I52" s="15">
        <f t="shared" si="4"/>
        <v>555000</v>
      </c>
      <c r="J52" s="16"/>
      <c r="K52" s="15">
        <v>200000</v>
      </c>
      <c r="L52" s="15">
        <f t="shared" si="0"/>
        <v>1500</v>
      </c>
      <c r="M52" s="16"/>
      <c r="N52" s="16"/>
      <c r="O52" s="15">
        <f t="shared" si="1"/>
        <v>18750</v>
      </c>
      <c r="P52" s="15">
        <f t="shared" si="2"/>
        <v>220250</v>
      </c>
      <c r="Q52" s="15">
        <f t="shared" si="5"/>
        <v>334750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82</v>
      </c>
      <c r="E53" s="15">
        <v>6500</v>
      </c>
      <c r="F53" s="15">
        <v>500</v>
      </c>
      <c r="G53" s="15">
        <v>400</v>
      </c>
      <c r="H53" s="15">
        <f t="shared" si="3"/>
        <v>7400</v>
      </c>
      <c r="I53" s="15">
        <f t="shared" si="4"/>
        <v>606800</v>
      </c>
      <c r="J53" s="16"/>
      <c r="K53" s="15">
        <v>200000</v>
      </c>
      <c r="L53" s="15">
        <f t="shared" si="0"/>
        <v>1640</v>
      </c>
      <c r="M53" s="16"/>
      <c r="N53" s="16"/>
      <c r="O53" s="15">
        <f t="shared" si="1"/>
        <v>20500</v>
      </c>
      <c r="P53" s="15">
        <f t="shared" si="2"/>
        <v>222140</v>
      </c>
      <c r="Q53" s="15">
        <f t="shared" si="5"/>
        <v>384660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6500</v>
      </c>
      <c r="F54" s="15">
        <v>300</v>
      </c>
      <c r="G54" s="15">
        <v>400</v>
      </c>
      <c r="H54" s="15">
        <f t="shared" si="3"/>
        <v>7200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6500</v>
      </c>
      <c r="F55" s="15">
        <v>300</v>
      </c>
      <c r="G55" s="15">
        <v>400</v>
      </c>
      <c r="H55" s="15">
        <f t="shared" si="3"/>
        <v>7200</v>
      </c>
      <c r="I55" s="15">
        <f t="shared" si="4"/>
        <v>0</v>
      </c>
      <c r="J55" s="16"/>
      <c r="K55" s="15">
        <v>200000</v>
      </c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200000</v>
      </c>
      <c r="Q55" s="15">
        <f t="shared" si="5"/>
        <v>-200000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160</v>
      </c>
      <c r="E56" s="15">
        <v>6500</v>
      </c>
      <c r="F56" s="15">
        <v>500</v>
      </c>
      <c r="G56" s="15">
        <v>400</v>
      </c>
      <c r="H56" s="15">
        <f t="shared" si="3"/>
        <v>7400</v>
      </c>
      <c r="I56" s="15">
        <f t="shared" si="4"/>
        <v>1184000</v>
      </c>
      <c r="J56" s="16"/>
      <c r="K56" s="15">
        <v>200000</v>
      </c>
      <c r="L56" s="15">
        <f t="shared" si="0"/>
        <v>3200</v>
      </c>
      <c r="M56" s="20"/>
      <c r="N56" s="20"/>
      <c r="O56" s="15">
        <f t="shared" si="1"/>
        <v>40000</v>
      </c>
      <c r="P56" s="15">
        <f t="shared" si="2"/>
        <v>243200</v>
      </c>
      <c r="Q56" s="15">
        <f t="shared" si="5"/>
        <v>940800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6500</v>
      </c>
      <c r="F57" s="15">
        <v>500</v>
      </c>
      <c r="G57" s="15">
        <v>400</v>
      </c>
      <c r="H57" s="15">
        <f t="shared" si="3"/>
        <v>7400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6500</v>
      </c>
      <c r="F58" s="15">
        <v>300</v>
      </c>
      <c r="G58" s="15">
        <v>400</v>
      </c>
      <c r="H58" s="15">
        <f t="shared" si="3"/>
        <v>7200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154</v>
      </c>
      <c r="E59" s="15">
        <v>6500</v>
      </c>
      <c r="F59" s="15">
        <v>600</v>
      </c>
      <c r="G59" s="15">
        <v>400</v>
      </c>
      <c r="H59" s="15">
        <f t="shared" si="3"/>
        <v>7500</v>
      </c>
      <c r="I59" s="15">
        <f t="shared" si="4"/>
        <v>1155000</v>
      </c>
      <c r="J59" s="16"/>
      <c r="K59" s="15">
        <v>200000</v>
      </c>
      <c r="L59" s="15">
        <f t="shared" si="0"/>
        <v>3080</v>
      </c>
      <c r="M59" s="16"/>
      <c r="N59" s="16"/>
      <c r="O59" s="15">
        <f t="shared" si="1"/>
        <v>38500</v>
      </c>
      <c r="P59" s="15">
        <f t="shared" si="2"/>
        <v>241580</v>
      </c>
      <c r="Q59" s="15">
        <f t="shared" si="5"/>
        <v>913420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6500</v>
      </c>
      <c r="F60" s="15">
        <v>300</v>
      </c>
      <c r="G60" s="15">
        <v>400</v>
      </c>
      <c r="H60" s="15">
        <f t="shared" si="3"/>
        <v>7200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6500</v>
      </c>
      <c r="F61" s="15">
        <v>300</v>
      </c>
      <c r="G61" s="15">
        <v>400</v>
      </c>
      <c r="H61" s="15">
        <f t="shared" si="3"/>
        <v>7200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1289</v>
      </c>
      <c r="E62" s="15">
        <v>6500</v>
      </c>
      <c r="F62" s="15">
        <v>600</v>
      </c>
      <c r="G62" s="15">
        <v>400</v>
      </c>
      <c r="H62" s="15">
        <f t="shared" si="3"/>
        <v>7500</v>
      </c>
      <c r="I62" s="15">
        <f t="shared" si="4"/>
        <v>9667500</v>
      </c>
      <c r="J62" s="16"/>
      <c r="K62" s="15"/>
      <c r="L62" s="15">
        <f t="shared" si="0"/>
        <v>25780</v>
      </c>
      <c r="M62" s="20"/>
      <c r="N62" s="20"/>
      <c r="O62" s="15">
        <f t="shared" si="1"/>
        <v>322250</v>
      </c>
      <c r="P62" s="15">
        <f t="shared" si="2"/>
        <v>348030</v>
      </c>
      <c r="Q62" s="15">
        <f t="shared" si="5"/>
        <v>9319470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6500</v>
      </c>
      <c r="F63" s="15">
        <v>300</v>
      </c>
      <c r="G63" s="15">
        <v>400</v>
      </c>
      <c r="H63" s="15">
        <f t="shared" si="3"/>
        <v>7200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6500</v>
      </c>
      <c r="F64" s="15">
        <v>400</v>
      </c>
      <c r="G64" s="15">
        <v>400</v>
      </c>
      <c r="H64" s="15">
        <f t="shared" si="3"/>
        <v>7300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6500</v>
      </c>
      <c r="F65" s="15">
        <v>300</v>
      </c>
      <c r="G65" s="15">
        <v>400</v>
      </c>
      <c r="H65" s="15">
        <f t="shared" si="3"/>
        <v>7200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179</v>
      </c>
      <c r="E66" s="15">
        <v>6500</v>
      </c>
      <c r="F66" s="15">
        <v>500</v>
      </c>
      <c r="G66" s="15">
        <v>400</v>
      </c>
      <c r="H66" s="15">
        <f t="shared" si="3"/>
        <v>7400</v>
      </c>
      <c r="I66" s="15">
        <f t="shared" si="4"/>
        <v>1324600</v>
      </c>
      <c r="J66" s="20"/>
      <c r="K66" s="15">
        <v>600000</v>
      </c>
      <c r="L66" s="15">
        <f t="shared" si="0"/>
        <v>3580</v>
      </c>
      <c r="M66" s="20"/>
      <c r="N66" s="20"/>
      <c r="O66" s="15">
        <f t="shared" si="1"/>
        <v>44750</v>
      </c>
      <c r="P66" s="15">
        <f t="shared" si="2"/>
        <v>648330</v>
      </c>
      <c r="Q66" s="15">
        <f t="shared" si="5"/>
        <v>676270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6500</v>
      </c>
      <c r="F67" s="15">
        <v>300</v>
      </c>
      <c r="G67" s="15">
        <v>400</v>
      </c>
      <c r="H67" s="15">
        <f t="shared" si="3"/>
        <v>7200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6500</v>
      </c>
      <c r="F68" s="15">
        <v>300</v>
      </c>
      <c r="G68" s="15">
        <v>400</v>
      </c>
      <c r="H68" s="15">
        <f t="shared" si="3"/>
        <v>7200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302</v>
      </c>
      <c r="E69" s="15">
        <v>6500</v>
      </c>
      <c r="F69" s="15">
        <v>600</v>
      </c>
      <c r="G69" s="15">
        <v>400</v>
      </c>
      <c r="H69" s="15">
        <f t="shared" si="3"/>
        <v>7500</v>
      </c>
      <c r="I69" s="15">
        <f t="shared" si="4"/>
        <v>2265000</v>
      </c>
      <c r="J69" s="16"/>
      <c r="K69" s="15">
        <v>1000000</v>
      </c>
      <c r="L69" s="15">
        <f t="shared" ref="L69:L132" si="6">D69*20</f>
        <v>6040</v>
      </c>
      <c r="M69" s="20"/>
      <c r="N69" s="20"/>
      <c r="O69" s="15">
        <f t="shared" ref="O69:O132" si="7">250*D69</f>
        <v>75500</v>
      </c>
      <c r="P69" s="15">
        <f t="shared" ref="P69:P132" si="8">SUM(J69:O69)</f>
        <v>1081540</v>
      </c>
      <c r="Q69" s="15">
        <f t="shared" ref="Q69:Q132" si="9">I69-P69</f>
        <v>1183460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6500</v>
      </c>
      <c r="F70" s="15">
        <v>300</v>
      </c>
      <c r="G70" s="15">
        <v>400</v>
      </c>
      <c r="H70" s="15">
        <f t="shared" ref="H70:H133" si="10">SUM(E70:G70)</f>
        <v>7200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6500</v>
      </c>
      <c r="F71" s="15">
        <v>400</v>
      </c>
      <c r="G71" s="15">
        <v>400</v>
      </c>
      <c r="H71" s="15">
        <f t="shared" si="10"/>
        <v>7300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91</v>
      </c>
      <c r="E72" s="15">
        <v>6500</v>
      </c>
      <c r="F72" s="15">
        <v>400</v>
      </c>
      <c r="G72" s="15">
        <v>400</v>
      </c>
      <c r="H72" s="15">
        <f t="shared" si="10"/>
        <v>7300</v>
      </c>
      <c r="I72" s="15">
        <f t="shared" si="11"/>
        <v>664300</v>
      </c>
      <c r="J72" s="16"/>
      <c r="K72" s="15">
        <v>400000</v>
      </c>
      <c r="L72" s="15">
        <f t="shared" si="6"/>
        <v>1820</v>
      </c>
      <c r="M72" s="20"/>
      <c r="N72" s="20"/>
      <c r="O72" s="15">
        <f t="shared" si="7"/>
        <v>22750</v>
      </c>
      <c r="P72" s="15">
        <f t="shared" si="8"/>
        <v>424570</v>
      </c>
      <c r="Q72" s="15">
        <f t="shared" si="9"/>
        <v>239730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6500</v>
      </c>
      <c r="F73" s="15">
        <v>500</v>
      </c>
      <c r="G73" s="15">
        <v>400</v>
      </c>
      <c r="H73" s="15">
        <f t="shared" si="10"/>
        <v>7400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6500</v>
      </c>
      <c r="F74" s="15">
        <v>300</v>
      </c>
      <c r="G74" s="15">
        <v>400</v>
      </c>
      <c r="H74" s="15">
        <f t="shared" si="10"/>
        <v>7200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6500</v>
      </c>
      <c r="F75" s="15">
        <v>500</v>
      </c>
      <c r="G75" s="15">
        <v>400</v>
      </c>
      <c r="H75" s="15">
        <f t="shared" si="10"/>
        <v>7400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223</v>
      </c>
      <c r="E76" s="15">
        <v>6500</v>
      </c>
      <c r="F76" s="15">
        <v>500</v>
      </c>
      <c r="G76" s="15">
        <v>400</v>
      </c>
      <c r="H76" s="15">
        <f t="shared" si="10"/>
        <v>7400</v>
      </c>
      <c r="I76" s="15">
        <f t="shared" si="11"/>
        <v>1650200</v>
      </c>
      <c r="J76" s="20"/>
      <c r="K76" s="15">
        <v>400000</v>
      </c>
      <c r="L76" s="15">
        <f t="shared" si="6"/>
        <v>4460</v>
      </c>
      <c r="M76" s="20"/>
      <c r="N76" s="20"/>
      <c r="O76" s="15">
        <f t="shared" si="7"/>
        <v>55750</v>
      </c>
      <c r="P76" s="15">
        <f t="shared" si="8"/>
        <v>460210</v>
      </c>
      <c r="Q76" s="15">
        <f t="shared" si="9"/>
        <v>1189990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6500</v>
      </c>
      <c r="F77" s="15">
        <v>300</v>
      </c>
      <c r="G77" s="15">
        <v>400</v>
      </c>
      <c r="H77" s="15">
        <f t="shared" si="10"/>
        <v>7200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589</v>
      </c>
      <c r="E78" s="15">
        <v>6500</v>
      </c>
      <c r="F78" s="15">
        <v>600</v>
      </c>
      <c r="G78" s="15">
        <v>400</v>
      </c>
      <c r="H78" s="15">
        <f t="shared" si="10"/>
        <v>7500</v>
      </c>
      <c r="I78" s="15">
        <f t="shared" si="11"/>
        <v>4417500</v>
      </c>
      <c r="J78" s="16"/>
      <c r="K78" s="15">
        <v>1200000</v>
      </c>
      <c r="L78" s="15">
        <f t="shared" si="6"/>
        <v>11780</v>
      </c>
      <c r="M78" s="20"/>
      <c r="N78" s="20"/>
      <c r="O78" s="15">
        <f t="shared" si="7"/>
        <v>147250</v>
      </c>
      <c r="P78" s="15">
        <f t="shared" si="8"/>
        <v>1359030</v>
      </c>
      <c r="Q78" s="15">
        <f t="shared" si="9"/>
        <v>3058470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6500</v>
      </c>
      <c r="F79" s="15">
        <v>300</v>
      </c>
      <c r="G79" s="15">
        <v>400</v>
      </c>
      <c r="H79" s="15">
        <f t="shared" si="10"/>
        <v>7200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6500</v>
      </c>
      <c r="F80" s="15">
        <v>400</v>
      </c>
      <c r="G80" s="15">
        <v>400</v>
      </c>
      <c r="H80" s="15">
        <f t="shared" si="10"/>
        <v>7300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6500</v>
      </c>
      <c r="F81" s="15">
        <v>300</v>
      </c>
      <c r="G81" s="15">
        <v>400</v>
      </c>
      <c r="H81" s="15">
        <f t="shared" si="10"/>
        <v>7200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6500</v>
      </c>
      <c r="F82" s="15">
        <v>300</v>
      </c>
      <c r="G82" s="15">
        <v>400</v>
      </c>
      <c r="H82" s="15">
        <f t="shared" si="10"/>
        <v>7200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97</v>
      </c>
      <c r="E83" s="15">
        <v>6500</v>
      </c>
      <c r="F83" s="15">
        <v>600</v>
      </c>
      <c r="G83" s="15">
        <v>400</v>
      </c>
      <c r="H83" s="15">
        <f t="shared" si="10"/>
        <v>7500</v>
      </c>
      <c r="I83" s="15">
        <f t="shared" si="11"/>
        <v>727500</v>
      </c>
      <c r="J83" s="16"/>
      <c r="K83" s="15">
        <v>600000</v>
      </c>
      <c r="L83" s="15">
        <f t="shared" si="6"/>
        <v>1940</v>
      </c>
      <c r="M83" s="20"/>
      <c r="N83" s="20"/>
      <c r="O83" s="15">
        <f t="shared" si="7"/>
        <v>24250</v>
      </c>
      <c r="P83" s="15">
        <f t="shared" si="8"/>
        <v>626190</v>
      </c>
      <c r="Q83" s="15">
        <f t="shared" si="9"/>
        <v>101310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6500</v>
      </c>
      <c r="F84" s="15">
        <v>300</v>
      </c>
      <c r="G84" s="15">
        <v>400</v>
      </c>
      <c r="H84" s="15">
        <f t="shared" si="10"/>
        <v>7200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130</v>
      </c>
      <c r="E85" s="15">
        <v>6500</v>
      </c>
      <c r="F85" s="15">
        <v>400</v>
      </c>
      <c r="G85" s="15">
        <v>400</v>
      </c>
      <c r="H85" s="15">
        <f t="shared" si="10"/>
        <v>7300</v>
      </c>
      <c r="I85" s="15">
        <f t="shared" si="11"/>
        <v>949000</v>
      </c>
      <c r="J85" s="16"/>
      <c r="K85" s="15">
        <v>400000</v>
      </c>
      <c r="L85" s="15">
        <f t="shared" si="6"/>
        <v>2600</v>
      </c>
      <c r="M85" s="20"/>
      <c r="N85" s="20"/>
      <c r="O85" s="15">
        <f t="shared" si="7"/>
        <v>32500</v>
      </c>
      <c r="P85" s="15">
        <f t="shared" si="8"/>
        <v>435100</v>
      </c>
      <c r="Q85" s="15">
        <f t="shared" si="9"/>
        <v>513900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6500</v>
      </c>
      <c r="F86" s="15">
        <v>300</v>
      </c>
      <c r="G86" s="15">
        <v>400</v>
      </c>
      <c r="H86" s="15">
        <f t="shared" si="10"/>
        <v>7200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6500</v>
      </c>
      <c r="F87" s="15">
        <v>300</v>
      </c>
      <c r="G87" s="15">
        <v>400</v>
      </c>
      <c r="H87" s="15">
        <f t="shared" si="10"/>
        <v>7200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6500</v>
      </c>
      <c r="F88" s="15">
        <v>400</v>
      </c>
      <c r="G88" s="15">
        <v>400</v>
      </c>
      <c r="H88" s="15">
        <f t="shared" si="10"/>
        <v>7300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6500</v>
      </c>
      <c r="F89" s="15">
        <v>300</v>
      </c>
      <c r="G89" s="15">
        <v>400</v>
      </c>
      <c r="H89" s="15">
        <f t="shared" si="10"/>
        <v>7200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6500</v>
      </c>
      <c r="F90" s="15">
        <v>300</v>
      </c>
      <c r="G90" s="15">
        <v>400</v>
      </c>
      <c r="H90" s="15">
        <f t="shared" si="10"/>
        <v>7200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6500</v>
      </c>
      <c r="F91" s="15">
        <v>200</v>
      </c>
      <c r="G91" s="15">
        <v>400</v>
      </c>
      <c r="H91" s="15">
        <f t="shared" si="10"/>
        <v>7100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86</v>
      </c>
      <c r="E92" s="15">
        <v>6500</v>
      </c>
      <c r="F92" s="15">
        <v>500</v>
      </c>
      <c r="G92" s="15">
        <v>400</v>
      </c>
      <c r="H92" s="15">
        <f t="shared" si="10"/>
        <v>7400</v>
      </c>
      <c r="I92" s="15">
        <f t="shared" si="11"/>
        <v>636400</v>
      </c>
      <c r="J92" s="16"/>
      <c r="K92" s="15"/>
      <c r="L92" s="15">
        <f t="shared" si="6"/>
        <v>1720</v>
      </c>
      <c r="M92" s="16"/>
      <c r="N92" s="16"/>
      <c r="O92" s="15">
        <f t="shared" si="7"/>
        <v>21500</v>
      </c>
      <c r="P92" s="15">
        <f t="shared" si="8"/>
        <v>23220</v>
      </c>
      <c r="Q92" s="15">
        <f t="shared" si="9"/>
        <v>613180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6500</v>
      </c>
      <c r="F93" s="15">
        <v>400</v>
      </c>
      <c r="G93" s="15">
        <v>400</v>
      </c>
      <c r="H93" s="15">
        <f t="shared" si="10"/>
        <v>7300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6500</v>
      </c>
      <c r="F94" s="15">
        <v>300</v>
      </c>
      <c r="G94" s="15">
        <v>400</v>
      </c>
      <c r="H94" s="15">
        <f t="shared" si="10"/>
        <v>7200</v>
      </c>
      <c r="I94" s="15">
        <f t="shared" si="11"/>
        <v>0</v>
      </c>
      <c r="J94" s="20"/>
      <c r="K94" s="15">
        <v>200000</v>
      </c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200000</v>
      </c>
      <c r="Q94" s="15">
        <f t="shared" si="9"/>
        <v>-200000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171</v>
      </c>
      <c r="E95" s="15">
        <v>6500</v>
      </c>
      <c r="F95" s="15">
        <v>500</v>
      </c>
      <c r="G95" s="15">
        <v>400</v>
      </c>
      <c r="H95" s="15">
        <f t="shared" si="10"/>
        <v>7400</v>
      </c>
      <c r="I95" s="15">
        <f t="shared" si="11"/>
        <v>1265400</v>
      </c>
      <c r="J95" s="16"/>
      <c r="K95" s="15"/>
      <c r="L95" s="15">
        <f t="shared" si="6"/>
        <v>3420</v>
      </c>
      <c r="M95" s="20"/>
      <c r="N95" s="20"/>
      <c r="O95" s="15">
        <f t="shared" si="7"/>
        <v>42750</v>
      </c>
      <c r="P95" s="15">
        <f t="shared" si="8"/>
        <v>46170</v>
      </c>
      <c r="Q95" s="15">
        <f t="shared" si="9"/>
        <v>1219230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6500</v>
      </c>
      <c r="F96" s="15">
        <v>300</v>
      </c>
      <c r="G96" s="15">
        <v>400</v>
      </c>
      <c r="H96" s="15">
        <f t="shared" si="10"/>
        <v>7200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6500</v>
      </c>
      <c r="F97" s="15">
        <v>200</v>
      </c>
      <c r="G97" s="15">
        <v>400</v>
      </c>
      <c r="H97" s="15">
        <f t="shared" si="10"/>
        <v>7100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6500</v>
      </c>
      <c r="F98" s="15">
        <v>300</v>
      </c>
      <c r="G98" s="15">
        <v>400</v>
      </c>
      <c r="H98" s="15">
        <f t="shared" si="10"/>
        <v>7200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6500</v>
      </c>
      <c r="F99" s="15">
        <v>300</v>
      </c>
      <c r="G99" s="15">
        <v>400</v>
      </c>
      <c r="H99" s="15">
        <f t="shared" si="10"/>
        <v>7200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6500</v>
      </c>
      <c r="F100" s="15">
        <v>300</v>
      </c>
      <c r="G100" s="15">
        <v>400</v>
      </c>
      <c r="H100" s="15">
        <f t="shared" si="10"/>
        <v>7200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6500</v>
      </c>
      <c r="F101" s="15">
        <v>300</v>
      </c>
      <c r="G101" s="15">
        <v>400</v>
      </c>
      <c r="H101" s="15">
        <f t="shared" si="10"/>
        <v>7200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207</v>
      </c>
      <c r="E102" s="15">
        <v>6500</v>
      </c>
      <c r="F102" s="15">
        <v>200</v>
      </c>
      <c r="G102" s="15">
        <v>400</v>
      </c>
      <c r="H102" s="15">
        <f t="shared" si="10"/>
        <v>7100</v>
      </c>
      <c r="I102" s="15">
        <f t="shared" si="11"/>
        <v>1469700</v>
      </c>
      <c r="J102" s="16"/>
      <c r="K102" s="15">
        <v>200000</v>
      </c>
      <c r="L102" s="15">
        <f t="shared" si="6"/>
        <v>4140</v>
      </c>
      <c r="M102" s="20"/>
      <c r="N102" s="20"/>
      <c r="O102" s="15">
        <f t="shared" si="7"/>
        <v>51750</v>
      </c>
      <c r="P102" s="15">
        <f t="shared" si="8"/>
        <v>255890</v>
      </c>
      <c r="Q102" s="15">
        <f t="shared" si="9"/>
        <v>1213810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6500</v>
      </c>
      <c r="F103" s="15">
        <v>300</v>
      </c>
      <c r="G103" s="15">
        <v>400</v>
      </c>
      <c r="H103" s="15">
        <f t="shared" si="10"/>
        <v>7200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6500</v>
      </c>
      <c r="F104" s="15">
        <v>300</v>
      </c>
      <c r="G104" s="15">
        <v>400</v>
      </c>
      <c r="H104" s="15">
        <f t="shared" si="10"/>
        <v>7200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6500</v>
      </c>
      <c r="F105" s="15">
        <v>300</v>
      </c>
      <c r="G105" s="15">
        <v>400</v>
      </c>
      <c r="H105" s="15">
        <f t="shared" si="10"/>
        <v>7200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6500</v>
      </c>
      <c r="F106" s="15">
        <v>300</v>
      </c>
      <c r="G106" s="15">
        <v>400</v>
      </c>
      <c r="H106" s="15">
        <f t="shared" si="10"/>
        <v>7200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6500</v>
      </c>
      <c r="F107" s="15">
        <v>400</v>
      </c>
      <c r="G107" s="15">
        <v>400</v>
      </c>
      <c r="H107" s="15">
        <f t="shared" si="10"/>
        <v>7300</v>
      </c>
      <c r="I107" s="15">
        <f t="shared" si="11"/>
        <v>0</v>
      </c>
      <c r="J107" s="16"/>
      <c r="K107" s="15">
        <v>400000</v>
      </c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400000</v>
      </c>
      <c r="Q107" s="15">
        <f t="shared" si="9"/>
        <v>-400000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6500</v>
      </c>
      <c r="F108" s="15">
        <v>300</v>
      </c>
      <c r="G108" s="15">
        <v>400</v>
      </c>
      <c r="H108" s="15">
        <f t="shared" si="10"/>
        <v>7200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6500</v>
      </c>
      <c r="F109" s="15">
        <v>500</v>
      </c>
      <c r="G109" s="15">
        <v>400</v>
      </c>
      <c r="H109" s="15">
        <f t="shared" si="10"/>
        <v>7400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6500</v>
      </c>
      <c r="F110" s="15">
        <v>300</v>
      </c>
      <c r="G110" s="15">
        <v>400</v>
      </c>
      <c r="H110" s="15">
        <f t="shared" si="10"/>
        <v>7200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6500</v>
      </c>
      <c r="F111" s="15">
        <v>300</v>
      </c>
      <c r="G111" s="15">
        <v>400</v>
      </c>
      <c r="H111" s="15">
        <f t="shared" si="10"/>
        <v>7200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6500</v>
      </c>
      <c r="F112" s="15">
        <v>300</v>
      </c>
      <c r="G112" s="15">
        <v>400</v>
      </c>
      <c r="H112" s="15">
        <f t="shared" si="10"/>
        <v>7200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6500</v>
      </c>
      <c r="F113" s="15">
        <v>400</v>
      </c>
      <c r="G113" s="15">
        <v>400</v>
      </c>
      <c r="H113" s="15">
        <f t="shared" si="10"/>
        <v>7300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622</v>
      </c>
      <c r="E114" s="15">
        <v>6500</v>
      </c>
      <c r="F114" s="15">
        <v>600</v>
      </c>
      <c r="G114" s="15">
        <v>400</v>
      </c>
      <c r="H114" s="15">
        <f t="shared" si="10"/>
        <v>7500</v>
      </c>
      <c r="I114" s="15">
        <f t="shared" si="11"/>
        <v>4665000</v>
      </c>
      <c r="J114" s="16"/>
      <c r="K114" s="15"/>
      <c r="L114" s="15">
        <f t="shared" si="6"/>
        <v>12440</v>
      </c>
      <c r="M114" s="16"/>
      <c r="N114" s="16"/>
      <c r="O114" s="15">
        <f t="shared" si="7"/>
        <v>155500</v>
      </c>
      <c r="P114" s="15">
        <f t="shared" si="8"/>
        <v>167940</v>
      </c>
      <c r="Q114" s="15">
        <f t="shared" si="9"/>
        <v>4497060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6500</v>
      </c>
      <c r="F115" s="15">
        <v>400</v>
      </c>
      <c r="G115" s="15">
        <v>400</v>
      </c>
      <c r="H115" s="15">
        <f t="shared" si="10"/>
        <v>7300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6500</v>
      </c>
      <c r="F116" s="15">
        <v>400</v>
      </c>
      <c r="G116" s="15">
        <v>400</v>
      </c>
      <c r="H116" s="15">
        <f t="shared" si="10"/>
        <v>7300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6500</v>
      </c>
      <c r="F117" s="15">
        <v>300</v>
      </c>
      <c r="G117" s="15">
        <v>400</v>
      </c>
      <c r="H117" s="15">
        <f t="shared" si="10"/>
        <v>7200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57</v>
      </c>
      <c r="E118" s="15">
        <v>6500</v>
      </c>
      <c r="F118" s="15">
        <v>500</v>
      </c>
      <c r="G118" s="15">
        <v>400</v>
      </c>
      <c r="H118" s="15">
        <f t="shared" si="10"/>
        <v>7400</v>
      </c>
      <c r="I118" s="15">
        <f t="shared" si="11"/>
        <v>421800</v>
      </c>
      <c r="J118" s="20"/>
      <c r="K118" s="15">
        <v>800000</v>
      </c>
      <c r="L118" s="15">
        <f t="shared" si="6"/>
        <v>1140</v>
      </c>
      <c r="M118" s="16"/>
      <c r="N118" s="16"/>
      <c r="O118" s="15">
        <f t="shared" si="7"/>
        <v>14250</v>
      </c>
      <c r="P118" s="15">
        <f t="shared" si="8"/>
        <v>815390</v>
      </c>
      <c r="Q118" s="15">
        <f t="shared" si="9"/>
        <v>-393590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286</v>
      </c>
      <c r="E119" s="15">
        <v>6500</v>
      </c>
      <c r="F119" s="15">
        <v>500</v>
      </c>
      <c r="G119" s="15">
        <v>400</v>
      </c>
      <c r="H119" s="15">
        <f t="shared" si="10"/>
        <v>7400</v>
      </c>
      <c r="I119" s="15">
        <f t="shared" si="11"/>
        <v>2116400</v>
      </c>
      <c r="J119" s="16"/>
      <c r="K119" s="15"/>
      <c r="L119" s="15">
        <f t="shared" si="6"/>
        <v>5720</v>
      </c>
      <c r="M119" s="16"/>
      <c r="N119" s="16"/>
      <c r="O119" s="15">
        <f t="shared" si="7"/>
        <v>71500</v>
      </c>
      <c r="P119" s="15">
        <f t="shared" si="8"/>
        <v>77220</v>
      </c>
      <c r="Q119" s="15">
        <f t="shared" si="9"/>
        <v>2039180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34</v>
      </c>
      <c r="E120" s="15">
        <v>6500</v>
      </c>
      <c r="F120" s="15">
        <v>600</v>
      </c>
      <c r="G120" s="15">
        <v>400</v>
      </c>
      <c r="H120" s="15">
        <f t="shared" si="10"/>
        <v>7500</v>
      </c>
      <c r="I120" s="15">
        <f t="shared" si="11"/>
        <v>255000</v>
      </c>
      <c r="J120" s="16"/>
      <c r="K120" s="15">
        <v>200000</v>
      </c>
      <c r="L120" s="15">
        <f t="shared" si="6"/>
        <v>680</v>
      </c>
      <c r="M120" s="16"/>
      <c r="N120" s="16"/>
      <c r="O120" s="15">
        <f t="shared" si="7"/>
        <v>8500</v>
      </c>
      <c r="P120" s="15">
        <f t="shared" si="8"/>
        <v>209180</v>
      </c>
      <c r="Q120" s="15">
        <f t="shared" si="9"/>
        <v>45820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172</v>
      </c>
      <c r="E121" s="15">
        <v>6500</v>
      </c>
      <c r="F121" s="15">
        <v>500</v>
      </c>
      <c r="G121" s="15">
        <v>400</v>
      </c>
      <c r="H121" s="15">
        <f t="shared" si="10"/>
        <v>7400</v>
      </c>
      <c r="I121" s="15">
        <f t="shared" si="11"/>
        <v>1272800</v>
      </c>
      <c r="J121" s="16"/>
      <c r="K121" s="15">
        <v>600000</v>
      </c>
      <c r="L121" s="15">
        <f t="shared" si="6"/>
        <v>3440</v>
      </c>
      <c r="M121" s="16"/>
      <c r="N121" s="16"/>
      <c r="O121" s="15">
        <f t="shared" si="7"/>
        <v>43000</v>
      </c>
      <c r="P121" s="15">
        <f t="shared" si="8"/>
        <v>646440</v>
      </c>
      <c r="Q121" s="15">
        <f t="shared" si="9"/>
        <v>626360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6500</v>
      </c>
      <c r="F122" s="15">
        <v>400</v>
      </c>
      <c r="G122" s="15">
        <v>400</v>
      </c>
      <c r="H122" s="15">
        <f t="shared" si="10"/>
        <v>7300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89</v>
      </c>
      <c r="E123" s="15">
        <v>6500</v>
      </c>
      <c r="F123" s="15">
        <v>400</v>
      </c>
      <c r="G123" s="15">
        <v>400</v>
      </c>
      <c r="H123" s="15">
        <f t="shared" si="10"/>
        <v>7300</v>
      </c>
      <c r="I123" s="15">
        <f t="shared" si="11"/>
        <v>649700</v>
      </c>
      <c r="J123" s="20"/>
      <c r="K123" s="15">
        <v>200000</v>
      </c>
      <c r="L123" s="15">
        <f t="shared" si="6"/>
        <v>1780</v>
      </c>
      <c r="M123" s="20"/>
      <c r="N123" s="20"/>
      <c r="O123" s="15">
        <f t="shared" si="7"/>
        <v>22250</v>
      </c>
      <c r="P123" s="15">
        <f t="shared" si="8"/>
        <v>224030</v>
      </c>
      <c r="Q123" s="15">
        <f t="shared" si="9"/>
        <v>425670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6500</v>
      </c>
      <c r="F124" s="15">
        <v>300</v>
      </c>
      <c r="G124" s="15">
        <v>400</v>
      </c>
      <c r="H124" s="15">
        <f t="shared" si="10"/>
        <v>7200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6500</v>
      </c>
      <c r="F125" s="15">
        <v>400</v>
      </c>
      <c r="G125" s="15">
        <v>400</v>
      </c>
      <c r="H125" s="15">
        <f t="shared" si="10"/>
        <v>7300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181</v>
      </c>
      <c r="E126" s="15">
        <v>6500</v>
      </c>
      <c r="F126" s="15">
        <v>400</v>
      </c>
      <c r="G126" s="15">
        <v>400</v>
      </c>
      <c r="H126" s="15">
        <f t="shared" si="10"/>
        <v>7300</v>
      </c>
      <c r="I126" s="15">
        <f t="shared" si="11"/>
        <v>1321300</v>
      </c>
      <c r="J126" s="16"/>
      <c r="K126" s="15">
        <v>200000</v>
      </c>
      <c r="L126" s="15">
        <f t="shared" si="6"/>
        <v>3620</v>
      </c>
      <c r="M126" s="20"/>
      <c r="N126" s="20"/>
      <c r="O126" s="15">
        <f t="shared" si="7"/>
        <v>45250</v>
      </c>
      <c r="P126" s="15">
        <f t="shared" si="8"/>
        <v>248870</v>
      </c>
      <c r="Q126" s="15">
        <f t="shared" si="9"/>
        <v>1072430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173</v>
      </c>
      <c r="E127" s="15">
        <v>6500</v>
      </c>
      <c r="F127" s="15">
        <v>500</v>
      </c>
      <c r="G127" s="15">
        <v>400</v>
      </c>
      <c r="H127" s="15">
        <f t="shared" si="10"/>
        <v>7400</v>
      </c>
      <c r="I127" s="15">
        <f t="shared" si="11"/>
        <v>1280200</v>
      </c>
      <c r="J127" s="20"/>
      <c r="K127" s="15"/>
      <c r="L127" s="15">
        <f t="shared" si="6"/>
        <v>3460</v>
      </c>
      <c r="M127" s="16"/>
      <c r="N127" s="16"/>
      <c r="O127" s="15">
        <f t="shared" si="7"/>
        <v>43250</v>
      </c>
      <c r="P127" s="15">
        <f t="shared" si="8"/>
        <v>46710</v>
      </c>
      <c r="Q127" s="15">
        <f t="shared" si="9"/>
        <v>1233490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142</v>
      </c>
      <c r="E128" s="15">
        <v>6500</v>
      </c>
      <c r="F128" s="15">
        <v>600</v>
      </c>
      <c r="G128" s="15">
        <v>400</v>
      </c>
      <c r="H128" s="15">
        <f t="shared" si="10"/>
        <v>7500</v>
      </c>
      <c r="I128" s="15">
        <f t="shared" si="11"/>
        <v>1065000</v>
      </c>
      <c r="J128" s="16"/>
      <c r="K128" s="15"/>
      <c r="L128" s="15">
        <f t="shared" si="6"/>
        <v>2840</v>
      </c>
      <c r="M128" s="16"/>
      <c r="N128" s="16"/>
      <c r="O128" s="15">
        <f t="shared" si="7"/>
        <v>35500</v>
      </c>
      <c r="P128" s="15">
        <f t="shared" si="8"/>
        <v>38340</v>
      </c>
      <c r="Q128" s="15">
        <f t="shared" si="9"/>
        <v>1026660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30</v>
      </c>
      <c r="E129" s="15">
        <v>6500</v>
      </c>
      <c r="F129" s="15">
        <v>600</v>
      </c>
      <c r="G129" s="15">
        <v>400</v>
      </c>
      <c r="H129" s="15">
        <f t="shared" si="10"/>
        <v>7500</v>
      </c>
      <c r="I129" s="15">
        <f t="shared" si="11"/>
        <v>225000</v>
      </c>
      <c r="J129" s="16"/>
      <c r="K129" s="23">
        <v>500000</v>
      </c>
      <c r="L129" s="15">
        <f t="shared" si="6"/>
        <v>600</v>
      </c>
      <c r="M129" s="16"/>
      <c r="N129" s="16"/>
      <c r="O129" s="15">
        <f t="shared" si="7"/>
        <v>7500</v>
      </c>
      <c r="P129" s="15">
        <f t="shared" si="8"/>
        <v>508100</v>
      </c>
      <c r="Q129" s="15">
        <f t="shared" si="9"/>
        <v>-283100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763</v>
      </c>
      <c r="E130" s="15">
        <v>6500</v>
      </c>
      <c r="F130" s="15">
        <v>500</v>
      </c>
      <c r="G130" s="15">
        <v>400</v>
      </c>
      <c r="H130" s="15">
        <f t="shared" si="10"/>
        <v>7400</v>
      </c>
      <c r="I130" s="15">
        <f t="shared" si="11"/>
        <v>5646200</v>
      </c>
      <c r="J130" s="16"/>
      <c r="K130" s="15">
        <v>600000</v>
      </c>
      <c r="L130" s="15">
        <f t="shared" si="6"/>
        <v>15260</v>
      </c>
      <c r="M130" s="20"/>
      <c r="N130" s="20"/>
      <c r="O130" s="15">
        <f t="shared" si="7"/>
        <v>190750</v>
      </c>
      <c r="P130" s="15">
        <f t="shared" si="8"/>
        <v>806010</v>
      </c>
      <c r="Q130" s="15">
        <f t="shared" si="9"/>
        <v>4840190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6500</v>
      </c>
      <c r="F131" s="15">
        <v>300</v>
      </c>
      <c r="G131" s="15">
        <v>400</v>
      </c>
      <c r="H131" s="15">
        <f t="shared" si="10"/>
        <v>7200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6500</v>
      </c>
      <c r="F132" s="15">
        <v>300</v>
      </c>
      <c r="G132" s="15">
        <v>400</v>
      </c>
      <c r="H132" s="15">
        <f t="shared" si="10"/>
        <v>7200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180</v>
      </c>
      <c r="E133" s="15">
        <v>6500</v>
      </c>
      <c r="F133" s="15">
        <v>500</v>
      </c>
      <c r="G133" s="15">
        <v>400</v>
      </c>
      <c r="H133" s="15">
        <f t="shared" si="10"/>
        <v>7400</v>
      </c>
      <c r="I133" s="15">
        <f t="shared" si="11"/>
        <v>1332000</v>
      </c>
      <c r="J133" s="16"/>
      <c r="K133" s="15">
        <v>200000</v>
      </c>
      <c r="L133" s="15">
        <f t="shared" ref="L133:L196" si="12">D133*20</f>
        <v>3600</v>
      </c>
      <c r="M133" s="20"/>
      <c r="N133" s="20"/>
      <c r="O133" s="15">
        <f t="shared" ref="O133:O196" si="13">250*D133</f>
        <v>45000</v>
      </c>
      <c r="P133" s="15">
        <f t="shared" ref="P133:P196" si="14">SUM(J133:O133)</f>
        <v>248600</v>
      </c>
      <c r="Q133" s="15">
        <f t="shared" ref="Q133:Q196" si="15">I133-P133</f>
        <v>1083400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142</v>
      </c>
      <c r="E134" s="15">
        <v>6500</v>
      </c>
      <c r="F134" s="15">
        <v>400</v>
      </c>
      <c r="G134" s="15">
        <v>400</v>
      </c>
      <c r="H134" s="15">
        <f t="shared" ref="H134:H197" si="16">SUM(E134:G134)</f>
        <v>7300</v>
      </c>
      <c r="I134" s="15">
        <f t="shared" ref="I134:I197" si="17">H134*D134</f>
        <v>1036600</v>
      </c>
      <c r="J134" s="20"/>
      <c r="K134" s="15">
        <v>100000</v>
      </c>
      <c r="L134" s="15">
        <f t="shared" si="12"/>
        <v>2840</v>
      </c>
      <c r="M134" s="20"/>
      <c r="N134" s="20"/>
      <c r="O134" s="15">
        <f t="shared" si="13"/>
        <v>35500</v>
      </c>
      <c r="P134" s="15">
        <f t="shared" si="14"/>
        <v>138340</v>
      </c>
      <c r="Q134" s="15">
        <f t="shared" si="15"/>
        <v>898260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6500</v>
      </c>
      <c r="F135" s="15">
        <v>400</v>
      </c>
      <c r="G135" s="15">
        <v>400</v>
      </c>
      <c r="H135" s="15">
        <f t="shared" si="16"/>
        <v>7300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6500</v>
      </c>
      <c r="F136" s="15">
        <v>300</v>
      </c>
      <c r="G136" s="15">
        <v>400</v>
      </c>
      <c r="H136" s="15">
        <f t="shared" si="16"/>
        <v>7200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6500</v>
      </c>
      <c r="F137" s="15">
        <v>300</v>
      </c>
      <c r="G137" s="15">
        <v>400</v>
      </c>
      <c r="H137" s="15">
        <f t="shared" si="16"/>
        <v>7200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6500</v>
      </c>
      <c r="F138" s="15">
        <v>300</v>
      </c>
      <c r="G138" s="15">
        <v>400</v>
      </c>
      <c r="H138" s="15">
        <f t="shared" si="16"/>
        <v>7200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192</v>
      </c>
      <c r="E139" s="15">
        <v>6500</v>
      </c>
      <c r="F139" s="15">
        <v>500</v>
      </c>
      <c r="G139" s="15">
        <v>400</v>
      </c>
      <c r="H139" s="15">
        <f t="shared" si="16"/>
        <v>7400</v>
      </c>
      <c r="I139" s="15">
        <f t="shared" si="17"/>
        <v>1420800</v>
      </c>
      <c r="J139" s="16"/>
      <c r="K139" s="15">
        <v>800000</v>
      </c>
      <c r="L139" s="15">
        <f t="shared" si="12"/>
        <v>3840</v>
      </c>
      <c r="M139" s="16"/>
      <c r="N139" s="16"/>
      <c r="O139" s="15">
        <f t="shared" si="13"/>
        <v>48000</v>
      </c>
      <c r="P139" s="15">
        <f t="shared" si="14"/>
        <v>851840</v>
      </c>
      <c r="Q139" s="15">
        <f t="shared" si="15"/>
        <v>568960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6500</v>
      </c>
      <c r="F140" s="15">
        <v>400</v>
      </c>
      <c r="G140" s="15">
        <v>400</v>
      </c>
      <c r="H140" s="15">
        <f t="shared" si="16"/>
        <v>7300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6500</v>
      </c>
      <c r="F141" s="15">
        <v>300</v>
      </c>
      <c r="G141" s="15">
        <v>400</v>
      </c>
      <c r="H141" s="15">
        <f t="shared" si="16"/>
        <v>7200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6500</v>
      </c>
      <c r="F142" s="15">
        <v>300</v>
      </c>
      <c r="G142" s="15">
        <v>400</v>
      </c>
      <c r="H142" s="15">
        <f t="shared" si="16"/>
        <v>7200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6500</v>
      </c>
      <c r="F143" s="15">
        <v>300</v>
      </c>
      <c r="G143" s="15">
        <v>400</v>
      </c>
      <c r="H143" s="15">
        <f t="shared" si="16"/>
        <v>7200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6500</v>
      </c>
      <c r="F144" s="15">
        <v>500</v>
      </c>
      <c r="G144" s="15">
        <v>400</v>
      </c>
      <c r="H144" s="15">
        <f t="shared" si="16"/>
        <v>7400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22</v>
      </c>
      <c r="E145" s="15">
        <v>6500</v>
      </c>
      <c r="F145" s="15">
        <v>400</v>
      </c>
      <c r="G145" s="15">
        <v>400</v>
      </c>
      <c r="H145" s="15">
        <f t="shared" si="16"/>
        <v>7300</v>
      </c>
      <c r="I145" s="15">
        <f t="shared" si="17"/>
        <v>160600</v>
      </c>
      <c r="J145" s="16"/>
      <c r="K145" s="15"/>
      <c r="L145" s="15">
        <f t="shared" si="12"/>
        <v>440</v>
      </c>
      <c r="M145" s="16"/>
      <c r="N145" s="16"/>
      <c r="O145" s="15">
        <f t="shared" si="13"/>
        <v>5500</v>
      </c>
      <c r="P145" s="15">
        <f t="shared" si="14"/>
        <v>5940</v>
      </c>
      <c r="Q145" s="15">
        <f t="shared" si="15"/>
        <v>154660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101</v>
      </c>
      <c r="E146" s="15">
        <v>6500</v>
      </c>
      <c r="F146" s="15">
        <v>400</v>
      </c>
      <c r="G146" s="15">
        <v>400</v>
      </c>
      <c r="H146" s="15">
        <f t="shared" si="16"/>
        <v>7300</v>
      </c>
      <c r="I146" s="15">
        <f t="shared" si="17"/>
        <v>737300</v>
      </c>
      <c r="J146" s="16"/>
      <c r="K146" s="15"/>
      <c r="L146" s="15">
        <f t="shared" si="12"/>
        <v>2020</v>
      </c>
      <c r="M146" s="16"/>
      <c r="N146" s="16"/>
      <c r="O146" s="15">
        <f t="shared" si="13"/>
        <v>25250</v>
      </c>
      <c r="P146" s="15">
        <f t="shared" si="14"/>
        <v>27270</v>
      </c>
      <c r="Q146" s="15">
        <f t="shared" si="15"/>
        <v>710030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6500</v>
      </c>
      <c r="F147" s="15">
        <v>300</v>
      </c>
      <c r="G147" s="15">
        <v>400</v>
      </c>
      <c r="H147" s="15">
        <f t="shared" si="16"/>
        <v>7200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6500</v>
      </c>
      <c r="F148" s="15">
        <v>300</v>
      </c>
      <c r="G148" s="15">
        <v>400</v>
      </c>
      <c r="H148" s="15">
        <f t="shared" si="16"/>
        <v>7200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261</v>
      </c>
      <c r="E149" s="15">
        <v>6500</v>
      </c>
      <c r="F149" s="15">
        <v>600</v>
      </c>
      <c r="G149" s="15">
        <v>400</v>
      </c>
      <c r="H149" s="15">
        <f t="shared" si="16"/>
        <v>7500</v>
      </c>
      <c r="I149" s="15">
        <f t="shared" si="17"/>
        <v>1957500</v>
      </c>
      <c r="J149" s="16"/>
      <c r="K149" s="15"/>
      <c r="L149" s="15">
        <f t="shared" si="12"/>
        <v>5220</v>
      </c>
      <c r="M149" s="16"/>
      <c r="N149" s="16"/>
      <c r="O149" s="15">
        <f t="shared" si="13"/>
        <v>65250</v>
      </c>
      <c r="P149" s="15">
        <f t="shared" si="14"/>
        <v>70470</v>
      </c>
      <c r="Q149" s="15">
        <f t="shared" si="15"/>
        <v>1887030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6500</v>
      </c>
      <c r="F150" s="15">
        <v>300</v>
      </c>
      <c r="G150" s="15">
        <v>400</v>
      </c>
      <c r="H150" s="15">
        <f t="shared" si="16"/>
        <v>7200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6500</v>
      </c>
      <c r="F151" s="15">
        <v>300</v>
      </c>
      <c r="G151" s="15">
        <v>400</v>
      </c>
      <c r="H151" s="15">
        <f t="shared" si="16"/>
        <v>7200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6500</v>
      </c>
      <c r="F152" s="15">
        <v>300</v>
      </c>
      <c r="G152" s="15">
        <v>400</v>
      </c>
      <c r="H152" s="15">
        <f t="shared" si="16"/>
        <v>7200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6500</v>
      </c>
      <c r="F153" s="15">
        <v>300</v>
      </c>
      <c r="G153" s="15">
        <v>400</v>
      </c>
      <c r="H153" s="15">
        <f t="shared" si="16"/>
        <v>7200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6500</v>
      </c>
      <c r="F154" s="15">
        <v>300</v>
      </c>
      <c r="G154" s="15">
        <v>400</v>
      </c>
      <c r="H154" s="15">
        <f t="shared" si="16"/>
        <v>7200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6500</v>
      </c>
      <c r="F155" s="15">
        <v>300</v>
      </c>
      <c r="G155" s="15">
        <v>400</v>
      </c>
      <c r="H155" s="15">
        <f t="shared" si="16"/>
        <v>7200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41</v>
      </c>
      <c r="E156" s="15">
        <v>6500</v>
      </c>
      <c r="F156" s="15">
        <v>400</v>
      </c>
      <c r="G156" s="15">
        <v>400</v>
      </c>
      <c r="H156" s="15">
        <f t="shared" si="16"/>
        <v>7300</v>
      </c>
      <c r="I156" s="15">
        <f t="shared" si="17"/>
        <v>299300</v>
      </c>
      <c r="J156" s="16"/>
      <c r="K156" s="15">
        <v>200000</v>
      </c>
      <c r="L156" s="15">
        <f t="shared" si="12"/>
        <v>820</v>
      </c>
      <c r="M156" s="20"/>
      <c r="N156" s="20"/>
      <c r="O156" s="15">
        <f t="shared" si="13"/>
        <v>10250</v>
      </c>
      <c r="P156" s="15">
        <f t="shared" si="14"/>
        <v>211070</v>
      </c>
      <c r="Q156" s="15">
        <f t="shared" si="15"/>
        <v>88230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88</v>
      </c>
      <c r="E157" s="15">
        <v>6500</v>
      </c>
      <c r="F157" s="15">
        <v>500</v>
      </c>
      <c r="G157" s="15">
        <v>400</v>
      </c>
      <c r="H157" s="15">
        <f t="shared" si="16"/>
        <v>7400</v>
      </c>
      <c r="I157" s="15">
        <f t="shared" si="17"/>
        <v>651200</v>
      </c>
      <c r="J157" s="20"/>
      <c r="K157" s="15"/>
      <c r="L157" s="15">
        <f t="shared" si="12"/>
        <v>1760</v>
      </c>
      <c r="M157" s="16"/>
      <c r="N157" s="16"/>
      <c r="O157" s="15">
        <f t="shared" si="13"/>
        <v>22000</v>
      </c>
      <c r="P157" s="15">
        <f t="shared" si="14"/>
        <v>23760</v>
      </c>
      <c r="Q157" s="15">
        <f t="shared" si="15"/>
        <v>627440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6500</v>
      </c>
      <c r="F158" s="15">
        <v>300</v>
      </c>
      <c r="G158" s="15">
        <v>400</v>
      </c>
      <c r="H158" s="15">
        <f t="shared" si="16"/>
        <v>7200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6500</v>
      </c>
      <c r="F159" s="15">
        <v>300</v>
      </c>
      <c r="G159" s="15">
        <v>400</v>
      </c>
      <c r="H159" s="15">
        <f t="shared" si="16"/>
        <v>7200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6500</v>
      </c>
      <c r="F160" s="15">
        <v>400</v>
      </c>
      <c r="G160" s="15">
        <v>400</v>
      </c>
      <c r="H160" s="15">
        <f t="shared" si="16"/>
        <v>7300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6500</v>
      </c>
      <c r="F161" s="15">
        <v>300</v>
      </c>
      <c r="G161" s="15">
        <v>400</v>
      </c>
      <c r="H161" s="15">
        <f t="shared" si="16"/>
        <v>7200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6500</v>
      </c>
      <c r="F162" s="15">
        <v>300</v>
      </c>
      <c r="G162" s="15">
        <v>400</v>
      </c>
      <c r="H162" s="15">
        <f t="shared" si="16"/>
        <v>7200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6500</v>
      </c>
      <c r="F163" s="15">
        <v>300</v>
      </c>
      <c r="G163" s="15">
        <v>400</v>
      </c>
      <c r="H163" s="15">
        <f t="shared" si="16"/>
        <v>7200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6500</v>
      </c>
      <c r="F164" s="15">
        <v>300</v>
      </c>
      <c r="G164" s="15">
        <v>400</v>
      </c>
      <c r="H164" s="15">
        <f t="shared" si="16"/>
        <v>7200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152</v>
      </c>
      <c r="E165" s="15">
        <v>6500</v>
      </c>
      <c r="F165" s="15">
        <v>500</v>
      </c>
      <c r="G165" s="15">
        <v>400</v>
      </c>
      <c r="H165" s="15">
        <f t="shared" si="16"/>
        <v>7400</v>
      </c>
      <c r="I165" s="15">
        <f t="shared" si="17"/>
        <v>1124800</v>
      </c>
      <c r="J165" s="16"/>
      <c r="K165" s="15">
        <v>800000</v>
      </c>
      <c r="L165" s="15">
        <f t="shared" si="12"/>
        <v>3040</v>
      </c>
      <c r="M165" s="20"/>
      <c r="N165" s="20"/>
      <c r="O165" s="15">
        <f t="shared" si="13"/>
        <v>38000</v>
      </c>
      <c r="P165" s="15">
        <f t="shared" si="14"/>
        <v>841040</v>
      </c>
      <c r="Q165" s="15">
        <f t="shared" si="15"/>
        <v>283760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6500</v>
      </c>
      <c r="F166" s="15">
        <v>300</v>
      </c>
      <c r="G166" s="15">
        <v>400</v>
      </c>
      <c r="H166" s="15">
        <f t="shared" si="16"/>
        <v>7200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6500</v>
      </c>
      <c r="F167" s="15">
        <v>300</v>
      </c>
      <c r="G167" s="15">
        <v>400</v>
      </c>
      <c r="H167" s="15">
        <f t="shared" si="16"/>
        <v>7200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6500</v>
      </c>
      <c r="F168" s="15">
        <v>300</v>
      </c>
      <c r="G168" s="15">
        <v>400</v>
      </c>
      <c r="H168" s="15">
        <f t="shared" si="16"/>
        <v>7200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290</v>
      </c>
      <c r="E169" s="15">
        <v>6500</v>
      </c>
      <c r="F169" s="15">
        <v>500</v>
      </c>
      <c r="G169" s="15">
        <v>400</v>
      </c>
      <c r="H169" s="15">
        <f t="shared" si="16"/>
        <v>7400</v>
      </c>
      <c r="I169" s="15">
        <f t="shared" si="17"/>
        <v>2146000</v>
      </c>
      <c r="J169" s="16"/>
      <c r="K169" s="15">
        <v>1400000</v>
      </c>
      <c r="L169" s="15">
        <f t="shared" si="12"/>
        <v>5800</v>
      </c>
      <c r="M169" s="16"/>
      <c r="N169" s="16"/>
      <c r="O169" s="15">
        <f t="shared" si="13"/>
        <v>72500</v>
      </c>
      <c r="P169" s="15">
        <f t="shared" si="14"/>
        <v>1478300</v>
      </c>
      <c r="Q169" s="15">
        <f t="shared" si="15"/>
        <v>667700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6500</v>
      </c>
      <c r="F170" s="15">
        <v>500</v>
      </c>
      <c r="G170" s="15">
        <v>400</v>
      </c>
      <c r="H170" s="15">
        <f t="shared" si="16"/>
        <v>7400</v>
      </c>
      <c r="I170" s="15">
        <f t="shared" si="17"/>
        <v>0</v>
      </c>
      <c r="J170" s="16"/>
      <c r="K170" s="24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6500</v>
      </c>
      <c r="F171" s="15">
        <v>400</v>
      </c>
      <c r="G171" s="15">
        <v>400</v>
      </c>
      <c r="H171" s="15">
        <f t="shared" si="16"/>
        <v>7300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6500</v>
      </c>
      <c r="F172" s="15">
        <v>300</v>
      </c>
      <c r="G172" s="15">
        <v>400</v>
      </c>
      <c r="H172" s="15">
        <f t="shared" si="16"/>
        <v>7200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6500</v>
      </c>
      <c r="F173" s="15">
        <v>300</v>
      </c>
      <c r="G173" s="15">
        <v>400</v>
      </c>
      <c r="H173" s="15">
        <f t="shared" si="16"/>
        <v>7200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6500</v>
      </c>
      <c r="F174" s="15">
        <v>300</v>
      </c>
      <c r="G174" s="15">
        <v>400</v>
      </c>
      <c r="H174" s="15">
        <f t="shared" si="16"/>
        <v>7200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288</v>
      </c>
      <c r="E175" s="15">
        <v>6500</v>
      </c>
      <c r="F175" s="15">
        <v>600</v>
      </c>
      <c r="G175" s="15">
        <v>400</v>
      </c>
      <c r="H175" s="15">
        <f t="shared" si="16"/>
        <v>7500</v>
      </c>
      <c r="I175" s="15">
        <f t="shared" si="17"/>
        <v>2160000</v>
      </c>
      <c r="J175" s="16"/>
      <c r="K175" s="15">
        <v>300000</v>
      </c>
      <c r="L175" s="15">
        <f t="shared" si="12"/>
        <v>5760</v>
      </c>
      <c r="M175" s="16"/>
      <c r="N175" s="16"/>
      <c r="O175" s="15">
        <f t="shared" si="13"/>
        <v>72000</v>
      </c>
      <c r="P175" s="15">
        <f t="shared" si="14"/>
        <v>377760</v>
      </c>
      <c r="Q175" s="15">
        <f t="shared" si="15"/>
        <v>1782240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6500</v>
      </c>
      <c r="F176" s="15">
        <v>300</v>
      </c>
      <c r="G176" s="15">
        <v>400</v>
      </c>
      <c r="H176" s="15">
        <f t="shared" si="16"/>
        <v>7200</v>
      </c>
      <c r="I176" s="15">
        <f t="shared" si="17"/>
        <v>0</v>
      </c>
      <c r="J176" s="16"/>
      <c r="K176" s="15">
        <v>100000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100000</v>
      </c>
      <c r="Q176" s="15">
        <f t="shared" si="15"/>
        <v>-100000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6500</v>
      </c>
      <c r="F177" s="15">
        <v>300</v>
      </c>
      <c r="G177" s="15">
        <v>400</v>
      </c>
      <c r="H177" s="15">
        <f t="shared" si="16"/>
        <v>7200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6500</v>
      </c>
      <c r="F178" s="15">
        <v>300</v>
      </c>
      <c r="G178" s="15">
        <v>400</v>
      </c>
      <c r="H178" s="15">
        <f t="shared" si="16"/>
        <v>7200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6500</v>
      </c>
      <c r="F179" s="15">
        <v>300</v>
      </c>
      <c r="G179" s="15">
        <v>400</v>
      </c>
      <c r="H179" s="15">
        <f t="shared" si="16"/>
        <v>7200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6500</v>
      </c>
      <c r="F180" s="15">
        <v>400</v>
      </c>
      <c r="G180" s="15">
        <v>400</v>
      </c>
      <c r="H180" s="15">
        <f t="shared" si="16"/>
        <v>7300</v>
      </c>
      <c r="I180" s="15">
        <f t="shared" si="17"/>
        <v>0</v>
      </c>
      <c r="J180" s="16"/>
      <c r="K180" s="15">
        <v>600000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600000</v>
      </c>
      <c r="Q180" s="15">
        <f t="shared" si="15"/>
        <v>-600000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6500</v>
      </c>
      <c r="F181" s="15">
        <v>300</v>
      </c>
      <c r="G181" s="15">
        <v>400</v>
      </c>
      <c r="H181" s="15">
        <f t="shared" si="16"/>
        <v>7200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18</v>
      </c>
      <c r="E182" s="15">
        <v>6500</v>
      </c>
      <c r="F182" s="15">
        <v>600</v>
      </c>
      <c r="G182" s="15">
        <v>400</v>
      </c>
      <c r="H182" s="15">
        <f t="shared" si="16"/>
        <v>7500</v>
      </c>
      <c r="I182" s="15">
        <f t="shared" si="17"/>
        <v>135000</v>
      </c>
      <c r="J182" s="16"/>
      <c r="K182" s="15"/>
      <c r="L182" s="15">
        <f t="shared" si="12"/>
        <v>360</v>
      </c>
      <c r="M182" s="20"/>
      <c r="N182" s="20"/>
      <c r="O182" s="15">
        <f t="shared" si="13"/>
        <v>4500</v>
      </c>
      <c r="P182" s="15">
        <f t="shared" si="14"/>
        <v>4860</v>
      </c>
      <c r="Q182" s="15">
        <f t="shared" si="15"/>
        <v>130140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6500</v>
      </c>
      <c r="F183" s="15">
        <v>300</v>
      </c>
      <c r="G183" s="15">
        <v>400</v>
      </c>
      <c r="H183" s="15">
        <f t="shared" si="16"/>
        <v>7200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6500</v>
      </c>
      <c r="F184" s="15">
        <v>400</v>
      </c>
      <c r="G184" s="15">
        <v>400</v>
      </c>
      <c r="H184" s="15">
        <f t="shared" si="16"/>
        <v>7300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164</v>
      </c>
      <c r="E185" s="15">
        <v>6500</v>
      </c>
      <c r="F185" s="15">
        <v>600</v>
      </c>
      <c r="G185" s="15">
        <v>400</v>
      </c>
      <c r="H185" s="15">
        <f t="shared" si="16"/>
        <v>7500</v>
      </c>
      <c r="I185" s="15">
        <f t="shared" si="17"/>
        <v>1230000</v>
      </c>
      <c r="J185" s="16"/>
      <c r="K185" s="15">
        <v>600000</v>
      </c>
      <c r="L185" s="15">
        <f t="shared" si="12"/>
        <v>3280</v>
      </c>
      <c r="M185" s="20"/>
      <c r="N185" s="20"/>
      <c r="O185" s="15">
        <f t="shared" si="13"/>
        <v>41000</v>
      </c>
      <c r="P185" s="15">
        <f t="shared" si="14"/>
        <v>644280</v>
      </c>
      <c r="Q185" s="15">
        <f t="shared" si="15"/>
        <v>585720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6500</v>
      </c>
      <c r="F186" s="15">
        <v>300</v>
      </c>
      <c r="G186" s="15">
        <v>400</v>
      </c>
      <c r="H186" s="15">
        <f t="shared" si="16"/>
        <v>7200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161</v>
      </c>
      <c r="E187" s="15">
        <v>6500</v>
      </c>
      <c r="F187" s="15">
        <v>300</v>
      </c>
      <c r="G187" s="15">
        <v>400</v>
      </c>
      <c r="H187" s="15">
        <f t="shared" si="16"/>
        <v>7200</v>
      </c>
      <c r="I187" s="15">
        <f t="shared" si="17"/>
        <v>1159200</v>
      </c>
      <c r="J187" s="16"/>
      <c r="K187" s="15"/>
      <c r="L187" s="15">
        <f t="shared" si="12"/>
        <v>3220</v>
      </c>
      <c r="M187" s="20"/>
      <c r="N187" s="20"/>
      <c r="O187" s="15">
        <f t="shared" si="13"/>
        <v>40250</v>
      </c>
      <c r="P187" s="15">
        <f t="shared" si="14"/>
        <v>43470</v>
      </c>
      <c r="Q187" s="15">
        <f t="shared" si="15"/>
        <v>1115730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6500</v>
      </c>
      <c r="F188" s="15">
        <v>400</v>
      </c>
      <c r="G188" s="15">
        <v>400</v>
      </c>
      <c r="H188" s="15">
        <f t="shared" si="16"/>
        <v>7300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186</v>
      </c>
      <c r="E189" s="15">
        <v>6500</v>
      </c>
      <c r="F189" s="15">
        <v>200</v>
      </c>
      <c r="G189" s="15">
        <v>400</v>
      </c>
      <c r="H189" s="15">
        <f t="shared" si="16"/>
        <v>7100</v>
      </c>
      <c r="I189" s="15">
        <f t="shared" si="17"/>
        <v>1320600</v>
      </c>
      <c r="J189" s="20"/>
      <c r="K189" s="15"/>
      <c r="L189" s="15">
        <f t="shared" si="12"/>
        <v>3720</v>
      </c>
      <c r="M189" s="20"/>
      <c r="N189" s="20"/>
      <c r="O189" s="15">
        <f t="shared" si="13"/>
        <v>46500</v>
      </c>
      <c r="P189" s="15">
        <f t="shared" si="14"/>
        <v>50220</v>
      </c>
      <c r="Q189" s="15">
        <f t="shared" si="15"/>
        <v>1270380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6500</v>
      </c>
      <c r="F190" s="15">
        <v>300</v>
      </c>
      <c r="G190" s="15">
        <v>400</v>
      </c>
      <c r="H190" s="15">
        <f t="shared" si="16"/>
        <v>7200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6500</v>
      </c>
      <c r="F191" s="15">
        <v>300</v>
      </c>
      <c r="G191" s="15">
        <v>400</v>
      </c>
      <c r="H191" s="15">
        <f t="shared" si="16"/>
        <v>7200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6500</v>
      </c>
      <c r="F192" s="15">
        <v>300</v>
      </c>
      <c r="G192" s="15">
        <v>400</v>
      </c>
      <c r="H192" s="15">
        <f t="shared" si="16"/>
        <v>7200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185</v>
      </c>
      <c r="E193" s="15">
        <v>6500</v>
      </c>
      <c r="F193" s="15">
        <v>500</v>
      </c>
      <c r="G193" s="15">
        <v>400</v>
      </c>
      <c r="H193" s="15">
        <f t="shared" si="16"/>
        <v>7400</v>
      </c>
      <c r="I193" s="15">
        <f t="shared" si="17"/>
        <v>1369000</v>
      </c>
      <c r="J193" s="16"/>
      <c r="K193" s="15">
        <v>200000</v>
      </c>
      <c r="L193" s="15">
        <f t="shared" si="12"/>
        <v>3700</v>
      </c>
      <c r="M193" s="16"/>
      <c r="N193" s="16"/>
      <c r="O193" s="15">
        <f t="shared" si="13"/>
        <v>46250</v>
      </c>
      <c r="P193" s="15">
        <f t="shared" si="14"/>
        <v>249950</v>
      </c>
      <c r="Q193" s="15">
        <f t="shared" si="15"/>
        <v>1119050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6500</v>
      </c>
      <c r="F194" s="15">
        <v>300</v>
      </c>
      <c r="G194" s="15">
        <v>400</v>
      </c>
      <c r="H194" s="15">
        <f t="shared" si="16"/>
        <v>7200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6500</v>
      </c>
      <c r="F195" s="15">
        <v>400</v>
      </c>
      <c r="G195" s="15">
        <v>400</v>
      </c>
      <c r="H195" s="15">
        <f t="shared" si="16"/>
        <v>7300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6500</v>
      </c>
      <c r="F196" s="15">
        <v>300</v>
      </c>
      <c r="G196" s="15">
        <v>400</v>
      </c>
      <c r="H196" s="15">
        <f t="shared" si="16"/>
        <v>7200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6500</v>
      </c>
      <c r="F197" s="15">
        <v>300</v>
      </c>
      <c r="G197" s="15">
        <v>400</v>
      </c>
      <c r="H197" s="15">
        <f t="shared" si="16"/>
        <v>7200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6500</v>
      </c>
      <c r="F198" s="15">
        <v>400</v>
      </c>
      <c r="G198" s="15">
        <v>400</v>
      </c>
      <c r="H198" s="15">
        <f t="shared" ref="H198:H261" si="22">SUM(E198:G198)</f>
        <v>7300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6500</v>
      </c>
      <c r="F199" s="15">
        <v>300</v>
      </c>
      <c r="G199" s="15">
        <v>400</v>
      </c>
      <c r="H199" s="15">
        <f t="shared" si="22"/>
        <v>7200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14</v>
      </c>
      <c r="E200" s="15">
        <v>6500</v>
      </c>
      <c r="F200" s="15">
        <v>400</v>
      </c>
      <c r="G200" s="15">
        <v>400</v>
      </c>
      <c r="H200" s="15">
        <f t="shared" si="22"/>
        <v>7300</v>
      </c>
      <c r="I200" s="15">
        <f t="shared" si="23"/>
        <v>102200</v>
      </c>
      <c r="J200" s="16"/>
      <c r="K200" s="15">
        <v>200000</v>
      </c>
      <c r="L200" s="15">
        <f t="shared" si="18"/>
        <v>280</v>
      </c>
      <c r="M200" s="16"/>
      <c r="N200" s="16"/>
      <c r="O200" s="15">
        <f t="shared" si="19"/>
        <v>3500</v>
      </c>
      <c r="P200" s="15">
        <f t="shared" si="20"/>
        <v>203780</v>
      </c>
      <c r="Q200" s="15">
        <f t="shared" si="21"/>
        <v>-101580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6500</v>
      </c>
      <c r="F201" s="15">
        <v>300</v>
      </c>
      <c r="G201" s="15">
        <v>400</v>
      </c>
      <c r="H201" s="15">
        <f t="shared" si="22"/>
        <v>7200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6500</v>
      </c>
      <c r="F202" s="15">
        <v>400</v>
      </c>
      <c r="G202" s="15">
        <v>400</v>
      </c>
      <c r="H202" s="15">
        <f t="shared" si="22"/>
        <v>7300</v>
      </c>
      <c r="I202" s="15">
        <f t="shared" si="23"/>
        <v>0</v>
      </c>
      <c r="J202" s="16"/>
      <c r="K202" s="15">
        <v>200000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200000</v>
      </c>
      <c r="Q202" s="15">
        <f t="shared" si="21"/>
        <v>-200000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68</v>
      </c>
      <c r="E203" s="15">
        <v>6500</v>
      </c>
      <c r="F203" s="15">
        <v>600</v>
      </c>
      <c r="G203" s="15">
        <v>400</v>
      </c>
      <c r="H203" s="15">
        <f t="shared" si="22"/>
        <v>7500</v>
      </c>
      <c r="I203" s="15">
        <f t="shared" si="23"/>
        <v>510000</v>
      </c>
      <c r="J203" s="16"/>
      <c r="K203" s="15">
        <v>400000</v>
      </c>
      <c r="L203" s="15">
        <f t="shared" si="18"/>
        <v>1360</v>
      </c>
      <c r="M203" s="20"/>
      <c r="N203" s="20"/>
      <c r="O203" s="15">
        <f t="shared" si="19"/>
        <v>17000</v>
      </c>
      <c r="P203" s="15">
        <f t="shared" si="20"/>
        <v>418360</v>
      </c>
      <c r="Q203" s="15">
        <f t="shared" si="21"/>
        <v>91640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6500</v>
      </c>
      <c r="F204" s="15">
        <v>300</v>
      </c>
      <c r="G204" s="15">
        <v>400</v>
      </c>
      <c r="H204" s="15">
        <f t="shared" si="22"/>
        <v>7200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6500</v>
      </c>
      <c r="F205" s="15">
        <v>300</v>
      </c>
      <c r="G205" s="15">
        <v>400</v>
      </c>
      <c r="H205" s="15">
        <f t="shared" si="22"/>
        <v>7200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6500</v>
      </c>
      <c r="F206" s="15">
        <v>500</v>
      </c>
      <c r="G206" s="15">
        <v>400</v>
      </c>
      <c r="H206" s="15">
        <f t="shared" si="22"/>
        <v>7400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6500</v>
      </c>
      <c r="F207" s="15">
        <v>400</v>
      </c>
      <c r="G207" s="15">
        <v>400</v>
      </c>
      <c r="H207" s="15">
        <f t="shared" si="22"/>
        <v>7300</v>
      </c>
      <c r="I207" s="15">
        <f t="shared" si="23"/>
        <v>0</v>
      </c>
      <c r="J207" s="16"/>
      <c r="K207" s="15">
        <v>200000</v>
      </c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200000</v>
      </c>
      <c r="Q207" s="15">
        <f t="shared" si="21"/>
        <v>-200000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6500</v>
      </c>
      <c r="F208" s="15">
        <v>300</v>
      </c>
      <c r="G208" s="15">
        <v>400</v>
      </c>
      <c r="H208" s="15">
        <f t="shared" si="22"/>
        <v>7200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6500</v>
      </c>
      <c r="F209" s="15">
        <v>300</v>
      </c>
      <c r="G209" s="15">
        <v>400</v>
      </c>
      <c r="H209" s="15">
        <f t="shared" si="22"/>
        <v>7200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6500</v>
      </c>
      <c r="F210" s="15">
        <v>300</v>
      </c>
      <c r="G210" s="15">
        <v>400</v>
      </c>
      <c r="H210" s="15">
        <f t="shared" si="22"/>
        <v>7200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138</v>
      </c>
      <c r="E211" s="15">
        <v>6500</v>
      </c>
      <c r="F211" s="15">
        <v>600</v>
      </c>
      <c r="G211" s="15">
        <v>400</v>
      </c>
      <c r="H211" s="15">
        <f t="shared" si="22"/>
        <v>7500</v>
      </c>
      <c r="I211" s="15">
        <f t="shared" si="23"/>
        <v>1035000</v>
      </c>
      <c r="J211" s="16">
        <v>100000</v>
      </c>
      <c r="K211" s="15">
        <v>200000</v>
      </c>
      <c r="L211" s="15">
        <f t="shared" si="18"/>
        <v>2760</v>
      </c>
      <c r="M211" s="16"/>
      <c r="N211" s="16"/>
      <c r="O211" s="15">
        <f t="shared" si="19"/>
        <v>34500</v>
      </c>
      <c r="P211" s="15">
        <f t="shared" si="20"/>
        <v>337260</v>
      </c>
      <c r="Q211" s="15">
        <f t="shared" si="21"/>
        <v>697740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6500</v>
      </c>
      <c r="F212" s="15">
        <v>300</v>
      </c>
      <c r="G212" s="15">
        <v>400</v>
      </c>
      <c r="H212" s="15">
        <f t="shared" si="22"/>
        <v>7200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6500</v>
      </c>
      <c r="F213" s="15">
        <v>400</v>
      </c>
      <c r="G213" s="15">
        <v>400</v>
      </c>
      <c r="H213" s="15">
        <f t="shared" si="22"/>
        <v>7300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6500</v>
      </c>
      <c r="F214" s="15">
        <v>300</v>
      </c>
      <c r="G214" s="15">
        <v>400</v>
      </c>
      <c r="H214" s="15">
        <f t="shared" si="22"/>
        <v>7200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6500</v>
      </c>
      <c r="F215" s="15">
        <v>300</v>
      </c>
      <c r="G215" s="15">
        <v>400</v>
      </c>
      <c r="H215" s="15">
        <f t="shared" si="22"/>
        <v>7200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6500</v>
      </c>
      <c r="F216" s="15">
        <v>300</v>
      </c>
      <c r="G216" s="15">
        <v>400</v>
      </c>
      <c r="H216" s="15">
        <f t="shared" si="22"/>
        <v>7200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6500</v>
      </c>
      <c r="F217" s="15">
        <v>300</v>
      </c>
      <c r="G217" s="15">
        <v>400</v>
      </c>
      <c r="H217" s="15">
        <f t="shared" si="22"/>
        <v>7200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6500</v>
      </c>
      <c r="F218" s="15">
        <v>400</v>
      </c>
      <c r="G218" s="15">
        <v>400</v>
      </c>
      <c r="H218" s="15">
        <f t="shared" si="22"/>
        <v>7300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6500</v>
      </c>
      <c r="F219" s="15">
        <v>300</v>
      </c>
      <c r="G219" s="15">
        <v>400</v>
      </c>
      <c r="H219" s="15">
        <f t="shared" si="22"/>
        <v>7200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169</v>
      </c>
      <c r="E220" s="15">
        <v>6500</v>
      </c>
      <c r="F220" s="15">
        <v>600</v>
      </c>
      <c r="G220" s="15">
        <v>400</v>
      </c>
      <c r="H220" s="15">
        <f t="shared" si="22"/>
        <v>7500</v>
      </c>
      <c r="I220" s="15">
        <f t="shared" si="23"/>
        <v>1267500</v>
      </c>
      <c r="J220" s="16"/>
      <c r="K220" s="15">
        <v>200000</v>
      </c>
      <c r="L220" s="15">
        <f t="shared" si="18"/>
        <v>3380</v>
      </c>
      <c r="M220" s="16"/>
      <c r="N220" s="16"/>
      <c r="O220" s="15">
        <f t="shared" si="19"/>
        <v>42250</v>
      </c>
      <c r="P220" s="15">
        <f t="shared" si="20"/>
        <v>245630</v>
      </c>
      <c r="Q220" s="15">
        <f t="shared" si="21"/>
        <v>1021870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6500</v>
      </c>
      <c r="F221" s="15">
        <v>300</v>
      </c>
      <c r="G221" s="15">
        <v>400</v>
      </c>
      <c r="H221" s="15">
        <f t="shared" si="22"/>
        <v>7200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103</v>
      </c>
      <c r="E222" s="15">
        <v>6500</v>
      </c>
      <c r="F222" s="15">
        <v>500</v>
      </c>
      <c r="G222" s="15">
        <v>400</v>
      </c>
      <c r="H222" s="15">
        <f t="shared" si="22"/>
        <v>7400</v>
      </c>
      <c r="I222" s="15">
        <f t="shared" si="23"/>
        <v>762200</v>
      </c>
      <c r="J222" s="16"/>
      <c r="K222" s="15">
        <v>600000</v>
      </c>
      <c r="L222" s="15">
        <f t="shared" si="18"/>
        <v>2060</v>
      </c>
      <c r="M222" s="16"/>
      <c r="N222" s="16"/>
      <c r="O222" s="15">
        <f t="shared" si="19"/>
        <v>25750</v>
      </c>
      <c r="P222" s="15">
        <f t="shared" si="20"/>
        <v>627810</v>
      </c>
      <c r="Q222" s="15">
        <f t="shared" si="21"/>
        <v>134390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6500</v>
      </c>
      <c r="F223" s="15">
        <v>400</v>
      </c>
      <c r="G223" s="15">
        <v>400</v>
      </c>
      <c r="H223" s="15">
        <f t="shared" si="22"/>
        <v>7300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6500</v>
      </c>
      <c r="F224" s="15">
        <v>300</v>
      </c>
      <c r="G224" s="15">
        <v>400</v>
      </c>
      <c r="H224" s="15">
        <f t="shared" si="22"/>
        <v>7200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59</v>
      </c>
      <c r="E225" s="15">
        <v>6500</v>
      </c>
      <c r="F225" s="15">
        <v>600</v>
      </c>
      <c r="G225" s="15">
        <v>400</v>
      </c>
      <c r="H225" s="15">
        <f t="shared" si="22"/>
        <v>7500</v>
      </c>
      <c r="I225" s="15">
        <f t="shared" si="23"/>
        <v>442500</v>
      </c>
      <c r="J225" s="16"/>
      <c r="K225" s="15">
        <v>300000</v>
      </c>
      <c r="L225" s="15">
        <f t="shared" si="18"/>
        <v>1180</v>
      </c>
      <c r="M225" s="20"/>
      <c r="N225" s="20"/>
      <c r="O225" s="15">
        <f t="shared" si="19"/>
        <v>14750</v>
      </c>
      <c r="P225" s="15">
        <f t="shared" si="20"/>
        <v>315930</v>
      </c>
      <c r="Q225" s="15">
        <f t="shared" si="21"/>
        <v>126570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6500</v>
      </c>
      <c r="F226" s="15">
        <v>400</v>
      </c>
      <c r="G226" s="15">
        <v>400</v>
      </c>
      <c r="H226" s="15">
        <f t="shared" si="22"/>
        <v>7300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6500</v>
      </c>
      <c r="F227" s="15">
        <v>400</v>
      </c>
      <c r="G227" s="15">
        <v>400</v>
      </c>
      <c r="H227" s="15">
        <f t="shared" si="22"/>
        <v>7300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174</v>
      </c>
      <c r="E228" s="15">
        <v>6500</v>
      </c>
      <c r="F228" s="15">
        <v>500</v>
      </c>
      <c r="G228" s="15">
        <v>400</v>
      </c>
      <c r="H228" s="15">
        <f t="shared" si="22"/>
        <v>7400</v>
      </c>
      <c r="I228" s="15">
        <f t="shared" si="23"/>
        <v>1287600</v>
      </c>
      <c r="J228" s="16"/>
      <c r="K228" s="15">
        <v>600000</v>
      </c>
      <c r="L228" s="15">
        <f t="shared" si="18"/>
        <v>3480</v>
      </c>
      <c r="M228" s="20"/>
      <c r="N228" s="20"/>
      <c r="O228" s="15">
        <f t="shared" si="19"/>
        <v>43500</v>
      </c>
      <c r="P228" s="15">
        <f t="shared" si="20"/>
        <v>646980</v>
      </c>
      <c r="Q228" s="15">
        <f t="shared" si="21"/>
        <v>640620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6500</v>
      </c>
      <c r="F229" s="15">
        <v>300</v>
      </c>
      <c r="G229" s="15">
        <v>400</v>
      </c>
      <c r="H229" s="15">
        <f t="shared" si="22"/>
        <v>7200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6500</v>
      </c>
      <c r="F230" s="15">
        <v>300</v>
      </c>
      <c r="G230" s="15">
        <v>400</v>
      </c>
      <c r="H230" s="15">
        <f t="shared" si="22"/>
        <v>7200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305</v>
      </c>
      <c r="E231" s="15">
        <v>6500</v>
      </c>
      <c r="F231" s="15">
        <v>600</v>
      </c>
      <c r="G231" s="15">
        <v>400</v>
      </c>
      <c r="H231" s="15">
        <f t="shared" si="22"/>
        <v>7500</v>
      </c>
      <c r="I231" s="15">
        <f t="shared" si="23"/>
        <v>2287500</v>
      </c>
      <c r="J231" s="16"/>
      <c r="K231" s="15">
        <v>400000</v>
      </c>
      <c r="L231" s="15">
        <f t="shared" si="18"/>
        <v>6100</v>
      </c>
      <c r="M231" s="16"/>
      <c r="N231" s="16"/>
      <c r="O231" s="15">
        <f t="shared" si="19"/>
        <v>76250</v>
      </c>
      <c r="P231" s="15">
        <f t="shared" si="20"/>
        <v>482350</v>
      </c>
      <c r="Q231" s="15">
        <f t="shared" si="21"/>
        <v>1805150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6500</v>
      </c>
      <c r="F232" s="15">
        <v>400</v>
      </c>
      <c r="G232" s="15">
        <v>400</v>
      </c>
      <c r="H232" s="15">
        <f t="shared" si="22"/>
        <v>7300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6500</v>
      </c>
      <c r="F233" s="15">
        <v>200</v>
      </c>
      <c r="G233" s="15">
        <v>400</v>
      </c>
      <c r="H233" s="15">
        <f t="shared" si="22"/>
        <v>7100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6500</v>
      </c>
      <c r="F234" s="15">
        <v>300</v>
      </c>
      <c r="G234" s="15">
        <v>400</v>
      </c>
      <c r="H234" s="15">
        <f t="shared" si="22"/>
        <v>7200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6500</v>
      </c>
      <c r="F235" s="15">
        <v>300</v>
      </c>
      <c r="G235" s="15">
        <v>400</v>
      </c>
      <c r="H235" s="15">
        <f t="shared" si="22"/>
        <v>7200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6500</v>
      </c>
      <c r="F236" s="15">
        <v>300</v>
      </c>
      <c r="G236" s="15">
        <v>400</v>
      </c>
      <c r="H236" s="15">
        <f t="shared" si="22"/>
        <v>7200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109</v>
      </c>
      <c r="E237" s="15">
        <v>6500</v>
      </c>
      <c r="F237" s="15">
        <v>200</v>
      </c>
      <c r="G237" s="15">
        <v>400</v>
      </c>
      <c r="H237" s="15">
        <f t="shared" si="22"/>
        <v>7100</v>
      </c>
      <c r="I237" s="15">
        <f t="shared" si="23"/>
        <v>773900</v>
      </c>
      <c r="J237" s="16"/>
      <c r="K237" s="15">
        <v>400000</v>
      </c>
      <c r="L237" s="15">
        <f t="shared" si="18"/>
        <v>2180</v>
      </c>
      <c r="M237" s="20"/>
      <c r="N237" s="20"/>
      <c r="O237" s="15">
        <f t="shared" si="19"/>
        <v>27250</v>
      </c>
      <c r="P237" s="15">
        <f t="shared" si="20"/>
        <v>429430</v>
      </c>
      <c r="Q237" s="15">
        <f t="shared" si="21"/>
        <v>344470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131</v>
      </c>
      <c r="E238" s="15">
        <v>6500</v>
      </c>
      <c r="F238" s="15">
        <v>400</v>
      </c>
      <c r="G238" s="15">
        <v>400</v>
      </c>
      <c r="H238" s="15">
        <f t="shared" si="22"/>
        <v>7300</v>
      </c>
      <c r="I238" s="15">
        <f t="shared" si="23"/>
        <v>956300</v>
      </c>
      <c r="J238" s="20"/>
      <c r="K238" s="15">
        <v>400000</v>
      </c>
      <c r="L238" s="15">
        <f t="shared" si="18"/>
        <v>2620</v>
      </c>
      <c r="M238" s="20"/>
      <c r="N238" s="20"/>
      <c r="O238" s="15">
        <f t="shared" si="19"/>
        <v>32750</v>
      </c>
      <c r="P238" s="15">
        <f t="shared" si="20"/>
        <v>435370</v>
      </c>
      <c r="Q238" s="15">
        <f t="shared" si="21"/>
        <v>520930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6500</v>
      </c>
      <c r="F239" s="15">
        <v>300</v>
      </c>
      <c r="G239" s="15">
        <v>400</v>
      </c>
      <c r="H239" s="15">
        <f t="shared" si="22"/>
        <v>7200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6500</v>
      </c>
      <c r="F240" s="15">
        <v>300</v>
      </c>
      <c r="G240" s="15">
        <v>400</v>
      </c>
      <c r="H240" s="15">
        <f t="shared" si="22"/>
        <v>7200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6500</v>
      </c>
      <c r="F241" s="15">
        <v>400</v>
      </c>
      <c r="G241" s="15">
        <v>400</v>
      </c>
      <c r="H241" s="15">
        <f t="shared" si="22"/>
        <v>7300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6500</v>
      </c>
      <c r="F242" s="15">
        <v>400</v>
      </c>
      <c r="G242" s="15">
        <v>400</v>
      </c>
      <c r="H242" s="15">
        <f t="shared" si="22"/>
        <v>7300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6500</v>
      </c>
      <c r="F243" s="15">
        <v>300</v>
      </c>
      <c r="G243" s="15">
        <v>400</v>
      </c>
      <c r="H243" s="15">
        <f t="shared" si="22"/>
        <v>7200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6500</v>
      </c>
      <c r="F244" s="15">
        <v>300</v>
      </c>
      <c r="G244" s="15">
        <v>400</v>
      </c>
      <c r="H244" s="15">
        <f t="shared" si="22"/>
        <v>7200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6500</v>
      </c>
      <c r="F245" s="15">
        <v>300</v>
      </c>
      <c r="G245" s="15">
        <v>400</v>
      </c>
      <c r="H245" s="15">
        <f t="shared" si="22"/>
        <v>7200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253</v>
      </c>
      <c r="E246" s="15">
        <v>6500</v>
      </c>
      <c r="F246" s="15">
        <v>600</v>
      </c>
      <c r="G246" s="15">
        <v>400</v>
      </c>
      <c r="H246" s="15">
        <f t="shared" si="22"/>
        <v>7500</v>
      </c>
      <c r="I246" s="15">
        <f t="shared" si="23"/>
        <v>1897500</v>
      </c>
      <c r="J246" s="16"/>
      <c r="K246" s="15">
        <v>400000</v>
      </c>
      <c r="L246" s="15">
        <f t="shared" si="18"/>
        <v>5060</v>
      </c>
      <c r="M246" s="16"/>
      <c r="N246" s="16"/>
      <c r="O246" s="15">
        <f t="shared" si="19"/>
        <v>63250</v>
      </c>
      <c r="P246" s="15">
        <f t="shared" si="20"/>
        <v>468310</v>
      </c>
      <c r="Q246" s="15">
        <f t="shared" si="21"/>
        <v>1429190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130</v>
      </c>
      <c r="E247" s="15">
        <v>6500</v>
      </c>
      <c r="F247" s="15">
        <v>500</v>
      </c>
      <c r="G247" s="15">
        <v>400</v>
      </c>
      <c r="H247" s="15">
        <f t="shared" si="22"/>
        <v>7400</v>
      </c>
      <c r="I247" s="15">
        <f t="shared" si="23"/>
        <v>962000</v>
      </c>
      <c r="J247" s="16"/>
      <c r="K247" s="15">
        <v>200000</v>
      </c>
      <c r="L247" s="15">
        <f t="shared" si="18"/>
        <v>2600</v>
      </c>
      <c r="M247" s="20"/>
      <c r="N247" s="20"/>
      <c r="O247" s="15">
        <f t="shared" si="19"/>
        <v>32500</v>
      </c>
      <c r="P247" s="15">
        <f t="shared" si="20"/>
        <v>235100</v>
      </c>
      <c r="Q247" s="15">
        <f t="shared" si="21"/>
        <v>726900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6500</v>
      </c>
      <c r="F248" s="15">
        <v>300</v>
      </c>
      <c r="G248" s="15">
        <v>400</v>
      </c>
      <c r="H248" s="15">
        <f t="shared" si="22"/>
        <v>7200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6500</v>
      </c>
      <c r="F249" s="15">
        <v>300</v>
      </c>
      <c r="G249" s="15">
        <v>400</v>
      </c>
      <c r="H249" s="15">
        <f t="shared" si="22"/>
        <v>7200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6500</v>
      </c>
      <c r="F250" s="15">
        <v>300</v>
      </c>
      <c r="G250" s="15">
        <v>400</v>
      </c>
      <c r="H250" s="15">
        <f t="shared" si="22"/>
        <v>7200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6500</v>
      </c>
      <c r="F251" s="15">
        <v>300</v>
      </c>
      <c r="G251" s="15">
        <v>400</v>
      </c>
      <c r="H251" s="15">
        <f t="shared" si="22"/>
        <v>7200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6500</v>
      </c>
      <c r="F252" s="15">
        <v>300</v>
      </c>
      <c r="G252" s="15">
        <v>400</v>
      </c>
      <c r="H252" s="15">
        <f t="shared" si="22"/>
        <v>7200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144</v>
      </c>
      <c r="E253" s="15">
        <v>6500</v>
      </c>
      <c r="F253" s="15">
        <v>500</v>
      </c>
      <c r="G253" s="15">
        <v>400</v>
      </c>
      <c r="H253" s="15">
        <f t="shared" si="22"/>
        <v>7400</v>
      </c>
      <c r="I253" s="15">
        <f t="shared" si="23"/>
        <v>1065600</v>
      </c>
      <c r="J253" s="20"/>
      <c r="K253" s="15">
        <v>400000</v>
      </c>
      <c r="L253" s="15">
        <f t="shared" si="18"/>
        <v>2880</v>
      </c>
      <c r="M253" s="20"/>
      <c r="N253" s="20"/>
      <c r="O253" s="15">
        <f t="shared" si="19"/>
        <v>36000</v>
      </c>
      <c r="P253" s="15">
        <f t="shared" si="20"/>
        <v>438880</v>
      </c>
      <c r="Q253" s="15">
        <f t="shared" si="21"/>
        <v>626720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6500</v>
      </c>
      <c r="F254" s="15">
        <v>300</v>
      </c>
      <c r="G254" s="15">
        <v>400</v>
      </c>
      <c r="H254" s="15">
        <f t="shared" si="22"/>
        <v>7200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6500</v>
      </c>
      <c r="F255" s="15">
        <v>300</v>
      </c>
      <c r="G255" s="15">
        <v>400</v>
      </c>
      <c r="H255" s="15">
        <f t="shared" si="22"/>
        <v>7200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6500</v>
      </c>
      <c r="F256" s="15">
        <v>400</v>
      </c>
      <c r="G256" s="15">
        <v>400</v>
      </c>
      <c r="H256" s="15">
        <f t="shared" si="22"/>
        <v>7300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6500</v>
      </c>
      <c r="F257" s="15">
        <v>300</v>
      </c>
      <c r="G257" s="15">
        <v>400</v>
      </c>
      <c r="H257" s="15">
        <f t="shared" si="22"/>
        <v>7200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6500</v>
      </c>
      <c r="F258" s="15">
        <v>300</v>
      </c>
      <c r="G258" s="15">
        <v>400</v>
      </c>
      <c r="H258" s="15">
        <f t="shared" si="22"/>
        <v>7200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6500</v>
      </c>
      <c r="F259" s="15">
        <v>300</v>
      </c>
      <c r="G259" s="15">
        <v>400</v>
      </c>
      <c r="H259" s="15">
        <f t="shared" si="22"/>
        <v>7200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6500</v>
      </c>
      <c r="F260" s="15">
        <v>300</v>
      </c>
      <c r="G260" s="15">
        <v>400</v>
      </c>
      <c r="H260" s="15">
        <f t="shared" si="22"/>
        <v>7200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158</v>
      </c>
      <c r="E261" s="15">
        <v>6500</v>
      </c>
      <c r="F261" s="15">
        <v>600</v>
      </c>
      <c r="G261" s="15">
        <v>400</v>
      </c>
      <c r="H261" s="15">
        <f t="shared" si="22"/>
        <v>7500</v>
      </c>
      <c r="I261" s="15">
        <f t="shared" si="23"/>
        <v>1185000</v>
      </c>
      <c r="J261" s="16"/>
      <c r="K261" s="15">
        <v>100000</v>
      </c>
      <c r="L261" s="15">
        <f t="shared" ref="L261:L324" si="24">D261*20</f>
        <v>3160</v>
      </c>
      <c r="M261" s="16"/>
      <c r="N261" s="16"/>
      <c r="O261" s="15">
        <f t="shared" ref="O261:O324" si="25">250*D261</f>
        <v>39500</v>
      </c>
      <c r="P261" s="15">
        <f t="shared" ref="P261:P324" si="26">SUM(J261:O261)</f>
        <v>142660</v>
      </c>
      <c r="Q261" s="15">
        <f t="shared" ref="Q261:Q324" si="27">I261-P261</f>
        <v>1042340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6500</v>
      </c>
      <c r="F262" s="15">
        <v>400</v>
      </c>
      <c r="G262" s="15">
        <v>400</v>
      </c>
      <c r="H262" s="15">
        <f t="shared" ref="H262:H325" si="28">SUM(E262:G262)</f>
        <v>7300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6500</v>
      </c>
      <c r="F263" s="15">
        <v>300</v>
      </c>
      <c r="G263" s="15">
        <v>400</v>
      </c>
      <c r="H263" s="15">
        <f t="shared" si="28"/>
        <v>7200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6500</v>
      </c>
      <c r="F264" s="15">
        <v>300</v>
      </c>
      <c r="G264" s="15">
        <v>400</v>
      </c>
      <c r="H264" s="15">
        <f t="shared" si="28"/>
        <v>7200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6500</v>
      </c>
      <c r="F265" s="15">
        <v>300</v>
      </c>
      <c r="G265" s="15">
        <v>400</v>
      </c>
      <c r="H265" s="15">
        <f t="shared" si="28"/>
        <v>7200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6500</v>
      </c>
      <c r="F266" s="15">
        <v>300</v>
      </c>
      <c r="G266" s="15">
        <v>400</v>
      </c>
      <c r="H266" s="15">
        <f t="shared" si="28"/>
        <v>7200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199</v>
      </c>
      <c r="E267" s="15">
        <v>6500</v>
      </c>
      <c r="F267" s="15">
        <v>600</v>
      </c>
      <c r="G267" s="15">
        <v>400</v>
      </c>
      <c r="H267" s="15">
        <f t="shared" si="28"/>
        <v>7500</v>
      </c>
      <c r="I267" s="15">
        <f t="shared" si="29"/>
        <v>1492500</v>
      </c>
      <c r="J267" s="20"/>
      <c r="K267" s="15"/>
      <c r="L267" s="15">
        <f t="shared" si="24"/>
        <v>3980</v>
      </c>
      <c r="M267" s="16"/>
      <c r="N267" s="16"/>
      <c r="O267" s="15">
        <f t="shared" si="25"/>
        <v>49750</v>
      </c>
      <c r="P267" s="15">
        <f t="shared" si="26"/>
        <v>53730</v>
      </c>
      <c r="Q267" s="15">
        <f t="shared" si="27"/>
        <v>1438770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6500</v>
      </c>
      <c r="F268" s="15">
        <v>300</v>
      </c>
      <c r="G268" s="15">
        <v>400</v>
      </c>
      <c r="H268" s="15">
        <f t="shared" si="28"/>
        <v>7200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6500</v>
      </c>
      <c r="F269" s="15">
        <v>300</v>
      </c>
      <c r="G269" s="15">
        <v>400</v>
      </c>
      <c r="H269" s="15">
        <f t="shared" si="28"/>
        <v>7200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73</v>
      </c>
      <c r="E270" s="15">
        <v>6500</v>
      </c>
      <c r="F270" s="15">
        <v>600</v>
      </c>
      <c r="G270" s="15">
        <v>400</v>
      </c>
      <c r="H270" s="15">
        <f t="shared" si="28"/>
        <v>7500</v>
      </c>
      <c r="I270" s="15">
        <f t="shared" si="29"/>
        <v>547500</v>
      </c>
      <c r="J270" s="20"/>
      <c r="K270" s="15">
        <v>200000</v>
      </c>
      <c r="L270" s="15">
        <f t="shared" si="24"/>
        <v>1460</v>
      </c>
      <c r="M270" s="16"/>
      <c r="N270" s="16"/>
      <c r="O270" s="15">
        <f t="shared" si="25"/>
        <v>18250</v>
      </c>
      <c r="P270" s="15">
        <f t="shared" si="26"/>
        <v>219710</v>
      </c>
      <c r="Q270" s="15">
        <f t="shared" si="27"/>
        <v>327790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6500</v>
      </c>
      <c r="F271" s="15">
        <v>300</v>
      </c>
      <c r="G271" s="15">
        <v>400</v>
      </c>
      <c r="H271" s="15">
        <f t="shared" si="28"/>
        <v>7200</v>
      </c>
      <c r="I271" s="15">
        <f t="shared" si="29"/>
        <v>0</v>
      </c>
      <c r="J271" s="16"/>
      <c r="K271" s="15">
        <v>200000</v>
      </c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200000</v>
      </c>
      <c r="Q271" s="15">
        <f t="shared" si="27"/>
        <v>-200000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6500</v>
      </c>
      <c r="F272" s="15">
        <v>300</v>
      </c>
      <c r="G272" s="15">
        <v>400</v>
      </c>
      <c r="H272" s="15">
        <f t="shared" si="28"/>
        <v>7200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6500</v>
      </c>
      <c r="F273" s="15">
        <v>300</v>
      </c>
      <c r="G273" s="15">
        <v>400</v>
      </c>
      <c r="H273" s="15">
        <f t="shared" si="28"/>
        <v>7200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6500</v>
      </c>
      <c r="F274" s="15">
        <v>300</v>
      </c>
      <c r="G274" s="15">
        <v>400</v>
      </c>
      <c r="H274" s="15">
        <f t="shared" si="28"/>
        <v>7200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97</v>
      </c>
      <c r="E275" s="15">
        <v>6500</v>
      </c>
      <c r="F275" s="15">
        <v>600</v>
      </c>
      <c r="G275" s="15">
        <v>400</v>
      </c>
      <c r="H275" s="15">
        <f t="shared" si="28"/>
        <v>7500</v>
      </c>
      <c r="I275" s="15">
        <f t="shared" si="29"/>
        <v>727500</v>
      </c>
      <c r="J275" s="16"/>
      <c r="K275" s="15">
        <v>200000</v>
      </c>
      <c r="L275" s="15">
        <f t="shared" si="24"/>
        <v>1940</v>
      </c>
      <c r="M275" s="16"/>
      <c r="N275" s="16"/>
      <c r="O275" s="15">
        <f t="shared" si="25"/>
        <v>24250</v>
      </c>
      <c r="P275" s="15">
        <f t="shared" si="26"/>
        <v>226190</v>
      </c>
      <c r="Q275" s="15">
        <f t="shared" si="27"/>
        <v>501310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6500</v>
      </c>
      <c r="F276" s="15">
        <v>300</v>
      </c>
      <c r="G276" s="15">
        <v>400</v>
      </c>
      <c r="H276" s="15">
        <f t="shared" si="28"/>
        <v>7200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6500</v>
      </c>
      <c r="F277" s="15">
        <v>500</v>
      </c>
      <c r="G277" s="15">
        <v>400</v>
      </c>
      <c r="H277" s="15">
        <f t="shared" si="28"/>
        <v>7400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6500</v>
      </c>
      <c r="F278" s="15">
        <v>300</v>
      </c>
      <c r="G278" s="15">
        <v>400</v>
      </c>
      <c r="H278" s="15">
        <f t="shared" si="28"/>
        <v>7200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6500</v>
      </c>
      <c r="F279" s="15">
        <v>300</v>
      </c>
      <c r="G279" s="15">
        <v>400</v>
      </c>
      <c r="H279" s="15">
        <f t="shared" si="28"/>
        <v>7200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6500</v>
      </c>
      <c r="F280" s="15">
        <v>300</v>
      </c>
      <c r="G280" s="15">
        <v>400</v>
      </c>
      <c r="H280" s="15">
        <f t="shared" si="28"/>
        <v>7200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6500</v>
      </c>
      <c r="F281" s="15">
        <v>500</v>
      </c>
      <c r="G281" s="15">
        <v>400</v>
      </c>
      <c r="H281" s="15">
        <f t="shared" si="28"/>
        <v>7400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582</v>
      </c>
      <c r="E282" s="15">
        <v>6500</v>
      </c>
      <c r="F282" s="15">
        <v>600</v>
      </c>
      <c r="G282" s="15">
        <v>400</v>
      </c>
      <c r="H282" s="15">
        <f t="shared" si="28"/>
        <v>7500</v>
      </c>
      <c r="I282" s="15">
        <f t="shared" si="29"/>
        <v>4365000</v>
      </c>
      <c r="J282" s="16"/>
      <c r="K282" s="15"/>
      <c r="L282" s="15">
        <f t="shared" si="24"/>
        <v>11640</v>
      </c>
      <c r="M282" s="16"/>
      <c r="N282" s="16"/>
      <c r="O282" s="15">
        <f t="shared" si="25"/>
        <v>145500</v>
      </c>
      <c r="P282" s="15">
        <f t="shared" si="26"/>
        <v>157140</v>
      </c>
      <c r="Q282" s="15">
        <f t="shared" si="27"/>
        <v>4207860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6500</v>
      </c>
      <c r="F283" s="15">
        <v>300</v>
      </c>
      <c r="G283" s="15">
        <v>400</v>
      </c>
      <c r="H283" s="15">
        <f t="shared" si="28"/>
        <v>7200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6500</v>
      </c>
      <c r="F284" s="15">
        <v>300</v>
      </c>
      <c r="G284" s="15">
        <v>400</v>
      </c>
      <c r="H284" s="15">
        <f t="shared" si="28"/>
        <v>7200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6500</v>
      </c>
      <c r="F285" s="15">
        <v>300</v>
      </c>
      <c r="G285" s="15">
        <v>400</v>
      </c>
      <c r="H285" s="15">
        <f t="shared" si="28"/>
        <v>7200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161</v>
      </c>
      <c r="E286" s="15">
        <v>6500</v>
      </c>
      <c r="F286" s="15">
        <v>500</v>
      </c>
      <c r="G286" s="15">
        <v>400</v>
      </c>
      <c r="H286" s="15">
        <f t="shared" si="28"/>
        <v>7400</v>
      </c>
      <c r="I286" s="15">
        <f t="shared" si="29"/>
        <v>1191400</v>
      </c>
      <c r="J286" s="16"/>
      <c r="K286" s="15">
        <v>400000</v>
      </c>
      <c r="L286" s="15">
        <f t="shared" si="24"/>
        <v>3220</v>
      </c>
      <c r="M286" s="20"/>
      <c r="N286" s="20"/>
      <c r="O286" s="15">
        <f t="shared" si="25"/>
        <v>40250</v>
      </c>
      <c r="P286" s="15">
        <f t="shared" si="26"/>
        <v>443470</v>
      </c>
      <c r="Q286" s="15">
        <f t="shared" si="27"/>
        <v>747930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539</v>
      </c>
      <c r="E287" s="15">
        <v>6500</v>
      </c>
      <c r="F287" s="15">
        <v>600</v>
      </c>
      <c r="G287" s="15">
        <v>400</v>
      </c>
      <c r="H287" s="15">
        <f t="shared" si="28"/>
        <v>7500</v>
      </c>
      <c r="I287" s="15">
        <f t="shared" si="29"/>
        <v>4042500</v>
      </c>
      <c r="J287" s="20"/>
      <c r="K287" s="15"/>
      <c r="L287" s="15">
        <f t="shared" si="24"/>
        <v>10780</v>
      </c>
      <c r="M287" s="16"/>
      <c r="N287" s="16"/>
      <c r="O287" s="15">
        <f t="shared" si="25"/>
        <v>134750</v>
      </c>
      <c r="P287" s="15">
        <f t="shared" si="26"/>
        <v>145530</v>
      </c>
      <c r="Q287" s="15">
        <f t="shared" si="27"/>
        <v>3896970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6500</v>
      </c>
      <c r="F288" s="15">
        <v>300</v>
      </c>
      <c r="G288" s="15">
        <v>400</v>
      </c>
      <c r="H288" s="15">
        <f t="shared" si="28"/>
        <v>7200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6500</v>
      </c>
      <c r="F289" s="15">
        <v>400</v>
      </c>
      <c r="G289" s="15">
        <v>400</v>
      </c>
      <c r="H289" s="15">
        <f t="shared" si="28"/>
        <v>7300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125</v>
      </c>
      <c r="E290" s="15">
        <v>6500</v>
      </c>
      <c r="F290" s="15">
        <v>400</v>
      </c>
      <c r="G290" s="15">
        <v>400</v>
      </c>
      <c r="H290" s="15">
        <f t="shared" si="28"/>
        <v>7300</v>
      </c>
      <c r="I290" s="15">
        <f t="shared" si="29"/>
        <v>912500</v>
      </c>
      <c r="J290" s="16"/>
      <c r="K290" s="15"/>
      <c r="L290" s="15">
        <f t="shared" si="24"/>
        <v>2500</v>
      </c>
      <c r="M290" s="16"/>
      <c r="N290" s="16"/>
      <c r="O290" s="15">
        <f t="shared" si="25"/>
        <v>31250</v>
      </c>
      <c r="P290" s="15">
        <f t="shared" si="26"/>
        <v>33750</v>
      </c>
      <c r="Q290" s="15">
        <f t="shared" si="27"/>
        <v>878750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346</v>
      </c>
      <c r="E291" s="15">
        <v>6500</v>
      </c>
      <c r="F291" s="15">
        <v>500</v>
      </c>
      <c r="G291" s="15">
        <v>400</v>
      </c>
      <c r="H291" s="15">
        <f t="shared" si="28"/>
        <v>7400</v>
      </c>
      <c r="I291" s="15">
        <f t="shared" si="29"/>
        <v>2560400</v>
      </c>
      <c r="J291" s="20"/>
      <c r="K291" s="15">
        <v>400000</v>
      </c>
      <c r="L291" s="15">
        <f t="shared" si="24"/>
        <v>6920</v>
      </c>
      <c r="M291" s="16"/>
      <c r="N291" s="16"/>
      <c r="O291" s="15">
        <f t="shared" si="25"/>
        <v>86500</v>
      </c>
      <c r="P291" s="15">
        <f t="shared" si="26"/>
        <v>493420</v>
      </c>
      <c r="Q291" s="15">
        <f t="shared" si="27"/>
        <v>2066980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6500</v>
      </c>
      <c r="F292" s="15">
        <v>300</v>
      </c>
      <c r="G292" s="15">
        <v>400</v>
      </c>
      <c r="H292" s="15">
        <f t="shared" si="28"/>
        <v>7200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6500</v>
      </c>
      <c r="F293" s="15">
        <v>500</v>
      </c>
      <c r="G293" s="15">
        <v>400</v>
      </c>
      <c r="H293" s="15">
        <f t="shared" si="28"/>
        <v>7400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199</v>
      </c>
      <c r="E294" s="15">
        <v>6500</v>
      </c>
      <c r="F294" s="15">
        <v>600</v>
      </c>
      <c r="G294" s="15">
        <v>400</v>
      </c>
      <c r="H294" s="15">
        <f t="shared" si="28"/>
        <v>7500</v>
      </c>
      <c r="I294" s="15">
        <f t="shared" si="29"/>
        <v>1492500</v>
      </c>
      <c r="J294" s="16"/>
      <c r="K294" s="15">
        <v>600000</v>
      </c>
      <c r="L294" s="15">
        <f t="shared" si="24"/>
        <v>3980</v>
      </c>
      <c r="M294" s="20"/>
      <c r="N294" s="20"/>
      <c r="O294" s="15">
        <f t="shared" si="25"/>
        <v>49750</v>
      </c>
      <c r="P294" s="15">
        <f t="shared" si="26"/>
        <v>653730</v>
      </c>
      <c r="Q294" s="15">
        <f t="shared" si="27"/>
        <v>838770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57</v>
      </c>
      <c r="E295" s="15">
        <v>6500</v>
      </c>
      <c r="F295" s="15">
        <v>500</v>
      </c>
      <c r="G295" s="15">
        <v>400</v>
      </c>
      <c r="H295" s="15">
        <f t="shared" si="28"/>
        <v>7400</v>
      </c>
      <c r="I295" s="15">
        <f t="shared" si="29"/>
        <v>421800</v>
      </c>
      <c r="J295" s="16"/>
      <c r="K295" s="15"/>
      <c r="L295" s="15">
        <f t="shared" si="24"/>
        <v>1140</v>
      </c>
      <c r="M295" s="16"/>
      <c r="N295" s="16"/>
      <c r="O295" s="15">
        <f t="shared" si="25"/>
        <v>14250</v>
      </c>
      <c r="P295" s="15">
        <f t="shared" si="26"/>
        <v>15390</v>
      </c>
      <c r="Q295" s="15">
        <f t="shared" si="27"/>
        <v>406410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132</v>
      </c>
      <c r="E296" s="15">
        <v>6500</v>
      </c>
      <c r="F296" s="15">
        <v>600</v>
      </c>
      <c r="G296" s="15">
        <v>400</v>
      </c>
      <c r="H296" s="15">
        <f t="shared" si="28"/>
        <v>7500</v>
      </c>
      <c r="I296" s="15">
        <f t="shared" si="29"/>
        <v>990000</v>
      </c>
      <c r="J296" s="20"/>
      <c r="K296" s="15">
        <v>600000</v>
      </c>
      <c r="L296" s="15">
        <f t="shared" si="24"/>
        <v>2640</v>
      </c>
      <c r="M296" s="20"/>
      <c r="N296" s="20"/>
      <c r="O296" s="15">
        <f t="shared" si="25"/>
        <v>33000</v>
      </c>
      <c r="P296" s="15">
        <f t="shared" si="26"/>
        <v>635640</v>
      </c>
      <c r="Q296" s="15">
        <f t="shared" si="27"/>
        <v>354360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6500</v>
      </c>
      <c r="F297" s="15">
        <v>400</v>
      </c>
      <c r="G297" s="15">
        <v>400</v>
      </c>
      <c r="H297" s="15">
        <f t="shared" si="28"/>
        <v>7300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882</v>
      </c>
      <c r="E298" s="15">
        <v>6500</v>
      </c>
      <c r="F298" s="15">
        <v>500</v>
      </c>
      <c r="G298" s="15">
        <v>400</v>
      </c>
      <c r="H298" s="15">
        <f t="shared" si="28"/>
        <v>7400</v>
      </c>
      <c r="I298" s="15">
        <f t="shared" si="29"/>
        <v>6526800</v>
      </c>
      <c r="J298" s="20"/>
      <c r="K298" s="15"/>
      <c r="L298" s="15">
        <f t="shared" si="24"/>
        <v>17640</v>
      </c>
      <c r="M298" s="20"/>
      <c r="N298" s="20"/>
      <c r="O298" s="15">
        <f t="shared" si="25"/>
        <v>220500</v>
      </c>
      <c r="P298" s="15">
        <f t="shared" si="26"/>
        <v>238140</v>
      </c>
      <c r="Q298" s="15">
        <f t="shared" si="27"/>
        <v>6288660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6500</v>
      </c>
      <c r="F299" s="15">
        <v>300</v>
      </c>
      <c r="G299" s="15">
        <v>400</v>
      </c>
      <c r="H299" s="15">
        <f t="shared" si="28"/>
        <v>7200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6500</v>
      </c>
      <c r="F300" s="15">
        <v>300</v>
      </c>
      <c r="G300" s="15">
        <v>400</v>
      </c>
      <c r="H300" s="15">
        <f t="shared" si="28"/>
        <v>7200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6500</v>
      </c>
      <c r="F301" s="15">
        <v>300</v>
      </c>
      <c r="G301" s="15">
        <v>400</v>
      </c>
      <c r="H301" s="15">
        <f t="shared" si="28"/>
        <v>7200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6500</v>
      </c>
      <c r="F302" s="15">
        <v>300</v>
      </c>
      <c r="G302" s="15">
        <v>400</v>
      </c>
      <c r="H302" s="15">
        <f t="shared" si="28"/>
        <v>7200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6500</v>
      </c>
      <c r="F303" s="15">
        <v>300</v>
      </c>
      <c r="G303" s="15">
        <v>400</v>
      </c>
      <c r="H303" s="15">
        <f t="shared" si="28"/>
        <v>7200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6500</v>
      </c>
      <c r="F304" s="15">
        <v>300</v>
      </c>
      <c r="G304" s="15">
        <v>400</v>
      </c>
      <c r="H304" s="15">
        <f t="shared" si="28"/>
        <v>7200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6500</v>
      </c>
      <c r="F305" s="15">
        <v>300</v>
      </c>
      <c r="G305" s="15">
        <v>400</v>
      </c>
      <c r="H305" s="15">
        <f t="shared" si="28"/>
        <v>7200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6500</v>
      </c>
      <c r="F306" s="15">
        <v>300</v>
      </c>
      <c r="G306" s="15">
        <v>400</v>
      </c>
      <c r="H306" s="15">
        <f t="shared" si="28"/>
        <v>7200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6500</v>
      </c>
      <c r="F307" s="15">
        <v>300</v>
      </c>
      <c r="G307" s="15">
        <v>400</v>
      </c>
      <c r="H307" s="15">
        <f t="shared" si="28"/>
        <v>7200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6500</v>
      </c>
      <c r="F308" s="15">
        <v>300</v>
      </c>
      <c r="G308" s="15">
        <v>400</v>
      </c>
      <c r="H308" s="15">
        <f t="shared" si="28"/>
        <v>7200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6500</v>
      </c>
      <c r="F309" s="15">
        <v>300</v>
      </c>
      <c r="G309" s="15">
        <v>400</v>
      </c>
      <c r="H309" s="15">
        <f t="shared" si="28"/>
        <v>7200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6500</v>
      </c>
      <c r="F310" s="15">
        <v>500</v>
      </c>
      <c r="G310" s="15">
        <v>400</v>
      </c>
      <c r="H310" s="15">
        <f t="shared" si="28"/>
        <v>7400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6500</v>
      </c>
      <c r="F311" s="15">
        <v>400</v>
      </c>
      <c r="G311" s="15">
        <v>400</v>
      </c>
      <c r="H311" s="15">
        <f t="shared" si="28"/>
        <v>7300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6500</v>
      </c>
      <c r="F312" s="15">
        <v>400</v>
      </c>
      <c r="G312" s="15">
        <v>400</v>
      </c>
      <c r="H312" s="15">
        <f t="shared" si="28"/>
        <v>7300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6500</v>
      </c>
      <c r="F313" s="15">
        <v>300</v>
      </c>
      <c r="G313" s="15">
        <v>400</v>
      </c>
      <c r="H313" s="15">
        <f t="shared" si="28"/>
        <v>7200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6500</v>
      </c>
      <c r="F314" s="15">
        <v>400</v>
      </c>
      <c r="G314" s="15">
        <v>400</v>
      </c>
      <c r="H314" s="15">
        <f t="shared" si="28"/>
        <v>7300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438</v>
      </c>
      <c r="E315" s="15">
        <v>6500</v>
      </c>
      <c r="F315" s="15">
        <v>600</v>
      </c>
      <c r="G315" s="15">
        <v>400</v>
      </c>
      <c r="H315" s="15">
        <f t="shared" si="28"/>
        <v>7500</v>
      </c>
      <c r="I315" s="15">
        <f t="shared" si="29"/>
        <v>3285000</v>
      </c>
      <c r="J315" s="16"/>
      <c r="K315" s="15"/>
      <c r="L315" s="15">
        <f t="shared" si="24"/>
        <v>8760</v>
      </c>
      <c r="M315" s="20"/>
      <c r="N315" s="20"/>
      <c r="O315" s="15">
        <f t="shared" si="25"/>
        <v>109500</v>
      </c>
      <c r="P315" s="15">
        <f t="shared" si="26"/>
        <v>118260</v>
      </c>
      <c r="Q315" s="15">
        <f t="shared" si="27"/>
        <v>3166740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308</v>
      </c>
      <c r="E316" s="15">
        <v>6500</v>
      </c>
      <c r="F316" s="15">
        <v>400</v>
      </c>
      <c r="G316" s="15">
        <v>400</v>
      </c>
      <c r="H316" s="15">
        <f t="shared" si="28"/>
        <v>7300</v>
      </c>
      <c r="I316" s="15">
        <f t="shared" si="29"/>
        <v>2248400</v>
      </c>
      <c r="J316" s="16"/>
      <c r="K316" s="15">
        <v>200000</v>
      </c>
      <c r="L316" s="15">
        <f t="shared" si="24"/>
        <v>6160</v>
      </c>
      <c r="M316" s="16"/>
      <c r="N316" s="16"/>
      <c r="O316" s="15">
        <f t="shared" si="25"/>
        <v>77000</v>
      </c>
      <c r="P316" s="15">
        <f t="shared" si="26"/>
        <v>283160</v>
      </c>
      <c r="Q316" s="15">
        <f t="shared" si="27"/>
        <v>1965240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6500</v>
      </c>
      <c r="F317" s="15">
        <v>400</v>
      </c>
      <c r="G317" s="15">
        <v>400</v>
      </c>
      <c r="H317" s="15">
        <f t="shared" si="28"/>
        <v>7300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6500</v>
      </c>
      <c r="F318" s="15">
        <v>400</v>
      </c>
      <c r="G318" s="15">
        <v>400</v>
      </c>
      <c r="H318" s="15">
        <f t="shared" si="28"/>
        <v>7300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37</v>
      </c>
      <c r="E319" s="15">
        <v>6500</v>
      </c>
      <c r="F319" s="15">
        <v>400</v>
      </c>
      <c r="G319" s="15">
        <v>400</v>
      </c>
      <c r="H319" s="15">
        <f t="shared" si="28"/>
        <v>7300</v>
      </c>
      <c r="I319" s="15">
        <f t="shared" si="29"/>
        <v>270100</v>
      </c>
      <c r="J319" s="20"/>
      <c r="K319" s="15"/>
      <c r="L319" s="15">
        <f t="shared" si="24"/>
        <v>740</v>
      </c>
      <c r="M319" s="20"/>
      <c r="N319" s="20"/>
      <c r="O319" s="15">
        <f t="shared" si="25"/>
        <v>9250</v>
      </c>
      <c r="P319" s="15">
        <f t="shared" si="26"/>
        <v>9990</v>
      </c>
      <c r="Q319" s="15">
        <f t="shared" si="27"/>
        <v>260110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6500</v>
      </c>
      <c r="F320" s="15">
        <v>400</v>
      </c>
      <c r="G320" s="15">
        <v>400</v>
      </c>
      <c r="H320" s="15">
        <f t="shared" si="28"/>
        <v>7300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135</v>
      </c>
      <c r="E321" s="15">
        <v>6500</v>
      </c>
      <c r="F321" s="15">
        <v>600</v>
      </c>
      <c r="G321" s="15">
        <v>400</v>
      </c>
      <c r="H321" s="15">
        <f t="shared" si="28"/>
        <v>7500</v>
      </c>
      <c r="I321" s="15">
        <f t="shared" si="29"/>
        <v>1012500</v>
      </c>
      <c r="J321" s="20"/>
      <c r="K321" s="15">
        <v>200000</v>
      </c>
      <c r="L321" s="15">
        <f t="shared" si="24"/>
        <v>2700</v>
      </c>
      <c r="M321" s="16"/>
      <c r="N321" s="16"/>
      <c r="O321" s="15">
        <f t="shared" si="25"/>
        <v>33750</v>
      </c>
      <c r="P321" s="15">
        <f t="shared" si="26"/>
        <v>236450</v>
      </c>
      <c r="Q321" s="15">
        <f t="shared" si="27"/>
        <v>776050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6500</v>
      </c>
      <c r="F322" s="15">
        <v>300</v>
      </c>
      <c r="G322" s="15">
        <v>400</v>
      </c>
      <c r="H322" s="15">
        <f t="shared" si="28"/>
        <v>7200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6500</v>
      </c>
      <c r="F323" s="15">
        <v>300</v>
      </c>
      <c r="G323" s="15">
        <v>400</v>
      </c>
      <c r="H323" s="15">
        <f t="shared" si="28"/>
        <v>7200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6500</v>
      </c>
      <c r="F324" s="15">
        <v>300</v>
      </c>
      <c r="G324" s="15">
        <v>400</v>
      </c>
      <c r="H324" s="15">
        <f t="shared" si="28"/>
        <v>7200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308</v>
      </c>
      <c r="E325" s="15">
        <v>6500</v>
      </c>
      <c r="F325" s="15">
        <v>400</v>
      </c>
      <c r="G325" s="15">
        <v>400</v>
      </c>
      <c r="H325" s="15">
        <f t="shared" si="28"/>
        <v>7300</v>
      </c>
      <c r="I325" s="15">
        <f t="shared" si="29"/>
        <v>2248400</v>
      </c>
      <c r="J325" s="20"/>
      <c r="K325" s="15">
        <v>1200000</v>
      </c>
      <c r="L325" s="15">
        <f t="shared" ref="L325:L388" si="30">D325*20</f>
        <v>6160</v>
      </c>
      <c r="M325" s="16"/>
      <c r="N325" s="16"/>
      <c r="O325" s="15">
        <f t="shared" ref="O325:O388" si="31">250*D325</f>
        <v>77000</v>
      </c>
      <c r="P325" s="15">
        <f t="shared" ref="P325:P388" si="32">SUM(J325:O325)</f>
        <v>1283160</v>
      </c>
      <c r="Q325" s="15">
        <f t="shared" ref="Q325:Q388" si="33">I325-P325</f>
        <v>965240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6500</v>
      </c>
      <c r="F326" s="15">
        <v>400</v>
      </c>
      <c r="G326" s="15">
        <v>400</v>
      </c>
      <c r="H326" s="15">
        <f t="shared" ref="H326:H389" si="34">SUM(E326:G326)</f>
        <v>7300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6500</v>
      </c>
      <c r="F327" s="15">
        <v>300</v>
      </c>
      <c r="G327" s="15">
        <v>400</v>
      </c>
      <c r="H327" s="15">
        <f t="shared" si="34"/>
        <v>7200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142</v>
      </c>
      <c r="E328" s="15">
        <v>6500</v>
      </c>
      <c r="F328" s="15">
        <v>300</v>
      </c>
      <c r="G328" s="15">
        <v>400</v>
      </c>
      <c r="H328" s="15">
        <f t="shared" si="34"/>
        <v>7200</v>
      </c>
      <c r="I328" s="15">
        <f t="shared" si="35"/>
        <v>1022400</v>
      </c>
      <c r="J328" s="16"/>
      <c r="K328" s="15">
        <v>400000</v>
      </c>
      <c r="L328" s="15">
        <f t="shared" si="30"/>
        <v>2840</v>
      </c>
      <c r="M328" s="20"/>
      <c r="N328" s="20"/>
      <c r="O328" s="15">
        <f t="shared" si="31"/>
        <v>35500</v>
      </c>
      <c r="P328" s="15">
        <f t="shared" si="32"/>
        <v>438340</v>
      </c>
      <c r="Q328" s="15">
        <f t="shared" si="33"/>
        <v>584060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6500</v>
      </c>
      <c r="F329" s="15">
        <v>300</v>
      </c>
      <c r="G329" s="15">
        <v>400</v>
      </c>
      <c r="H329" s="15">
        <f t="shared" si="34"/>
        <v>7200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6500</v>
      </c>
      <c r="F330" s="15">
        <v>300</v>
      </c>
      <c r="G330" s="15">
        <v>400</v>
      </c>
      <c r="H330" s="15">
        <f t="shared" si="34"/>
        <v>7200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6500</v>
      </c>
      <c r="F331" s="15">
        <v>400</v>
      </c>
      <c r="G331" s="15">
        <v>400</v>
      </c>
      <c r="H331" s="15">
        <f t="shared" si="34"/>
        <v>7300</v>
      </c>
      <c r="I331" s="15">
        <f t="shared" si="35"/>
        <v>0</v>
      </c>
      <c r="J331" s="20"/>
      <c r="K331" s="15">
        <v>100000</v>
      </c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100000</v>
      </c>
      <c r="Q331" s="15">
        <f t="shared" si="33"/>
        <v>-100000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6500</v>
      </c>
      <c r="F332" s="15">
        <v>300</v>
      </c>
      <c r="G332" s="15">
        <v>400</v>
      </c>
      <c r="H332" s="15">
        <f t="shared" si="34"/>
        <v>7200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6500</v>
      </c>
      <c r="F333" s="15">
        <v>300</v>
      </c>
      <c r="G333" s="15">
        <v>400</v>
      </c>
      <c r="H333" s="15">
        <f t="shared" si="34"/>
        <v>7200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6500</v>
      </c>
      <c r="F334" s="15">
        <v>300</v>
      </c>
      <c r="G334" s="15">
        <v>400</v>
      </c>
      <c r="H334" s="15">
        <f t="shared" si="34"/>
        <v>7200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66</v>
      </c>
      <c r="E335" s="15">
        <v>6500</v>
      </c>
      <c r="F335" s="15">
        <v>300</v>
      </c>
      <c r="G335" s="15">
        <v>400</v>
      </c>
      <c r="H335" s="15">
        <f t="shared" si="34"/>
        <v>7200</v>
      </c>
      <c r="I335" s="15">
        <f t="shared" si="35"/>
        <v>475200</v>
      </c>
      <c r="J335" s="16"/>
      <c r="K335" s="15"/>
      <c r="L335" s="15">
        <f t="shared" si="30"/>
        <v>1320</v>
      </c>
      <c r="M335" s="16"/>
      <c r="N335" s="16"/>
      <c r="O335" s="15">
        <f t="shared" si="31"/>
        <v>16500</v>
      </c>
      <c r="P335" s="15">
        <f t="shared" si="32"/>
        <v>17820</v>
      </c>
      <c r="Q335" s="15">
        <f t="shared" si="33"/>
        <v>457380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6500</v>
      </c>
      <c r="F336" s="15">
        <v>300</v>
      </c>
      <c r="G336" s="15">
        <v>400</v>
      </c>
      <c r="H336" s="15">
        <f t="shared" si="34"/>
        <v>7200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6500</v>
      </c>
      <c r="F337" s="15">
        <v>300</v>
      </c>
      <c r="G337" s="15">
        <v>400</v>
      </c>
      <c r="H337" s="15">
        <f t="shared" si="34"/>
        <v>7200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6500</v>
      </c>
      <c r="F338" s="15">
        <v>300</v>
      </c>
      <c r="G338" s="15">
        <v>400</v>
      </c>
      <c r="H338" s="15">
        <f t="shared" si="34"/>
        <v>7200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73</v>
      </c>
      <c r="E339" s="15">
        <v>6500</v>
      </c>
      <c r="F339" s="15">
        <v>600</v>
      </c>
      <c r="G339" s="15">
        <v>400</v>
      </c>
      <c r="H339" s="15">
        <f t="shared" si="34"/>
        <v>7500</v>
      </c>
      <c r="I339" s="15">
        <f t="shared" si="35"/>
        <v>547500</v>
      </c>
      <c r="J339" s="16">
        <v>200000</v>
      </c>
      <c r="K339" s="15">
        <v>400000</v>
      </c>
      <c r="L339" s="15">
        <f t="shared" si="30"/>
        <v>1460</v>
      </c>
      <c r="M339" s="20"/>
      <c r="N339" s="20"/>
      <c r="O339" s="15">
        <f t="shared" si="31"/>
        <v>18250</v>
      </c>
      <c r="P339" s="15">
        <f t="shared" si="32"/>
        <v>619710</v>
      </c>
      <c r="Q339" s="15">
        <f t="shared" si="33"/>
        <v>-72210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6500</v>
      </c>
      <c r="F340" s="15">
        <v>300</v>
      </c>
      <c r="G340" s="15">
        <v>400</v>
      </c>
      <c r="H340" s="15">
        <f t="shared" si="34"/>
        <v>7200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6500</v>
      </c>
      <c r="F341" s="15">
        <v>300</v>
      </c>
      <c r="G341" s="15">
        <v>400</v>
      </c>
      <c r="H341" s="15">
        <f t="shared" si="34"/>
        <v>7200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6500</v>
      </c>
      <c r="F342" s="15">
        <v>300</v>
      </c>
      <c r="G342" s="15">
        <v>400</v>
      </c>
      <c r="H342" s="15">
        <f t="shared" si="34"/>
        <v>7200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6500</v>
      </c>
      <c r="F343" s="15">
        <v>300</v>
      </c>
      <c r="G343" s="15">
        <v>400</v>
      </c>
      <c r="H343" s="15">
        <f t="shared" si="34"/>
        <v>7200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285</v>
      </c>
      <c r="E344" s="15">
        <v>6500</v>
      </c>
      <c r="F344" s="15">
        <v>500</v>
      </c>
      <c r="G344" s="15">
        <v>400</v>
      </c>
      <c r="H344" s="15">
        <f t="shared" si="34"/>
        <v>7400</v>
      </c>
      <c r="I344" s="15">
        <f t="shared" si="35"/>
        <v>2109000</v>
      </c>
      <c r="J344" s="20"/>
      <c r="K344" s="15">
        <v>450000</v>
      </c>
      <c r="L344" s="15">
        <f t="shared" si="30"/>
        <v>5700</v>
      </c>
      <c r="M344" s="16"/>
      <c r="N344" s="16"/>
      <c r="O344" s="15">
        <f t="shared" si="31"/>
        <v>71250</v>
      </c>
      <c r="P344" s="15">
        <f t="shared" si="32"/>
        <v>526950</v>
      </c>
      <c r="Q344" s="15">
        <f t="shared" si="33"/>
        <v>1582050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6500</v>
      </c>
      <c r="F345" s="15">
        <v>300</v>
      </c>
      <c r="G345" s="15">
        <v>400</v>
      </c>
      <c r="H345" s="15">
        <f t="shared" si="34"/>
        <v>7200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6500</v>
      </c>
      <c r="F346" s="15">
        <v>300</v>
      </c>
      <c r="G346" s="15">
        <v>400</v>
      </c>
      <c r="H346" s="15">
        <f t="shared" si="34"/>
        <v>7200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6500</v>
      </c>
      <c r="F347" s="15">
        <v>300</v>
      </c>
      <c r="G347" s="15">
        <v>400</v>
      </c>
      <c r="H347" s="15">
        <f t="shared" si="34"/>
        <v>7200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6500</v>
      </c>
      <c r="F348" s="15">
        <v>300</v>
      </c>
      <c r="G348" s="15">
        <v>400</v>
      </c>
      <c r="H348" s="15">
        <f t="shared" si="34"/>
        <v>7200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6500</v>
      </c>
      <c r="F349" s="15">
        <v>300</v>
      </c>
      <c r="G349" s="15">
        <v>400</v>
      </c>
      <c r="H349" s="15">
        <f t="shared" si="34"/>
        <v>7200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62</v>
      </c>
      <c r="E350" s="15">
        <v>6500</v>
      </c>
      <c r="F350" s="15">
        <v>600</v>
      </c>
      <c r="G350" s="15">
        <v>400</v>
      </c>
      <c r="H350" s="15">
        <f t="shared" si="34"/>
        <v>7500</v>
      </c>
      <c r="I350" s="15">
        <f t="shared" si="35"/>
        <v>465000</v>
      </c>
      <c r="J350" s="16"/>
      <c r="K350" s="15">
        <v>300000</v>
      </c>
      <c r="L350" s="15">
        <f t="shared" si="30"/>
        <v>1240</v>
      </c>
      <c r="M350" s="16"/>
      <c r="N350" s="16"/>
      <c r="O350" s="15">
        <f t="shared" si="31"/>
        <v>15500</v>
      </c>
      <c r="P350" s="15">
        <f t="shared" si="32"/>
        <v>316740</v>
      </c>
      <c r="Q350" s="15">
        <f t="shared" si="33"/>
        <v>148260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6500</v>
      </c>
      <c r="F351" s="15">
        <v>300</v>
      </c>
      <c r="G351" s="15">
        <v>400</v>
      </c>
      <c r="H351" s="15">
        <f t="shared" si="34"/>
        <v>7200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6500</v>
      </c>
      <c r="F352" s="15">
        <v>300</v>
      </c>
      <c r="G352" s="15">
        <v>400</v>
      </c>
      <c r="H352" s="15">
        <f t="shared" si="34"/>
        <v>7200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144</v>
      </c>
      <c r="E353" s="15">
        <v>6500</v>
      </c>
      <c r="F353" s="15">
        <v>600</v>
      </c>
      <c r="G353" s="15">
        <v>400</v>
      </c>
      <c r="H353" s="15">
        <f t="shared" si="34"/>
        <v>7500</v>
      </c>
      <c r="I353" s="15">
        <f t="shared" si="35"/>
        <v>1080000</v>
      </c>
      <c r="J353" s="20"/>
      <c r="K353" s="15">
        <v>400000</v>
      </c>
      <c r="L353" s="15">
        <f t="shared" si="30"/>
        <v>2880</v>
      </c>
      <c r="M353" s="20"/>
      <c r="N353" s="20"/>
      <c r="O353" s="15">
        <f t="shared" si="31"/>
        <v>36000</v>
      </c>
      <c r="P353" s="15">
        <f t="shared" si="32"/>
        <v>438880</v>
      </c>
      <c r="Q353" s="15">
        <f t="shared" si="33"/>
        <v>641120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6500</v>
      </c>
      <c r="F354" s="15">
        <v>300</v>
      </c>
      <c r="G354" s="15">
        <v>400</v>
      </c>
      <c r="H354" s="15">
        <f t="shared" si="34"/>
        <v>7200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6500</v>
      </c>
      <c r="F355" s="15">
        <v>300</v>
      </c>
      <c r="G355" s="15">
        <v>400</v>
      </c>
      <c r="H355" s="15">
        <f t="shared" si="34"/>
        <v>7200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6500</v>
      </c>
      <c r="F356" s="15">
        <v>400</v>
      </c>
      <c r="G356" s="15">
        <v>400</v>
      </c>
      <c r="H356" s="15">
        <f t="shared" si="34"/>
        <v>7300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6500</v>
      </c>
      <c r="F357" s="15">
        <v>300</v>
      </c>
      <c r="G357" s="15">
        <v>400</v>
      </c>
      <c r="H357" s="15">
        <f t="shared" si="34"/>
        <v>7200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6500</v>
      </c>
      <c r="F358" s="15">
        <v>300</v>
      </c>
      <c r="G358" s="15">
        <v>400</v>
      </c>
      <c r="H358" s="15">
        <f t="shared" si="34"/>
        <v>7200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6500</v>
      </c>
      <c r="F359" s="15">
        <v>300</v>
      </c>
      <c r="G359" s="15">
        <v>400</v>
      </c>
      <c r="H359" s="15">
        <f t="shared" si="34"/>
        <v>7200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6500</v>
      </c>
      <c r="F360" s="15">
        <v>300</v>
      </c>
      <c r="G360" s="15">
        <v>400</v>
      </c>
      <c r="H360" s="15">
        <f t="shared" si="34"/>
        <v>7200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6500</v>
      </c>
      <c r="F361" s="15">
        <v>300</v>
      </c>
      <c r="G361" s="15">
        <v>400</v>
      </c>
      <c r="H361" s="15">
        <f t="shared" si="34"/>
        <v>7200</v>
      </c>
      <c r="I361" s="15">
        <f t="shared" si="35"/>
        <v>0</v>
      </c>
      <c r="J361" s="16"/>
      <c r="K361" s="15"/>
      <c r="L361" s="15"/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6500</v>
      </c>
      <c r="F362" s="15">
        <v>500</v>
      </c>
      <c r="G362" s="15">
        <v>400</v>
      </c>
      <c r="H362" s="15">
        <f t="shared" si="34"/>
        <v>7400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6500</v>
      </c>
      <c r="F363" s="15">
        <v>400</v>
      </c>
      <c r="G363" s="15">
        <v>400</v>
      </c>
      <c r="H363" s="15">
        <f t="shared" si="34"/>
        <v>7300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6500</v>
      </c>
      <c r="F364" s="15">
        <v>300</v>
      </c>
      <c r="G364" s="15">
        <v>400</v>
      </c>
      <c r="H364" s="15">
        <f t="shared" si="34"/>
        <v>7200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53</v>
      </c>
      <c r="E365" s="15">
        <v>6500</v>
      </c>
      <c r="F365" s="15">
        <v>600</v>
      </c>
      <c r="G365" s="15">
        <v>400</v>
      </c>
      <c r="H365" s="15">
        <f t="shared" si="34"/>
        <v>7500</v>
      </c>
      <c r="I365" s="15">
        <f t="shared" si="35"/>
        <v>397500</v>
      </c>
      <c r="J365" s="16"/>
      <c r="K365" s="15">
        <v>600000</v>
      </c>
      <c r="L365" s="15">
        <f t="shared" si="30"/>
        <v>1060</v>
      </c>
      <c r="M365" s="20"/>
      <c r="N365" s="20"/>
      <c r="O365" s="15">
        <f t="shared" si="31"/>
        <v>13250</v>
      </c>
      <c r="P365" s="15">
        <f t="shared" si="32"/>
        <v>614310</v>
      </c>
      <c r="Q365" s="15">
        <f t="shared" si="33"/>
        <v>-216810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6500</v>
      </c>
      <c r="F366" s="15">
        <v>300</v>
      </c>
      <c r="G366" s="15">
        <v>400</v>
      </c>
      <c r="H366" s="15">
        <f t="shared" si="34"/>
        <v>7200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6500</v>
      </c>
      <c r="F367" s="15">
        <v>400</v>
      </c>
      <c r="G367" s="15">
        <v>400</v>
      </c>
      <c r="H367" s="15">
        <f t="shared" si="34"/>
        <v>7300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55</v>
      </c>
      <c r="E368" s="15">
        <v>6500</v>
      </c>
      <c r="F368" s="15">
        <v>500</v>
      </c>
      <c r="G368" s="15">
        <v>400</v>
      </c>
      <c r="H368" s="15">
        <f t="shared" si="34"/>
        <v>7400</v>
      </c>
      <c r="I368" s="15">
        <f t="shared" si="35"/>
        <v>407000</v>
      </c>
      <c r="J368" s="16"/>
      <c r="K368" s="15">
        <v>200000</v>
      </c>
      <c r="L368" s="15">
        <f t="shared" si="30"/>
        <v>1100</v>
      </c>
      <c r="M368" s="16"/>
      <c r="N368" s="16"/>
      <c r="O368" s="15">
        <f t="shared" si="31"/>
        <v>13750</v>
      </c>
      <c r="P368" s="15">
        <f t="shared" si="32"/>
        <v>214850</v>
      </c>
      <c r="Q368" s="15">
        <f t="shared" si="33"/>
        <v>192150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6500</v>
      </c>
      <c r="F369" s="15">
        <v>300</v>
      </c>
      <c r="G369" s="15">
        <v>400</v>
      </c>
      <c r="H369" s="15">
        <f t="shared" si="34"/>
        <v>7200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6500</v>
      </c>
      <c r="F370" s="15">
        <v>300</v>
      </c>
      <c r="G370" s="15">
        <v>400</v>
      </c>
      <c r="H370" s="15">
        <f t="shared" si="34"/>
        <v>7200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6500</v>
      </c>
      <c r="F371" s="15">
        <v>300</v>
      </c>
      <c r="G371" s="15">
        <v>400</v>
      </c>
      <c r="H371" s="15">
        <f t="shared" si="34"/>
        <v>7200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6500</v>
      </c>
      <c r="F372" s="15">
        <v>400</v>
      </c>
      <c r="G372" s="15">
        <v>400</v>
      </c>
      <c r="H372" s="15">
        <f t="shared" si="34"/>
        <v>7300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36</v>
      </c>
      <c r="E373" s="15">
        <v>6500</v>
      </c>
      <c r="F373" s="15">
        <v>400</v>
      </c>
      <c r="G373" s="15">
        <v>400</v>
      </c>
      <c r="H373" s="15">
        <f t="shared" si="34"/>
        <v>7300</v>
      </c>
      <c r="I373" s="15">
        <f t="shared" si="35"/>
        <v>262800</v>
      </c>
      <c r="J373" s="16"/>
      <c r="K373" s="15">
        <v>600000</v>
      </c>
      <c r="L373" s="15">
        <f t="shared" si="30"/>
        <v>720</v>
      </c>
      <c r="M373" s="16"/>
      <c r="N373" s="16"/>
      <c r="O373" s="15">
        <f t="shared" si="31"/>
        <v>9000</v>
      </c>
      <c r="P373" s="15">
        <f t="shared" si="32"/>
        <v>609720</v>
      </c>
      <c r="Q373" s="15">
        <f t="shared" si="33"/>
        <v>-346920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6500</v>
      </c>
      <c r="F374" s="15">
        <v>300</v>
      </c>
      <c r="G374" s="15">
        <v>400</v>
      </c>
      <c r="H374" s="15">
        <f t="shared" si="34"/>
        <v>7200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6500</v>
      </c>
      <c r="F375" s="15">
        <v>400</v>
      </c>
      <c r="G375" s="15">
        <v>400</v>
      </c>
      <c r="H375" s="15">
        <f t="shared" si="34"/>
        <v>7300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6500</v>
      </c>
      <c r="F376" s="15">
        <v>300</v>
      </c>
      <c r="G376" s="15">
        <v>400</v>
      </c>
      <c r="H376" s="15">
        <f t="shared" si="34"/>
        <v>7200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6500</v>
      </c>
      <c r="F377" s="15">
        <v>300</v>
      </c>
      <c r="G377" s="15">
        <v>400</v>
      </c>
      <c r="H377" s="15">
        <f t="shared" si="34"/>
        <v>7200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63</v>
      </c>
      <c r="E378" s="15">
        <v>6500</v>
      </c>
      <c r="F378" s="15">
        <v>400</v>
      </c>
      <c r="G378" s="15">
        <v>400</v>
      </c>
      <c r="H378" s="15">
        <f t="shared" si="34"/>
        <v>7300</v>
      </c>
      <c r="I378" s="15">
        <f t="shared" si="35"/>
        <v>459900</v>
      </c>
      <c r="J378" s="16"/>
      <c r="K378" s="15"/>
      <c r="L378" s="15">
        <f t="shared" si="30"/>
        <v>1260</v>
      </c>
      <c r="M378" s="16"/>
      <c r="N378" s="16"/>
      <c r="O378" s="15">
        <f t="shared" si="31"/>
        <v>15750</v>
      </c>
      <c r="P378" s="15">
        <f t="shared" si="32"/>
        <v>17010</v>
      </c>
      <c r="Q378" s="15">
        <f t="shared" si="33"/>
        <v>442890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6500</v>
      </c>
      <c r="F379" s="15">
        <v>400</v>
      </c>
      <c r="G379" s="15">
        <v>400</v>
      </c>
      <c r="H379" s="15">
        <f t="shared" si="34"/>
        <v>7300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6500</v>
      </c>
      <c r="F380" s="15">
        <v>300</v>
      </c>
      <c r="G380" s="15">
        <v>400</v>
      </c>
      <c r="H380" s="15">
        <f t="shared" si="34"/>
        <v>7200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6500</v>
      </c>
      <c r="F381" s="15">
        <v>300</v>
      </c>
      <c r="G381" s="15">
        <v>400</v>
      </c>
      <c r="H381" s="15">
        <f t="shared" si="34"/>
        <v>7200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6500</v>
      </c>
      <c r="F382" s="15">
        <v>300</v>
      </c>
      <c r="G382" s="15">
        <v>400</v>
      </c>
      <c r="H382" s="15">
        <f t="shared" si="34"/>
        <v>7200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6500</v>
      </c>
      <c r="F383" s="15">
        <v>300</v>
      </c>
      <c r="G383" s="15">
        <v>400</v>
      </c>
      <c r="H383" s="15">
        <f t="shared" si="34"/>
        <v>7200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6500</v>
      </c>
      <c r="F384" s="15">
        <v>300</v>
      </c>
      <c r="G384" s="15">
        <v>400</v>
      </c>
      <c r="H384" s="15">
        <v>6300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6500</v>
      </c>
      <c r="F385" s="15">
        <v>300</v>
      </c>
      <c r="G385" s="15">
        <v>400</v>
      </c>
      <c r="H385" s="15">
        <f t="shared" si="34"/>
        <v>7200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6500</v>
      </c>
      <c r="F386" s="15">
        <v>300</v>
      </c>
      <c r="G386" s="15">
        <v>400</v>
      </c>
      <c r="H386" s="15">
        <f t="shared" si="34"/>
        <v>7200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134</v>
      </c>
      <c r="E387" s="15">
        <v>6500</v>
      </c>
      <c r="F387" s="15">
        <v>600</v>
      </c>
      <c r="G387" s="15">
        <v>400</v>
      </c>
      <c r="H387" s="15">
        <f t="shared" si="34"/>
        <v>7500</v>
      </c>
      <c r="I387" s="15">
        <f t="shared" si="35"/>
        <v>1005000</v>
      </c>
      <c r="J387" s="16"/>
      <c r="K387" s="15">
        <v>200000</v>
      </c>
      <c r="L387" s="15">
        <f t="shared" si="30"/>
        <v>2680</v>
      </c>
      <c r="M387" s="16"/>
      <c r="N387" s="16"/>
      <c r="O387" s="15">
        <f t="shared" si="31"/>
        <v>33500</v>
      </c>
      <c r="P387" s="15">
        <f t="shared" si="32"/>
        <v>236180</v>
      </c>
      <c r="Q387" s="15">
        <f t="shared" si="33"/>
        <v>768820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6500</v>
      </c>
      <c r="F388" s="15">
        <v>300</v>
      </c>
      <c r="G388" s="15">
        <v>400</v>
      </c>
      <c r="H388" s="15">
        <f t="shared" si="34"/>
        <v>7200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6500</v>
      </c>
      <c r="F389" s="15">
        <v>300</v>
      </c>
      <c r="G389" s="15">
        <v>400</v>
      </c>
      <c r="H389" s="15">
        <f t="shared" si="34"/>
        <v>7200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6500</v>
      </c>
      <c r="F390" s="15">
        <v>400</v>
      </c>
      <c r="G390" s="15">
        <v>400</v>
      </c>
      <c r="H390" s="15">
        <f t="shared" ref="H390:H453" si="40">SUM(E390:G390)</f>
        <v>7300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6500</v>
      </c>
      <c r="F391" s="15">
        <v>400</v>
      </c>
      <c r="G391" s="15">
        <v>400</v>
      </c>
      <c r="H391" s="15">
        <f t="shared" si="40"/>
        <v>7300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260</v>
      </c>
      <c r="E392" s="15">
        <v>6500</v>
      </c>
      <c r="F392" s="15">
        <v>500</v>
      </c>
      <c r="G392" s="15">
        <v>400</v>
      </c>
      <c r="H392" s="15">
        <f t="shared" si="40"/>
        <v>7400</v>
      </c>
      <c r="I392" s="15">
        <f t="shared" si="41"/>
        <v>1924000</v>
      </c>
      <c r="J392" s="16"/>
      <c r="K392" s="15">
        <v>600000</v>
      </c>
      <c r="L392" s="15">
        <f t="shared" si="36"/>
        <v>5200</v>
      </c>
      <c r="M392" s="16"/>
      <c r="N392" s="16"/>
      <c r="O392" s="15">
        <f t="shared" si="37"/>
        <v>65000</v>
      </c>
      <c r="P392" s="15">
        <f t="shared" si="38"/>
        <v>670200</v>
      </c>
      <c r="Q392" s="15">
        <f t="shared" si="39"/>
        <v>1253800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6500</v>
      </c>
      <c r="F393" s="15">
        <v>400</v>
      </c>
      <c r="G393" s="15">
        <v>400</v>
      </c>
      <c r="H393" s="15">
        <f t="shared" si="40"/>
        <v>7300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31</v>
      </c>
      <c r="E394" s="15">
        <v>6500</v>
      </c>
      <c r="F394" s="15">
        <v>600</v>
      </c>
      <c r="G394" s="15">
        <v>400</v>
      </c>
      <c r="H394" s="15">
        <f t="shared" si="40"/>
        <v>7500</v>
      </c>
      <c r="I394" s="15">
        <f t="shared" si="41"/>
        <v>232500</v>
      </c>
      <c r="J394" s="16"/>
      <c r="K394" s="15">
        <v>200000</v>
      </c>
      <c r="L394" s="15">
        <f t="shared" si="36"/>
        <v>620</v>
      </c>
      <c r="M394" s="16"/>
      <c r="N394" s="16"/>
      <c r="O394" s="15">
        <f t="shared" si="37"/>
        <v>7750</v>
      </c>
      <c r="P394" s="15">
        <f t="shared" si="38"/>
        <v>208370</v>
      </c>
      <c r="Q394" s="15">
        <f t="shared" si="39"/>
        <v>24130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160</v>
      </c>
      <c r="E395" s="15">
        <v>6500</v>
      </c>
      <c r="F395" s="15">
        <v>500</v>
      </c>
      <c r="G395" s="15">
        <v>400</v>
      </c>
      <c r="H395" s="15">
        <f t="shared" si="40"/>
        <v>7400</v>
      </c>
      <c r="I395" s="15">
        <f t="shared" si="41"/>
        <v>1184000</v>
      </c>
      <c r="J395" s="16"/>
      <c r="K395" s="15">
        <v>400000</v>
      </c>
      <c r="L395" s="15">
        <f t="shared" si="36"/>
        <v>3200</v>
      </c>
      <c r="M395" s="16"/>
      <c r="N395" s="16"/>
      <c r="O395" s="15">
        <f t="shared" si="37"/>
        <v>40000</v>
      </c>
      <c r="P395" s="15">
        <f t="shared" si="38"/>
        <v>443200</v>
      </c>
      <c r="Q395" s="15">
        <f t="shared" si="39"/>
        <v>740800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105</v>
      </c>
      <c r="E396" s="15">
        <v>6500</v>
      </c>
      <c r="F396" s="15">
        <v>500</v>
      </c>
      <c r="G396" s="15">
        <v>400</v>
      </c>
      <c r="H396" s="15">
        <f t="shared" si="40"/>
        <v>7400</v>
      </c>
      <c r="I396" s="15">
        <f t="shared" si="41"/>
        <v>777000</v>
      </c>
      <c r="J396" s="16"/>
      <c r="K396" s="15"/>
      <c r="L396" s="15">
        <f t="shared" si="36"/>
        <v>2100</v>
      </c>
      <c r="M396" s="16"/>
      <c r="N396" s="16"/>
      <c r="O396" s="15">
        <f t="shared" si="37"/>
        <v>26250</v>
      </c>
      <c r="P396" s="15">
        <f t="shared" si="38"/>
        <v>28350</v>
      </c>
      <c r="Q396" s="15">
        <f t="shared" si="39"/>
        <v>748650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6500</v>
      </c>
      <c r="F397" s="15">
        <v>300</v>
      </c>
      <c r="G397" s="15">
        <v>400</v>
      </c>
      <c r="H397" s="15">
        <f t="shared" si="40"/>
        <v>7200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192</v>
      </c>
      <c r="E398" s="15">
        <v>6500</v>
      </c>
      <c r="F398" s="15">
        <v>200</v>
      </c>
      <c r="G398" s="15">
        <v>400</v>
      </c>
      <c r="H398" s="15">
        <f t="shared" si="40"/>
        <v>7100</v>
      </c>
      <c r="I398" s="15">
        <f t="shared" si="41"/>
        <v>1363200</v>
      </c>
      <c r="J398" s="16"/>
      <c r="K398" s="15"/>
      <c r="L398" s="15">
        <f t="shared" si="36"/>
        <v>3840</v>
      </c>
      <c r="M398" s="16"/>
      <c r="N398" s="16"/>
      <c r="O398" s="15">
        <f t="shared" si="37"/>
        <v>48000</v>
      </c>
      <c r="P398" s="15">
        <f t="shared" si="38"/>
        <v>51840</v>
      </c>
      <c r="Q398" s="15">
        <f t="shared" si="39"/>
        <v>1311360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6500</v>
      </c>
      <c r="F399" s="15">
        <v>300</v>
      </c>
      <c r="G399" s="15">
        <v>400</v>
      </c>
      <c r="H399" s="15">
        <f t="shared" si="40"/>
        <v>7200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63</v>
      </c>
      <c r="E400" s="15">
        <v>6500</v>
      </c>
      <c r="F400" s="15">
        <v>600</v>
      </c>
      <c r="G400" s="15">
        <v>400</v>
      </c>
      <c r="H400" s="15">
        <f t="shared" si="40"/>
        <v>7500</v>
      </c>
      <c r="I400" s="15">
        <f t="shared" si="41"/>
        <v>472500</v>
      </c>
      <c r="J400" s="16"/>
      <c r="K400" s="15">
        <v>100000</v>
      </c>
      <c r="L400" s="15">
        <f t="shared" si="36"/>
        <v>1260</v>
      </c>
      <c r="M400" s="16"/>
      <c r="N400" s="16"/>
      <c r="O400" s="15">
        <f t="shared" si="37"/>
        <v>15750</v>
      </c>
      <c r="P400" s="15">
        <f t="shared" si="38"/>
        <v>117010</v>
      </c>
      <c r="Q400" s="15">
        <f t="shared" si="39"/>
        <v>355490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6500</v>
      </c>
      <c r="F401" s="15">
        <v>300</v>
      </c>
      <c r="G401" s="15">
        <v>400</v>
      </c>
      <c r="H401" s="15">
        <f t="shared" si="40"/>
        <v>7200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6500</v>
      </c>
      <c r="F402" s="15">
        <v>300</v>
      </c>
      <c r="G402" s="15">
        <v>400</v>
      </c>
      <c r="H402" s="15">
        <f t="shared" si="40"/>
        <v>7200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6500</v>
      </c>
      <c r="F403" s="15">
        <v>300</v>
      </c>
      <c r="G403" s="15">
        <v>400</v>
      </c>
      <c r="H403" s="15">
        <f t="shared" si="40"/>
        <v>7200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6500</v>
      </c>
      <c r="F404" s="15">
        <v>400</v>
      </c>
      <c r="G404" s="15">
        <v>400</v>
      </c>
      <c r="H404" s="15">
        <f t="shared" si="40"/>
        <v>7300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261</v>
      </c>
      <c r="E405" s="15">
        <v>6500</v>
      </c>
      <c r="F405" s="15">
        <v>600</v>
      </c>
      <c r="G405" s="15">
        <v>400</v>
      </c>
      <c r="H405" s="15">
        <f t="shared" si="40"/>
        <v>7500</v>
      </c>
      <c r="I405" s="15">
        <f t="shared" si="41"/>
        <v>1957500</v>
      </c>
      <c r="J405" s="16"/>
      <c r="K405" s="15">
        <v>400000</v>
      </c>
      <c r="L405" s="15">
        <f t="shared" si="36"/>
        <v>5220</v>
      </c>
      <c r="M405" s="16"/>
      <c r="N405" s="16"/>
      <c r="O405" s="15">
        <f t="shared" si="37"/>
        <v>65250</v>
      </c>
      <c r="P405" s="15">
        <f t="shared" si="38"/>
        <v>470470</v>
      </c>
      <c r="Q405" s="15">
        <f t="shared" si="39"/>
        <v>1487030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65</v>
      </c>
      <c r="E406" s="15">
        <v>6500</v>
      </c>
      <c r="F406" s="15">
        <v>400</v>
      </c>
      <c r="G406" s="15">
        <v>400</v>
      </c>
      <c r="H406" s="15">
        <f t="shared" si="40"/>
        <v>7300</v>
      </c>
      <c r="I406" s="15">
        <f t="shared" si="41"/>
        <v>474500</v>
      </c>
      <c r="J406" s="16"/>
      <c r="K406" s="15"/>
      <c r="L406" s="15">
        <f t="shared" si="36"/>
        <v>1300</v>
      </c>
      <c r="M406" s="16"/>
      <c r="N406" s="16"/>
      <c r="O406" s="15">
        <f t="shared" si="37"/>
        <v>16250</v>
      </c>
      <c r="P406" s="15">
        <f t="shared" si="38"/>
        <v>17550</v>
      </c>
      <c r="Q406" s="15">
        <f t="shared" si="39"/>
        <v>456950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6500</v>
      </c>
      <c r="F407" s="15">
        <v>300</v>
      </c>
      <c r="G407" s="15">
        <v>400</v>
      </c>
      <c r="H407" s="15">
        <f t="shared" si="40"/>
        <v>7200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6500</v>
      </c>
      <c r="F408" s="15">
        <v>300</v>
      </c>
      <c r="G408" s="15">
        <v>400</v>
      </c>
      <c r="H408" s="15">
        <f t="shared" si="40"/>
        <v>7200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208</v>
      </c>
      <c r="E409" s="15">
        <v>6500</v>
      </c>
      <c r="F409" s="15">
        <v>400</v>
      </c>
      <c r="G409" s="15">
        <v>400</v>
      </c>
      <c r="H409" s="15">
        <f t="shared" si="40"/>
        <v>7300</v>
      </c>
      <c r="I409" s="15">
        <f t="shared" si="41"/>
        <v>1518400</v>
      </c>
      <c r="J409" s="16"/>
      <c r="K409" s="15">
        <v>200000</v>
      </c>
      <c r="L409" s="15">
        <f t="shared" si="36"/>
        <v>4160</v>
      </c>
      <c r="M409" s="16"/>
      <c r="N409" s="16"/>
      <c r="O409" s="15">
        <f t="shared" si="37"/>
        <v>52000</v>
      </c>
      <c r="P409" s="15">
        <f t="shared" si="38"/>
        <v>256160</v>
      </c>
      <c r="Q409" s="15">
        <f t="shared" si="39"/>
        <v>1262240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195</v>
      </c>
      <c r="E410" s="15">
        <v>6500</v>
      </c>
      <c r="F410" s="15">
        <v>500</v>
      </c>
      <c r="G410" s="15">
        <v>400</v>
      </c>
      <c r="H410" s="15">
        <f t="shared" si="40"/>
        <v>7400</v>
      </c>
      <c r="I410" s="15">
        <f t="shared" si="41"/>
        <v>1443000</v>
      </c>
      <c r="J410" s="16"/>
      <c r="K410" s="15">
        <v>1000000</v>
      </c>
      <c r="L410" s="15">
        <f t="shared" si="36"/>
        <v>3900</v>
      </c>
      <c r="M410" s="16"/>
      <c r="N410" s="16"/>
      <c r="O410" s="15">
        <f t="shared" si="37"/>
        <v>48750</v>
      </c>
      <c r="P410" s="15">
        <f t="shared" si="38"/>
        <v>1052650</v>
      </c>
      <c r="Q410" s="15">
        <f t="shared" si="39"/>
        <v>390350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6500</v>
      </c>
      <c r="F411" s="15">
        <v>300</v>
      </c>
      <c r="G411" s="15">
        <v>400</v>
      </c>
      <c r="H411" s="15">
        <f t="shared" si="40"/>
        <v>7200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6500</v>
      </c>
      <c r="F412" s="15">
        <v>300</v>
      </c>
      <c r="G412" s="15">
        <v>400</v>
      </c>
      <c r="H412" s="15">
        <f t="shared" si="40"/>
        <v>7200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6500</v>
      </c>
      <c r="F413" s="15">
        <v>300</v>
      </c>
      <c r="G413" s="15">
        <v>400</v>
      </c>
      <c r="H413" s="15">
        <f t="shared" si="40"/>
        <v>7200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6500</v>
      </c>
      <c r="F414" s="15">
        <v>400</v>
      </c>
      <c r="G414" s="15">
        <v>400</v>
      </c>
      <c r="H414" s="15">
        <f t="shared" si="40"/>
        <v>7300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6500</v>
      </c>
      <c r="F415" s="15">
        <v>300</v>
      </c>
      <c r="G415" s="15">
        <v>400</v>
      </c>
      <c r="H415" s="15">
        <f t="shared" si="40"/>
        <v>7200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6500</v>
      </c>
      <c r="F416" s="15">
        <v>400</v>
      </c>
      <c r="G416" s="15">
        <v>400</v>
      </c>
      <c r="H416" s="15">
        <f t="shared" si="40"/>
        <v>7300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6500</v>
      </c>
      <c r="F417" s="15">
        <v>300</v>
      </c>
      <c r="G417" s="15">
        <v>400</v>
      </c>
      <c r="H417" s="15">
        <f t="shared" si="40"/>
        <v>7200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6500</v>
      </c>
      <c r="F418" s="15">
        <v>300</v>
      </c>
      <c r="G418" s="15">
        <v>400</v>
      </c>
      <c r="H418" s="15">
        <f t="shared" si="40"/>
        <v>7200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384</v>
      </c>
      <c r="E419" s="15">
        <v>6500</v>
      </c>
      <c r="F419" s="15">
        <v>400</v>
      </c>
      <c r="G419" s="15">
        <v>400</v>
      </c>
      <c r="H419" s="15">
        <f t="shared" si="40"/>
        <v>7300</v>
      </c>
      <c r="I419" s="15">
        <f t="shared" si="41"/>
        <v>2803200</v>
      </c>
      <c r="J419" s="20"/>
      <c r="K419" s="20"/>
      <c r="L419" s="15">
        <f t="shared" si="36"/>
        <v>7680</v>
      </c>
      <c r="M419" s="16"/>
      <c r="N419" s="16"/>
      <c r="O419" s="15">
        <f t="shared" si="37"/>
        <v>96000</v>
      </c>
      <c r="P419" s="15">
        <f t="shared" si="38"/>
        <v>103680</v>
      </c>
      <c r="Q419" s="15">
        <f t="shared" si="39"/>
        <v>2699520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6500</v>
      </c>
      <c r="F420" s="15">
        <v>300</v>
      </c>
      <c r="G420" s="15">
        <v>400</v>
      </c>
      <c r="H420" s="15">
        <f t="shared" si="40"/>
        <v>7200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133</v>
      </c>
      <c r="E421" s="15">
        <v>6500</v>
      </c>
      <c r="F421" s="15">
        <v>500</v>
      </c>
      <c r="G421" s="15">
        <v>400</v>
      </c>
      <c r="H421" s="15">
        <f t="shared" si="40"/>
        <v>7400</v>
      </c>
      <c r="I421" s="15">
        <f t="shared" si="41"/>
        <v>984200</v>
      </c>
      <c r="J421" s="16"/>
      <c r="K421" s="15"/>
      <c r="L421" s="15">
        <f t="shared" si="36"/>
        <v>2660</v>
      </c>
      <c r="M421" s="16"/>
      <c r="N421" s="16"/>
      <c r="O421" s="15">
        <f t="shared" si="37"/>
        <v>33250</v>
      </c>
      <c r="P421" s="15">
        <f t="shared" si="38"/>
        <v>35910</v>
      </c>
      <c r="Q421" s="15">
        <f t="shared" si="39"/>
        <v>948290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6500</v>
      </c>
      <c r="F422" s="15">
        <v>400</v>
      </c>
      <c r="G422" s="15">
        <v>400</v>
      </c>
      <c r="H422" s="15">
        <f t="shared" si="40"/>
        <v>7300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6500</v>
      </c>
      <c r="F423" s="15">
        <v>300</v>
      </c>
      <c r="G423" s="15">
        <v>400</v>
      </c>
      <c r="H423" s="15">
        <f t="shared" si="40"/>
        <v>7200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6500</v>
      </c>
      <c r="F424" s="15">
        <v>400</v>
      </c>
      <c r="G424" s="15">
        <v>400</v>
      </c>
      <c r="H424" s="15">
        <f t="shared" si="40"/>
        <v>7300</v>
      </c>
      <c r="I424" s="15">
        <f t="shared" si="41"/>
        <v>0</v>
      </c>
      <c r="J424" s="16"/>
      <c r="K424" s="15">
        <v>100000</v>
      </c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100000</v>
      </c>
      <c r="Q424" s="15">
        <f t="shared" si="39"/>
        <v>-100000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359</v>
      </c>
      <c r="E425" s="15">
        <v>6500</v>
      </c>
      <c r="F425" s="15">
        <v>400</v>
      </c>
      <c r="G425" s="15">
        <v>400</v>
      </c>
      <c r="H425" s="15">
        <f t="shared" si="40"/>
        <v>7300</v>
      </c>
      <c r="I425" s="15">
        <f t="shared" si="41"/>
        <v>2620700</v>
      </c>
      <c r="J425" s="16"/>
      <c r="K425" s="15"/>
      <c r="L425" s="15">
        <f t="shared" si="36"/>
        <v>7180</v>
      </c>
      <c r="M425" s="16"/>
      <c r="N425" s="16"/>
      <c r="O425" s="15">
        <f t="shared" si="37"/>
        <v>89750</v>
      </c>
      <c r="P425" s="15">
        <f t="shared" si="38"/>
        <v>96930</v>
      </c>
      <c r="Q425" s="15">
        <f t="shared" si="39"/>
        <v>2523770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6500</v>
      </c>
      <c r="F426" s="15">
        <v>300</v>
      </c>
      <c r="G426" s="15">
        <v>400</v>
      </c>
      <c r="H426" s="15">
        <f t="shared" si="40"/>
        <v>7200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304</v>
      </c>
      <c r="E427" s="15">
        <v>6500</v>
      </c>
      <c r="F427" s="15">
        <v>400</v>
      </c>
      <c r="G427" s="15">
        <v>400</v>
      </c>
      <c r="H427" s="15">
        <f t="shared" si="40"/>
        <v>7300</v>
      </c>
      <c r="I427" s="15">
        <f t="shared" si="41"/>
        <v>2219200</v>
      </c>
      <c r="J427" s="16"/>
      <c r="K427" s="15"/>
      <c r="L427" s="15">
        <f t="shared" si="36"/>
        <v>6080</v>
      </c>
      <c r="M427" s="16"/>
      <c r="N427" s="16"/>
      <c r="O427" s="15">
        <f t="shared" si="37"/>
        <v>76000</v>
      </c>
      <c r="P427" s="15">
        <f t="shared" si="38"/>
        <v>82080</v>
      </c>
      <c r="Q427" s="15">
        <f t="shared" si="39"/>
        <v>2137120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6500</v>
      </c>
      <c r="F428" s="15">
        <v>300</v>
      </c>
      <c r="G428" s="15">
        <v>400</v>
      </c>
      <c r="H428" s="15">
        <f t="shared" si="40"/>
        <v>7200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6500</v>
      </c>
      <c r="F429" s="15">
        <v>400</v>
      </c>
      <c r="G429" s="15">
        <v>400</v>
      </c>
      <c r="H429" s="15">
        <f t="shared" si="40"/>
        <v>7300</v>
      </c>
      <c r="I429" s="15">
        <f t="shared" si="41"/>
        <v>0</v>
      </c>
      <c r="J429" s="16"/>
      <c r="K429" s="15">
        <v>400000</v>
      </c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400000</v>
      </c>
      <c r="Q429" s="15">
        <f t="shared" si="39"/>
        <v>-400000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6500</v>
      </c>
      <c r="F430" s="15">
        <v>300</v>
      </c>
      <c r="G430" s="15">
        <v>400</v>
      </c>
      <c r="H430" s="15">
        <f t="shared" si="40"/>
        <v>7200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6500</v>
      </c>
      <c r="F431" s="15">
        <v>300</v>
      </c>
      <c r="G431" s="15">
        <v>400</v>
      </c>
      <c r="H431" s="15">
        <f t="shared" si="40"/>
        <v>7200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6500</v>
      </c>
      <c r="F432" s="15">
        <v>400</v>
      </c>
      <c r="G432" s="15">
        <v>400</v>
      </c>
      <c r="H432" s="15">
        <f t="shared" si="40"/>
        <v>7300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 t="s">
        <v>451</v>
      </c>
      <c r="C433" s="13"/>
      <c r="D433" s="20"/>
      <c r="E433" s="15">
        <v>6500</v>
      </c>
      <c r="F433" s="15">
        <v>300</v>
      </c>
      <c r="G433" s="15">
        <v>400</v>
      </c>
      <c r="H433" s="15"/>
      <c r="I433" s="15"/>
      <c r="J433" s="16"/>
      <c r="K433" s="15"/>
      <c r="L433" s="15"/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182</v>
      </c>
      <c r="E434" s="15">
        <v>6500</v>
      </c>
      <c r="F434" s="15">
        <v>200</v>
      </c>
      <c r="G434" s="15">
        <v>400</v>
      </c>
      <c r="H434" s="15">
        <f t="shared" ref="H434" si="42">SUM(E434:G434)</f>
        <v>7100</v>
      </c>
      <c r="I434" s="15">
        <f t="shared" ref="I434" si="43">H434*D434</f>
        <v>1292200</v>
      </c>
      <c r="J434" s="16"/>
      <c r="K434" s="15">
        <v>600000</v>
      </c>
      <c r="L434" s="15">
        <f t="shared" ref="L434" si="44">D434*20</f>
        <v>3640</v>
      </c>
      <c r="M434" s="16"/>
      <c r="N434" s="16"/>
      <c r="O434" s="15">
        <f t="shared" ref="O434" si="45">250*D434</f>
        <v>45500</v>
      </c>
      <c r="P434" s="15">
        <f t="shared" ref="P434" si="46">SUM(J434:O434)</f>
        <v>649140</v>
      </c>
      <c r="Q434" s="15">
        <f t="shared" ref="Q434" si="47">I434-P434</f>
        <v>643060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6500</v>
      </c>
      <c r="F435" s="15">
        <v>300</v>
      </c>
      <c r="G435" s="15">
        <v>400</v>
      </c>
      <c r="H435" s="15">
        <f t="shared" si="40"/>
        <v>7200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6500</v>
      </c>
      <c r="F436" s="15">
        <v>300</v>
      </c>
      <c r="G436" s="15">
        <v>400</v>
      </c>
      <c r="H436" s="15">
        <f t="shared" si="40"/>
        <v>7200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396</v>
      </c>
      <c r="E437" s="15">
        <v>6500</v>
      </c>
      <c r="F437" s="15">
        <v>200</v>
      </c>
      <c r="G437" s="15">
        <v>400</v>
      </c>
      <c r="H437" s="15">
        <f t="shared" si="40"/>
        <v>7100</v>
      </c>
      <c r="I437" s="15">
        <f t="shared" si="41"/>
        <v>2811600</v>
      </c>
      <c r="J437" s="16"/>
      <c r="K437" s="15">
        <v>200000</v>
      </c>
      <c r="L437" s="15">
        <f t="shared" si="36"/>
        <v>7920</v>
      </c>
      <c r="M437" s="16"/>
      <c r="N437" s="16"/>
      <c r="O437" s="15">
        <f t="shared" si="37"/>
        <v>99000</v>
      </c>
      <c r="P437" s="15">
        <f t="shared" si="38"/>
        <v>306920</v>
      </c>
      <c r="Q437" s="15">
        <f t="shared" si="39"/>
        <v>2504680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6500</v>
      </c>
      <c r="F438" s="15">
        <v>300</v>
      </c>
      <c r="G438" s="15">
        <v>400</v>
      </c>
      <c r="H438" s="15">
        <f t="shared" si="40"/>
        <v>7200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6500</v>
      </c>
      <c r="F439" s="15">
        <v>500</v>
      </c>
      <c r="G439" s="15">
        <v>400</v>
      </c>
      <c r="H439" s="15">
        <f t="shared" si="40"/>
        <v>7400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6500</v>
      </c>
      <c r="F440" s="15">
        <v>400</v>
      </c>
      <c r="G440" s="15">
        <v>400</v>
      </c>
      <c r="H440" s="15">
        <f t="shared" si="40"/>
        <v>7300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6500</v>
      </c>
      <c r="F441" s="15">
        <v>400</v>
      </c>
      <c r="G441" s="15">
        <v>400</v>
      </c>
      <c r="H441" s="15">
        <f t="shared" si="40"/>
        <v>7300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6500</v>
      </c>
      <c r="F442" s="15">
        <v>400</v>
      </c>
      <c r="G442" s="15">
        <v>400</v>
      </c>
      <c r="H442" s="15">
        <f t="shared" si="40"/>
        <v>7300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6500</v>
      </c>
      <c r="F443" s="15">
        <v>300</v>
      </c>
      <c r="G443" s="15">
        <v>400</v>
      </c>
      <c r="H443" s="15">
        <f t="shared" si="40"/>
        <v>7200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171</v>
      </c>
      <c r="E444" s="15">
        <v>6500</v>
      </c>
      <c r="F444" s="15">
        <v>600</v>
      </c>
      <c r="G444" s="15">
        <v>400</v>
      </c>
      <c r="H444" s="15">
        <f t="shared" si="40"/>
        <v>7500</v>
      </c>
      <c r="I444" s="15">
        <f t="shared" si="41"/>
        <v>1282500</v>
      </c>
      <c r="J444" s="16"/>
      <c r="K444" s="15">
        <v>200000</v>
      </c>
      <c r="L444" s="15">
        <f t="shared" si="36"/>
        <v>3420</v>
      </c>
      <c r="M444" s="16"/>
      <c r="N444" s="16"/>
      <c r="O444" s="15">
        <f t="shared" si="37"/>
        <v>42750</v>
      </c>
      <c r="P444" s="15">
        <f t="shared" si="38"/>
        <v>246170</v>
      </c>
      <c r="Q444" s="15">
        <f t="shared" si="39"/>
        <v>1036330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6500</v>
      </c>
      <c r="F445" s="15">
        <v>400</v>
      </c>
      <c r="G445" s="15">
        <v>400</v>
      </c>
      <c r="H445" s="15">
        <f t="shared" si="40"/>
        <v>7300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6500</v>
      </c>
      <c r="F446" s="15">
        <v>400</v>
      </c>
      <c r="G446" s="15">
        <v>400</v>
      </c>
      <c r="H446" s="15">
        <f t="shared" si="40"/>
        <v>7300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168</v>
      </c>
      <c r="E447" s="15">
        <v>6500</v>
      </c>
      <c r="F447" s="15">
        <v>500</v>
      </c>
      <c r="G447" s="15">
        <v>400</v>
      </c>
      <c r="H447" s="15">
        <f t="shared" si="40"/>
        <v>7400</v>
      </c>
      <c r="I447" s="15">
        <f t="shared" si="41"/>
        <v>1243200</v>
      </c>
      <c r="J447" s="16"/>
      <c r="K447" s="15">
        <v>400000</v>
      </c>
      <c r="L447" s="15">
        <f t="shared" si="36"/>
        <v>3360</v>
      </c>
      <c r="M447" s="16"/>
      <c r="N447" s="16"/>
      <c r="O447" s="15">
        <f t="shared" si="37"/>
        <v>42000</v>
      </c>
      <c r="P447" s="15">
        <f t="shared" si="38"/>
        <v>445360</v>
      </c>
      <c r="Q447" s="15">
        <f t="shared" si="39"/>
        <v>797840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6500</v>
      </c>
      <c r="F448" s="15">
        <v>300</v>
      </c>
      <c r="G448" s="15">
        <v>400</v>
      </c>
      <c r="H448" s="15">
        <f t="shared" si="40"/>
        <v>7200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289</v>
      </c>
      <c r="E449" s="15">
        <v>6500</v>
      </c>
      <c r="F449" s="15">
        <v>600</v>
      </c>
      <c r="G449" s="15">
        <v>400</v>
      </c>
      <c r="H449" s="15">
        <f t="shared" si="40"/>
        <v>7500</v>
      </c>
      <c r="I449" s="15">
        <f t="shared" si="41"/>
        <v>2167500</v>
      </c>
      <c r="J449" s="16"/>
      <c r="K449" s="15">
        <v>200000</v>
      </c>
      <c r="L449" s="15">
        <f t="shared" si="36"/>
        <v>5780</v>
      </c>
      <c r="M449" s="16"/>
      <c r="N449" s="16"/>
      <c r="O449" s="15">
        <f t="shared" si="37"/>
        <v>72250</v>
      </c>
      <c r="P449" s="15">
        <f t="shared" si="38"/>
        <v>278030</v>
      </c>
      <c r="Q449" s="15">
        <f t="shared" si="39"/>
        <v>1889470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6500</v>
      </c>
      <c r="F450" s="15">
        <v>300</v>
      </c>
      <c r="G450" s="15">
        <v>400</v>
      </c>
      <c r="H450" s="15">
        <f t="shared" si="40"/>
        <v>7200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158</v>
      </c>
      <c r="E451" s="15">
        <v>6500</v>
      </c>
      <c r="F451" s="15">
        <v>500</v>
      </c>
      <c r="G451" s="15">
        <v>400</v>
      </c>
      <c r="H451" s="15">
        <f t="shared" si="40"/>
        <v>7400</v>
      </c>
      <c r="I451" s="15">
        <f t="shared" si="41"/>
        <v>1169200</v>
      </c>
      <c r="J451" s="16"/>
      <c r="K451" s="15">
        <v>400000</v>
      </c>
      <c r="L451" s="15">
        <f t="shared" si="36"/>
        <v>3160</v>
      </c>
      <c r="M451" s="16"/>
      <c r="N451" s="16"/>
      <c r="O451" s="15">
        <f t="shared" si="37"/>
        <v>39500</v>
      </c>
      <c r="P451" s="15">
        <f t="shared" si="38"/>
        <v>442660</v>
      </c>
      <c r="Q451" s="15">
        <f t="shared" si="39"/>
        <v>726540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>
        <v>109</v>
      </c>
      <c r="E452" s="15">
        <v>6500</v>
      </c>
      <c r="F452" s="15">
        <v>300</v>
      </c>
      <c r="G452" s="15">
        <v>400</v>
      </c>
      <c r="H452" s="15">
        <f t="shared" si="40"/>
        <v>7200</v>
      </c>
      <c r="I452" s="15">
        <f t="shared" si="41"/>
        <v>784800</v>
      </c>
      <c r="J452" s="16"/>
      <c r="K452" s="15"/>
      <c r="L452" s="15">
        <f t="shared" si="36"/>
        <v>2180</v>
      </c>
      <c r="M452" s="16"/>
      <c r="N452" s="16"/>
      <c r="O452" s="15">
        <f t="shared" si="37"/>
        <v>27250</v>
      </c>
      <c r="P452" s="15">
        <f t="shared" si="38"/>
        <v>29430</v>
      </c>
      <c r="Q452" s="15">
        <f t="shared" si="39"/>
        <v>755370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6500</v>
      </c>
      <c r="F453" s="15">
        <v>300</v>
      </c>
      <c r="G453" s="15">
        <v>400</v>
      </c>
      <c r="H453" s="15">
        <f t="shared" si="40"/>
        <v>7200</v>
      </c>
      <c r="I453" s="15">
        <f t="shared" si="41"/>
        <v>0</v>
      </c>
      <c r="J453" s="16"/>
      <c r="K453" s="15"/>
      <c r="L453" s="15">
        <f t="shared" ref="L453:L474" si="48">D453*20</f>
        <v>0</v>
      </c>
      <c r="M453" s="16"/>
      <c r="N453" s="16"/>
      <c r="O453" s="15">
        <f t="shared" ref="O453:O474" si="49">250*D453</f>
        <v>0</v>
      </c>
      <c r="P453" s="15">
        <f t="shared" ref="P453:P474" si="50">SUM(J453:O453)</f>
        <v>0</v>
      </c>
      <c r="Q453" s="15">
        <f t="shared" ref="Q453:Q474" si="51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133</v>
      </c>
      <c r="E454" s="15">
        <v>6500</v>
      </c>
      <c r="F454" s="15">
        <v>400</v>
      </c>
      <c r="G454" s="15">
        <v>400</v>
      </c>
      <c r="H454" s="15">
        <f t="shared" ref="H454:H474" si="52">SUM(E454:G454)</f>
        <v>7300</v>
      </c>
      <c r="I454" s="15">
        <f t="shared" ref="I454:I475" si="53">H454*D454</f>
        <v>970900</v>
      </c>
      <c r="J454" s="16"/>
      <c r="K454" s="15"/>
      <c r="L454" s="15">
        <f t="shared" si="48"/>
        <v>2660</v>
      </c>
      <c r="M454" s="16"/>
      <c r="N454" s="16"/>
      <c r="O454" s="15">
        <f t="shared" si="49"/>
        <v>33250</v>
      </c>
      <c r="P454" s="15">
        <f t="shared" si="50"/>
        <v>35910</v>
      </c>
      <c r="Q454" s="15">
        <f t="shared" si="51"/>
        <v>934990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6500</v>
      </c>
      <c r="F455" s="15">
        <v>400</v>
      </c>
      <c r="G455" s="15">
        <v>400</v>
      </c>
      <c r="H455" s="15">
        <f t="shared" si="52"/>
        <v>7300</v>
      </c>
      <c r="I455" s="15">
        <f t="shared" si="53"/>
        <v>0</v>
      </c>
      <c r="J455" s="16"/>
      <c r="K455" s="15"/>
      <c r="L455" s="15">
        <f t="shared" si="48"/>
        <v>0</v>
      </c>
      <c r="M455" s="16"/>
      <c r="N455" s="16"/>
      <c r="O455" s="15">
        <f t="shared" si="49"/>
        <v>0</v>
      </c>
      <c r="P455" s="15">
        <f t="shared" si="50"/>
        <v>0</v>
      </c>
      <c r="Q455" s="15">
        <f t="shared" si="51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6500</v>
      </c>
      <c r="F456" s="15">
        <v>300</v>
      </c>
      <c r="G456" s="15">
        <v>400</v>
      </c>
      <c r="H456" s="15">
        <f t="shared" si="52"/>
        <v>7200</v>
      </c>
      <c r="I456" s="15">
        <f t="shared" si="53"/>
        <v>0</v>
      </c>
      <c r="J456" s="16"/>
      <c r="K456" s="15"/>
      <c r="L456" s="15" t="b">
        <f>N11=D456*20</f>
        <v>1</v>
      </c>
      <c r="M456" s="16"/>
      <c r="N456" s="16"/>
      <c r="O456" s="15">
        <f t="shared" si="49"/>
        <v>0</v>
      </c>
      <c r="P456" s="15">
        <f t="shared" si="50"/>
        <v>0</v>
      </c>
      <c r="Q456" s="15">
        <f t="shared" si="51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85</v>
      </c>
      <c r="E457" s="15">
        <v>6500</v>
      </c>
      <c r="F457" s="15">
        <v>500</v>
      </c>
      <c r="G457" s="15">
        <v>400</v>
      </c>
      <c r="H457" s="15">
        <f t="shared" si="52"/>
        <v>7400</v>
      </c>
      <c r="I457" s="15">
        <f t="shared" si="53"/>
        <v>629000</v>
      </c>
      <c r="J457" s="16"/>
      <c r="K457" s="15">
        <v>200000</v>
      </c>
      <c r="L457" s="15">
        <f t="shared" si="48"/>
        <v>1700</v>
      </c>
      <c r="M457" s="16"/>
      <c r="N457" s="16"/>
      <c r="O457" s="15">
        <f t="shared" si="49"/>
        <v>21250</v>
      </c>
      <c r="P457" s="15">
        <f t="shared" si="50"/>
        <v>222950</v>
      </c>
      <c r="Q457" s="15">
        <f t="shared" si="51"/>
        <v>406050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6500</v>
      </c>
      <c r="F458" s="15">
        <v>300</v>
      </c>
      <c r="G458" s="15">
        <v>400</v>
      </c>
      <c r="H458" s="15">
        <f t="shared" si="52"/>
        <v>7200</v>
      </c>
      <c r="I458" s="15">
        <f t="shared" si="53"/>
        <v>0</v>
      </c>
      <c r="J458" s="16"/>
      <c r="K458" s="15"/>
      <c r="L458" s="15">
        <f t="shared" si="48"/>
        <v>0</v>
      </c>
      <c r="M458" s="16"/>
      <c r="N458" s="16"/>
      <c r="O458" s="15">
        <f t="shared" si="49"/>
        <v>0</v>
      </c>
      <c r="P458" s="15">
        <f t="shared" si="50"/>
        <v>0</v>
      </c>
      <c r="Q458" s="15">
        <f t="shared" si="51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77</v>
      </c>
      <c r="E459" s="15">
        <v>6500</v>
      </c>
      <c r="F459" s="15">
        <v>600</v>
      </c>
      <c r="G459" s="15">
        <v>400</v>
      </c>
      <c r="H459" s="15">
        <f t="shared" ref="H459" si="54">SUM(E459:G459)</f>
        <v>7500</v>
      </c>
      <c r="I459" s="15">
        <f t="shared" ref="I459" si="55">H459*D459</f>
        <v>577500</v>
      </c>
      <c r="J459" s="16"/>
      <c r="K459" s="15">
        <v>200000</v>
      </c>
      <c r="L459" s="15">
        <f t="shared" ref="L459" si="56">D459*20</f>
        <v>1540</v>
      </c>
      <c r="M459" s="16"/>
      <c r="N459" s="16"/>
      <c r="O459" s="15">
        <f t="shared" ref="O459" si="57">250*D459</f>
        <v>19250</v>
      </c>
      <c r="P459" s="15">
        <f t="shared" ref="P459" si="58">SUM(J459:O459)</f>
        <v>220790</v>
      </c>
      <c r="Q459" s="15">
        <f t="shared" si="51"/>
        <v>356710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349</v>
      </c>
      <c r="E460" s="15">
        <v>6500</v>
      </c>
      <c r="F460" s="15">
        <v>600</v>
      </c>
      <c r="G460" s="15">
        <v>400</v>
      </c>
      <c r="H460" s="15">
        <f t="shared" si="52"/>
        <v>7500</v>
      </c>
      <c r="I460" s="15">
        <f t="shared" si="53"/>
        <v>2617500</v>
      </c>
      <c r="J460" s="16"/>
      <c r="K460" s="15"/>
      <c r="L460" s="15">
        <f t="shared" si="48"/>
        <v>6980</v>
      </c>
      <c r="M460" s="16"/>
      <c r="N460" s="16"/>
      <c r="O460" s="15">
        <f t="shared" si="49"/>
        <v>87250</v>
      </c>
      <c r="P460" s="15">
        <f t="shared" si="50"/>
        <v>94230</v>
      </c>
      <c r="Q460" s="15">
        <f t="shared" si="51"/>
        <v>2523270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103</v>
      </c>
      <c r="E461" s="15">
        <v>6500</v>
      </c>
      <c r="F461" s="15">
        <v>400</v>
      </c>
      <c r="G461" s="15">
        <v>400</v>
      </c>
      <c r="H461" s="15">
        <f t="shared" si="52"/>
        <v>7300</v>
      </c>
      <c r="I461" s="15">
        <f t="shared" si="53"/>
        <v>751900</v>
      </c>
      <c r="J461" s="16"/>
      <c r="K461" s="15">
        <v>200000</v>
      </c>
      <c r="L461" s="15">
        <f t="shared" si="48"/>
        <v>2060</v>
      </c>
      <c r="M461" s="16"/>
      <c r="N461" s="16"/>
      <c r="O461" s="15">
        <f t="shared" si="49"/>
        <v>25750</v>
      </c>
      <c r="P461" s="15">
        <f t="shared" si="50"/>
        <v>227810</v>
      </c>
      <c r="Q461" s="15">
        <f t="shared" si="51"/>
        <v>524090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202</v>
      </c>
      <c r="E462" s="15">
        <v>6500</v>
      </c>
      <c r="F462" s="15">
        <v>200</v>
      </c>
      <c r="G462" s="15">
        <v>400</v>
      </c>
      <c r="H462" s="15">
        <f t="shared" si="52"/>
        <v>7100</v>
      </c>
      <c r="I462" s="15">
        <f t="shared" si="53"/>
        <v>1434200</v>
      </c>
      <c r="J462" s="16"/>
      <c r="K462" s="15">
        <v>400000</v>
      </c>
      <c r="L462" s="15">
        <f t="shared" si="48"/>
        <v>4040</v>
      </c>
      <c r="M462" s="16"/>
      <c r="N462" s="16"/>
      <c r="O462" s="15">
        <f t="shared" si="49"/>
        <v>50500</v>
      </c>
      <c r="P462" s="15">
        <f t="shared" si="50"/>
        <v>454540</v>
      </c>
      <c r="Q462" s="15">
        <f t="shared" si="51"/>
        <v>979660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132</v>
      </c>
      <c r="E463" s="15">
        <v>6500</v>
      </c>
      <c r="F463" s="15">
        <v>500</v>
      </c>
      <c r="G463" s="15">
        <v>400</v>
      </c>
      <c r="H463" s="15">
        <f t="shared" si="52"/>
        <v>7400</v>
      </c>
      <c r="I463" s="15">
        <f t="shared" si="53"/>
        <v>976800</v>
      </c>
      <c r="J463" s="16"/>
      <c r="K463" s="15">
        <v>200000</v>
      </c>
      <c r="L463" s="15">
        <f t="shared" si="48"/>
        <v>2640</v>
      </c>
      <c r="M463" s="16"/>
      <c r="N463" s="16"/>
      <c r="O463" s="15">
        <f t="shared" si="49"/>
        <v>33000</v>
      </c>
      <c r="P463" s="15">
        <f t="shared" si="50"/>
        <v>235640</v>
      </c>
      <c r="Q463" s="15">
        <f t="shared" si="51"/>
        <v>741160</v>
      </c>
      <c r="R463" s="17"/>
    </row>
    <row r="464" spans="1:18" ht="16.5" x14ac:dyDescent="0.25">
      <c r="A464" s="12">
        <v>1655</v>
      </c>
      <c r="B464" s="13" t="s">
        <v>195</v>
      </c>
      <c r="C464" s="13" t="s">
        <v>30</v>
      </c>
      <c r="D464" s="20">
        <v>82</v>
      </c>
      <c r="E464" s="15">
        <v>6500</v>
      </c>
      <c r="F464" s="15">
        <v>200</v>
      </c>
      <c r="G464" s="15">
        <v>400</v>
      </c>
      <c r="H464" s="15">
        <f t="shared" si="52"/>
        <v>7100</v>
      </c>
      <c r="I464" s="15">
        <f t="shared" si="53"/>
        <v>582200</v>
      </c>
      <c r="J464" s="16"/>
      <c r="K464" s="15"/>
      <c r="L464" s="15">
        <f t="shared" si="48"/>
        <v>1640</v>
      </c>
      <c r="M464" s="16"/>
      <c r="N464" s="16"/>
      <c r="O464" s="15">
        <f t="shared" si="49"/>
        <v>20500</v>
      </c>
      <c r="P464" s="15">
        <f t="shared" si="50"/>
        <v>22140</v>
      </c>
      <c r="Q464" s="15">
        <f t="shared" si="51"/>
        <v>560060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274</v>
      </c>
      <c r="E465" s="15">
        <v>6500</v>
      </c>
      <c r="F465" s="15">
        <v>400</v>
      </c>
      <c r="G465" s="15">
        <v>400</v>
      </c>
      <c r="H465" s="15">
        <f t="shared" si="52"/>
        <v>7300</v>
      </c>
      <c r="I465" s="15">
        <f t="shared" si="53"/>
        <v>2000200</v>
      </c>
      <c r="J465" s="16"/>
      <c r="K465" s="15">
        <v>200000</v>
      </c>
      <c r="L465" s="15">
        <f t="shared" si="48"/>
        <v>5480</v>
      </c>
      <c r="M465" s="16"/>
      <c r="N465" s="16"/>
      <c r="O465" s="15">
        <f t="shared" si="49"/>
        <v>68500</v>
      </c>
      <c r="P465" s="15">
        <f t="shared" si="50"/>
        <v>273980</v>
      </c>
      <c r="Q465" s="15">
        <f t="shared" si="51"/>
        <v>1726220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167</v>
      </c>
      <c r="E466" s="15">
        <v>6500</v>
      </c>
      <c r="F466" s="15">
        <v>500</v>
      </c>
      <c r="G466" s="15">
        <v>400</v>
      </c>
      <c r="H466" s="15">
        <f t="shared" si="52"/>
        <v>7400</v>
      </c>
      <c r="I466" s="15">
        <f t="shared" si="53"/>
        <v>1235800</v>
      </c>
      <c r="J466" s="16"/>
      <c r="K466" s="15"/>
      <c r="L466" s="15">
        <f t="shared" si="48"/>
        <v>3340</v>
      </c>
      <c r="M466" s="16"/>
      <c r="N466" s="16"/>
      <c r="O466" s="15">
        <f t="shared" si="49"/>
        <v>41750</v>
      </c>
      <c r="P466" s="15">
        <f t="shared" si="50"/>
        <v>45090</v>
      </c>
      <c r="Q466" s="15">
        <f t="shared" si="51"/>
        <v>1190710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6500</v>
      </c>
      <c r="F467" s="15">
        <v>400</v>
      </c>
      <c r="G467" s="15">
        <v>400</v>
      </c>
      <c r="H467" s="15">
        <f t="shared" si="52"/>
        <v>7300</v>
      </c>
      <c r="I467" s="15">
        <f t="shared" si="53"/>
        <v>0</v>
      </c>
      <c r="J467" s="16"/>
      <c r="K467" s="15"/>
      <c r="L467" s="15">
        <f t="shared" si="48"/>
        <v>0</v>
      </c>
      <c r="M467" s="16"/>
      <c r="N467" s="16"/>
      <c r="O467" s="15">
        <f t="shared" si="49"/>
        <v>0</v>
      </c>
      <c r="P467" s="15">
        <f t="shared" si="50"/>
        <v>0</v>
      </c>
      <c r="Q467" s="15">
        <f t="shared" si="51"/>
        <v>0</v>
      </c>
      <c r="R467" s="17"/>
    </row>
    <row r="468" spans="1:18" ht="16.5" x14ac:dyDescent="0.25">
      <c r="A468" s="12">
        <v>1660</v>
      </c>
      <c r="B468" s="13" t="s">
        <v>439</v>
      </c>
      <c r="C468" s="13" t="s">
        <v>30</v>
      </c>
      <c r="D468" s="20"/>
      <c r="E468" s="15">
        <v>6500</v>
      </c>
      <c r="F468" s="15">
        <v>400</v>
      </c>
      <c r="G468" s="15">
        <v>400</v>
      </c>
      <c r="H468" s="15">
        <f t="shared" si="52"/>
        <v>7300</v>
      </c>
      <c r="I468" s="15">
        <f t="shared" si="53"/>
        <v>0</v>
      </c>
      <c r="J468" s="16"/>
      <c r="K468" s="15"/>
      <c r="L468" s="15">
        <f t="shared" si="48"/>
        <v>0</v>
      </c>
      <c r="M468" s="16"/>
      <c r="N468" s="16"/>
      <c r="O468" s="15">
        <f t="shared" si="49"/>
        <v>0</v>
      </c>
      <c r="P468" s="15">
        <f t="shared" si="50"/>
        <v>0</v>
      </c>
      <c r="Q468" s="15">
        <f t="shared" si="51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6500</v>
      </c>
      <c r="F469" s="15">
        <v>400</v>
      </c>
      <c r="G469" s="15">
        <v>400</v>
      </c>
      <c r="H469" s="15">
        <f t="shared" si="52"/>
        <v>7300</v>
      </c>
      <c r="I469" s="15">
        <f t="shared" si="53"/>
        <v>0</v>
      </c>
      <c r="J469" s="16"/>
      <c r="K469" s="15">
        <v>600000</v>
      </c>
      <c r="L469" s="15">
        <f t="shared" si="48"/>
        <v>0</v>
      </c>
      <c r="M469" s="16"/>
      <c r="N469" s="16"/>
      <c r="O469" s="15">
        <f t="shared" si="49"/>
        <v>0</v>
      </c>
      <c r="P469" s="15">
        <f t="shared" si="50"/>
        <v>600000</v>
      </c>
      <c r="Q469" s="15">
        <f t="shared" si="51"/>
        <v>-600000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6500</v>
      </c>
      <c r="F470" s="15">
        <v>500</v>
      </c>
      <c r="G470" s="15">
        <v>400</v>
      </c>
      <c r="H470" s="15">
        <f t="shared" si="52"/>
        <v>7400</v>
      </c>
      <c r="I470" s="15">
        <f t="shared" si="53"/>
        <v>0</v>
      </c>
      <c r="J470" s="16"/>
      <c r="K470" s="15"/>
      <c r="L470" s="15">
        <f t="shared" si="48"/>
        <v>0</v>
      </c>
      <c r="M470" s="16"/>
      <c r="N470" s="16"/>
      <c r="O470" s="15">
        <f t="shared" si="49"/>
        <v>0</v>
      </c>
      <c r="P470" s="15">
        <f t="shared" si="50"/>
        <v>0</v>
      </c>
      <c r="Q470" s="15">
        <f t="shared" si="51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/>
      <c r="E471" s="15">
        <v>6500</v>
      </c>
      <c r="F471" s="15">
        <v>300</v>
      </c>
      <c r="G471" s="15">
        <v>400</v>
      </c>
      <c r="H471" s="15">
        <f t="shared" si="52"/>
        <v>7200</v>
      </c>
      <c r="I471" s="15">
        <f t="shared" si="53"/>
        <v>0</v>
      </c>
      <c r="J471" s="16"/>
      <c r="K471" s="15"/>
      <c r="L471" s="15">
        <f t="shared" si="48"/>
        <v>0</v>
      </c>
      <c r="M471" s="16"/>
      <c r="N471" s="16"/>
      <c r="O471" s="15">
        <f t="shared" si="49"/>
        <v>0</v>
      </c>
      <c r="P471" s="15">
        <f t="shared" si="50"/>
        <v>0</v>
      </c>
      <c r="Q471" s="15">
        <f t="shared" si="51"/>
        <v>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6500</v>
      </c>
      <c r="F472" s="15">
        <v>400</v>
      </c>
      <c r="G472" s="15">
        <v>400</v>
      </c>
      <c r="H472" s="15">
        <f t="shared" si="52"/>
        <v>7300</v>
      </c>
      <c r="I472" s="15">
        <f t="shared" si="53"/>
        <v>0</v>
      </c>
      <c r="J472" s="16"/>
      <c r="K472" s="15"/>
      <c r="L472" s="15">
        <f t="shared" si="48"/>
        <v>0</v>
      </c>
      <c r="M472" s="16"/>
      <c r="N472" s="16"/>
      <c r="O472" s="15">
        <f t="shared" si="49"/>
        <v>0</v>
      </c>
      <c r="P472" s="15">
        <f t="shared" si="50"/>
        <v>0</v>
      </c>
      <c r="Q472" s="15">
        <f t="shared" si="51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6500</v>
      </c>
      <c r="F473" s="15">
        <v>400</v>
      </c>
      <c r="G473" s="15">
        <v>400</v>
      </c>
      <c r="H473" s="15">
        <f t="shared" si="52"/>
        <v>7300</v>
      </c>
      <c r="I473" s="15">
        <f t="shared" si="53"/>
        <v>0</v>
      </c>
      <c r="J473" s="16"/>
      <c r="K473" s="15"/>
      <c r="L473" s="15">
        <f t="shared" si="48"/>
        <v>0</v>
      </c>
      <c r="M473" s="16"/>
      <c r="N473" s="16"/>
      <c r="O473" s="15">
        <f t="shared" si="49"/>
        <v>0</v>
      </c>
      <c r="P473" s="15">
        <f t="shared" si="50"/>
        <v>0</v>
      </c>
      <c r="Q473" s="15">
        <f t="shared" si="51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80</v>
      </c>
      <c r="E474" s="15">
        <v>6500</v>
      </c>
      <c r="F474" s="15">
        <v>500</v>
      </c>
      <c r="G474" s="15">
        <v>400</v>
      </c>
      <c r="H474" s="15">
        <f t="shared" si="52"/>
        <v>7400</v>
      </c>
      <c r="I474" s="15">
        <f t="shared" si="53"/>
        <v>592000</v>
      </c>
      <c r="J474" s="16"/>
      <c r="K474" s="15">
        <v>200000</v>
      </c>
      <c r="L474" s="15">
        <f t="shared" si="48"/>
        <v>1600</v>
      </c>
      <c r="M474" s="16"/>
      <c r="N474" s="16"/>
      <c r="O474" s="15">
        <f t="shared" si="49"/>
        <v>20000</v>
      </c>
      <c r="P474" s="15">
        <f t="shared" si="50"/>
        <v>221600</v>
      </c>
      <c r="Q474" s="15">
        <f t="shared" si="51"/>
        <v>370400</v>
      </c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1061</v>
      </c>
      <c r="E475" s="15">
        <v>6500</v>
      </c>
      <c r="F475" s="15">
        <v>600</v>
      </c>
      <c r="G475" s="15">
        <v>400</v>
      </c>
      <c r="H475" s="15">
        <f t="shared" ref="H475" si="59">SUM(E475:G475)</f>
        <v>7500</v>
      </c>
      <c r="I475" s="15">
        <f t="shared" si="53"/>
        <v>7957500</v>
      </c>
      <c r="J475" s="16"/>
      <c r="K475" s="15"/>
      <c r="L475" s="15">
        <f t="shared" ref="L475" si="60">D475*20</f>
        <v>21220</v>
      </c>
      <c r="M475" s="16"/>
      <c r="N475" s="16"/>
      <c r="O475" s="15">
        <f t="shared" ref="O475" si="61">250*D475</f>
        <v>265250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>
        <v>21</v>
      </c>
      <c r="E476" s="15">
        <v>6500</v>
      </c>
      <c r="F476" s="15">
        <v>400</v>
      </c>
      <c r="G476" s="15">
        <v>400</v>
      </c>
      <c r="H476" s="15">
        <f t="shared" ref="H476:H478" si="62">SUM(E476:G476)</f>
        <v>7300</v>
      </c>
      <c r="I476" s="15">
        <f t="shared" ref="I476:I478" si="63">H476*D476</f>
        <v>153300</v>
      </c>
      <c r="J476" s="16"/>
      <c r="K476" s="15"/>
      <c r="L476" s="15">
        <f t="shared" ref="L476:L478" si="64">D476*20</f>
        <v>420</v>
      </c>
      <c r="M476" s="16"/>
      <c r="N476" s="16"/>
      <c r="O476" s="15">
        <f t="shared" ref="O476:O478" si="65">250*D476</f>
        <v>5250</v>
      </c>
      <c r="P476" s="15"/>
      <c r="Q476" s="15"/>
      <c r="R476" s="17"/>
    </row>
    <row r="477" spans="1:18" ht="16.5" x14ac:dyDescent="0.25">
      <c r="A477" s="12">
        <v>1670</v>
      </c>
      <c r="B477" s="13" t="s">
        <v>456</v>
      </c>
      <c r="C477" s="13" t="s">
        <v>36</v>
      </c>
      <c r="D477" s="20">
        <v>214</v>
      </c>
      <c r="E477" s="15">
        <v>6500</v>
      </c>
      <c r="F477" s="15">
        <v>400</v>
      </c>
      <c r="G477" s="15">
        <v>400</v>
      </c>
      <c r="H477" s="15">
        <f t="shared" si="62"/>
        <v>7300</v>
      </c>
      <c r="I477" s="15">
        <f t="shared" si="63"/>
        <v>1562200</v>
      </c>
      <c r="J477" s="16"/>
      <c r="K477" s="15"/>
      <c r="L477" s="15">
        <f t="shared" si="64"/>
        <v>4280</v>
      </c>
      <c r="M477" s="16"/>
      <c r="N477" s="16"/>
      <c r="O477" s="15">
        <f t="shared" si="65"/>
        <v>53500</v>
      </c>
      <c r="P477" s="15"/>
      <c r="Q477" s="15"/>
      <c r="R477" s="17"/>
    </row>
    <row r="478" spans="1:18" ht="16.5" x14ac:dyDescent="0.25">
      <c r="A478" s="12">
        <v>1671</v>
      </c>
      <c r="B478" s="13" t="s">
        <v>459</v>
      </c>
      <c r="C478" s="13" t="s">
        <v>30</v>
      </c>
      <c r="D478" s="20">
        <v>254</v>
      </c>
      <c r="E478" s="15">
        <v>6500</v>
      </c>
      <c r="F478" s="15">
        <v>600</v>
      </c>
      <c r="G478" s="15">
        <v>400</v>
      </c>
      <c r="H478" s="15">
        <f t="shared" si="62"/>
        <v>7500</v>
      </c>
      <c r="I478" s="15">
        <f t="shared" si="63"/>
        <v>1905000</v>
      </c>
      <c r="J478" s="16"/>
      <c r="K478" s="15"/>
      <c r="L478" s="15">
        <f t="shared" si="64"/>
        <v>5080</v>
      </c>
      <c r="M478" s="16"/>
      <c r="N478" s="16"/>
      <c r="O478" s="15">
        <f t="shared" si="65"/>
        <v>63500</v>
      </c>
      <c r="P478" s="15"/>
      <c r="Q478" s="15"/>
      <c r="R478" s="17"/>
    </row>
    <row r="479" spans="1:18" ht="16.5" x14ac:dyDescent="0.25">
      <c r="A479" s="12"/>
      <c r="B479" s="13"/>
      <c r="C479" s="13"/>
      <c r="D479" s="20"/>
      <c r="E479" s="15"/>
      <c r="F479" s="15"/>
      <c r="G479" s="15"/>
      <c r="H479" s="15"/>
      <c r="I479" s="15"/>
      <c r="J479" s="16"/>
      <c r="K479" s="15"/>
      <c r="L479" s="15"/>
      <c r="M479" s="16"/>
      <c r="N479" s="16"/>
      <c r="O479" s="15"/>
      <c r="P479" s="15"/>
      <c r="Q479" s="15"/>
      <c r="R479" s="17"/>
    </row>
    <row r="480" spans="1:18" ht="16.5" x14ac:dyDescent="0.25">
      <c r="A480" s="12"/>
      <c r="B480" s="13"/>
      <c r="C480" s="13"/>
      <c r="D480" s="20"/>
      <c r="E480" s="15"/>
      <c r="F480" s="15"/>
      <c r="G480" s="15"/>
      <c r="H480" s="15"/>
      <c r="I480" s="15"/>
      <c r="J480" s="16"/>
      <c r="K480" s="15"/>
      <c r="L480" s="15"/>
      <c r="M480" s="16"/>
      <c r="N480" s="16"/>
      <c r="O480" s="15"/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>SUM(D4:D482)</f>
        <v>27622</v>
      </c>
      <c r="E483" s="20">
        <f t="shared" ref="E483:P483" si="66">SUM(E4:E482)</f>
        <v>3087500</v>
      </c>
      <c r="F483" s="20">
        <f t="shared" si="66"/>
        <v>178900</v>
      </c>
      <c r="G483" s="20">
        <f t="shared" si="66"/>
        <v>190000</v>
      </c>
      <c r="H483" s="20">
        <f t="shared" si="66"/>
        <v>3448300</v>
      </c>
      <c r="I483" s="20">
        <f t="shared" si="66"/>
        <v>204342500</v>
      </c>
      <c r="J483" s="20">
        <f t="shared" si="66"/>
        <v>300000</v>
      </c>
      <c r="K483" s="20">
        <f t="shared" si="66"/>
        <v>44265000</v>
      </c>
      <c r="L483" s="20">
        <f t="shared" si="66"/>
        <v>552440</v>
      </c>
      <c r="M483" s="20">
        <f t="shared" si="66"/>
        <v>0</v>
      </c>
      <c r="N483" s="20">
        <f t="shared" si="66"/>
        <v>0</v>
      </c>
      <c r="O483" s="20">
        <f t="shared" si="66"/>
        <v>6905500</v>
      </c>
      <c r="P483" s="20">
        <f t="shared" si="66"/>
        <v>51604440</v>
      </c>
      <c r="Q483" s="20">
        <f>SUM(Q4:Q482)</f>
        <v>141160060</v>
      </c>
      <c r="R483" s="36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/>
      <c r="D498" s="40">
        <v>60</v>
      </c>
      <c r="E498" s="16">
        <v>7300</v>
      </c>
      <c r="F498" s="16"/>
      <c r="G498" s="16"/>
      <c r="H498" s="15">
        <f t="shared" ref="H498:H506" si="67">SUM(E498:G498)</f>
        <v>7300</v>
      </c>
      <c r="I498" s="15">
        <f t="shared" ref="I498:I506" si="68">D498*H498</f>
        <v>438000</v>
      </c>
      <c r="J498" s="20"/>
      <c r="K498" s="15"/>
      <c r="L498" s="15"/>
      <c r="M498" s="20"/>
      <c r="N498" s="20"/>
      <c r="O498" s="22"/>
      <c r="P498" s="15">
        <f t="shared" ref="P498:P506" si="69">SUM(J498:O498)</f>
        <v>0</v>
      </c>
      <c r="Q498" s="15">
        <f t="shared" ref="Q498:Q506" si="70">I498-P498</f>
        <v>438000</v>
      </c>
      <c r="R498" s="36"/>
    </row>
    <row r="499" spans="1:18" ht="16.5" x14ac:dyDescent="0.25">
      <c r="A499" s="12">
        <v>0</v>
      </c>
      <c r="B499" s="13" t="s">
        <v>25</v>
      </c>
      <c r="C499" s="13"/>
      <c r="D499" s="20">
        <v>165</v>
      </c>
      <c r="E499" s="16">
        <v>7300</v>
      </c>
      <c r="F499" s="16"/>
      <c r="G499" s="16"/>
      <c r="H499" s="15">
        <f t="shared" si="67"/>
        <v>7300</v>
      </c>
      <c r="I499" s="15">
        <f t="shared" si="68"/>
        <v>1204500</v>
      </c>
      <c r="J499" s="20"/>
      <c r="K499" s="15"/>
      <c r="L499" s="15"/>
      <c r="M499" s="20"/>
      <c r="N499" s="20"/>
      <c r="O499" s="22"/>
      <c r="P499" s="15">
        <f t="shared" si="69"/>
        <v>0</v>
      </c>
      <c r="Q499" s="15">
        <f t="shared" si="70"/>
        <v>1204500</v>
      </c>
      <c r="R499" s="36"/>
    </row>
    <row r="500" spans="1:18" ht="16.5" x14ac:dyDescent="0.25">
      <c r="A500" s="12">
        <v>0</v>
      </c>
      <c r="B500" s="13" t="s">
        <v>21</v>
      </c>
      <c r="C500" s="13"/>
      <c r="D500" s="20">
        <v>9</v>
      </c>
      <c r="E500" s="16">
        <v>7300</v>
      </c>
      <c r="F500" s="16"/>
      <c r="G500" s="16"/>
      <c r="H500" s="15">
        <f t="shared" si="67"/>
        <v>7300</v>
      </c>
      <c r="I500" s="15">
        <f t="shared" si="68"/>
        <v>65700</v>
      </c>
      <c r="J500" s="20"/>
      <c r="K500" s="15"/>
      <c r="L500" s="15"/>
      <c r="M500" s="20"/>
      <c r="N500" s="20"/>
      <c r="O500" s="22"/>
      <c r="P500" s="15">
        <f t="shared" si="69"/>
        <v>0</v>
      </c>
      <c r="Q500" s="15">
        <f t="shared" si="70"/>
        <v>65700</v>
      </c>
      <c r="R500" s="36"/>
    </row>
    <row r="501" spans="1:18" ht="16.5" x14ac:dyDescent="0.25">
      <c r="A501" s="12">
        <v>0</v>
      </c>
      <c r="B501" s="13" t="s">
        <v>47</v>
      </c>
      <c r="C501" s="13"/>
      <c r="D501" s="20">
        <v>70</v>
      </c>
      <c r="E501" s="16">
        <v>7300</v>
      </c>
      <c r="F501" s="16"/>
      <c r="G501" s="16"/>
      <c r="H501" s="15">
        <f t="shared" si="67"/>
        <v>7300</v>
      </c>
      <c r="I501" s="15">
        <f t="shared" si="68"/>
        <v>511000</v>
      </c>
      <c r="J501" s="20"/>
      <c r="K501" s="15"/>
      <c r="L501" s="15"/>
      <c r="M501" s="20"/>
      <c r="N501" s="20"/>
      <c r="O501" s="22"/>
      <c r="P501" s="15">
        <f t="shared" si="69"/>
        <v>0</v>
      </c>
      <c r="Q501" s="15">
        <f t="shared" si="70"/>
        <v>511000</v>
      </c>
      <c r="R501" s="36"/>
    </row>
    <row r="502" spans="1:18" ht="16.5" x14ac:dyDescent="0.25">
      <c r="A502" s="12">
        <v>0</v>
      </c>
      <c r="B502" s="13" t="s">
        <v>43</v>
      </c>
      <c r="C502" s="13"/>
      <c r="D502" s="20">
        <v>260</v>
      </c>
      <c r="E502" s="16">
        <v>7300</v>
      </c>
      <c r="F502" s="16"/>
      <c r="G502" s="16"/>
      <c r="H502" s="15">
        <f t="shared" si="67"/>
        <v>7300</v>
      </c>
      <c r="I502" s="15">
        <f t="shared" si="68"/>
        <v>1898000</v>
      </c>
      <c r="J502" s="20"/>
      <c r="K502" s="15"/>
      <c r="L502" s="15"/>
      <c r="M502" s="20"/>
      <c r="N502" s="20"/>
      <c r="O502" s="22"/>
      <c r="P502" s="15">
        <f t="shared" si="69"/>
        <v>0</v>
      </c>
      <c r="Q502" s="15">
        <f t="shared" si="70"/>
        <v>1898000</v>
      </c>
      <c r="R502" s="36"/>
    </row>
    <row r="503" spans="1:18" ht="16.5" x14ac:dyDescent="0.25">
      <c r="A503" s="12">
        <v>0</v>
      </c>
      <c r="B503" s="13" t="s">
        <v>30</v>
      </c>
      <c r="C503" s="13"/>
      <c r="D503" s="20">
        <v>210</v>
      </c>
      <c r="E503" s="16">
        <v>7300</v>
      </c>
      <c r="F503" s="16"/>
      <c r="G503" s="16"/>
      <c r="H503" s="15">
        <f t="shared" si="67"/>
        <v>7300</v>
      </c>
      <c r="I503" s="15">
        <f t="shared" si="68"/>
        <v>1533000</v>
      </c>
      <c r="J503" s="20"/>
      <c r="K503" s="15"/>
      <c r="L503" s="15"/>
      <c r="M503" s="20"/>
      <c r="N503" s="20"/>
      <c r="O503" s="22"/>
      <c r="P503" s="15">
        <f t="shared" si="69"/>
        <v>0</v>
      </c>
      <c r="Q503" s="15">
        <f t="shared" si="70"/>
        <v>1533000</v>
      </c>
      <c r="R503" s="36"/>
    </row>
    <row r="504" spans="1:18" ht="16.5" x14ac:dyDescent="0.25">
      <c r="A504" s="12">
        <v>0</v>
      </c>
      <c r="B504" s="13" t="s">
        <v>54</v>
      </c>
      <c r="C504" s="13"/>
      <c r="D504" s="20">
        <v>70</v>
      </c>
      <c r="E504" s="16">
        <v>7300</v>
      </c>
      <c r="F504" s="16"/>
      <c r="G504" s="16"/>
      <c r="H504" s="15">
        <f t="shared" si="67"/>
        <v>7300</v>
      </c>
      <c r="I504" s="15">
        <f t="shared" si="68"/>
        <v>511000</v>
      </c>
      <c r="J504" s="20"/>
      <c r="K504" s="15"/>
      <c r="L504" s="15"/>
      <c r="M504" s="20"/>
      <c r="N504" s="20"/>
      <c r="O504" s="22"/>
      <c r="P504" s="15">
        <f t="shared" si="69"/>
        <v>0</v>
      </c>
      <c r="Q504" s="15">
        <f t="shared" si="70"/>
        <v>511000</v>
      </c>
      <c r="R504" s="36"/>
    </row>
    <row r="505" spans="1:18" ht="16.5" x14ac:dyDescent="0.25">
      <c r="A505" s="12">
        <v>0</v>
      </c>
      <c r="B505" s="13" t="s">
        <v>392</v>
      </c>
      <c r="C505" s="13"/>
      <c r="D505" s="20">
        <v>20</v>
      </c>
      <c r="E505" s="16">
        <v>7300</v>
      </c>
      <c r="F505" s="16"/>
      <c r="G505" s="16"/>
      <c r="H505" s="15">
        <f t="shared" si="67"/>
        <v>7300</v>
      </c>
      <c r="I505" s="15">
        <f t="shared" si="68"/>
        <v>146000</v>
      </c>
      <c r="J505" s="20"/>
      <c r="K505" s="15"/>
      <c r="L505" s="15"/>
      <c r="M505" s="20"/>
      <c r="N505" s="20"/>
      <c r="O505" s="22"/>
      <c r="P505" s="15">
        <f t="shared" si="69"/>
        <v>0</v>
      </c>
      <c r="Q505" s="15">
        <f t="shared" si="70"/>
        <v>146000</v>
      </c>
      <c r="R505" s="36"/>
    </row>
    <row r="506" spans="1:18" ht="16.5" x14ac:dyDescent="0.25">
      <c r="A506" s="12">
        <v>0</v>
      </c>
      <c r="B506" s="41" t="s">
        <v>19</v>
      </c>
      <c r="C506" s="13"/>
      <c r="D506" s="20"/>
      <c r="E506" s="16">
        <v>7300</v>
      </c>
      <c r="F506" s="16"/>
      <c r="G506" s="16"/>
      <c r="H506" s="15">
        <f t="shared" si="67"/>
        <v>7300</v>
      </c>
      <c r="I506" s="15">
        <f t="shared" si="68"/>
        <v>0</v>
      </c>
      <c r="J506" s="20"/>
      <c r="K506" s="15"/>
      <c r="L506" s="15"/>
      <c r="M506" s="20"/>
      <c r="N506" s="20"/>
      <c r="O506" s="22"/>
      <c r="P506" s="15">
        <f t="shared" si="69"/>
        <v>0</v>
      </c>
      <c r="Q506" s="15">
        <f t="shared" si="70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>H507-P507</f>
        <v>0</v>
      </c>
      <c r="R507" s="36"/>
    </row>
    <row r="508" spans="1:18" ht="16.5" x14ac:dyDescent="0.25">
      <c r="A508" s="44"/>
      <c r="B508" s="45" t="s">
        <v>393</v>
      </c>
      <c r="C508" s="46"/>
      <c r="D508" s="22">
        <f t="shared" ref="D508:Q508" si="71">SUM(D498:D507)</f>
        <v>864</v>
      </c>
      <c r="E508" s="22">
        <f t="shared" si="71"/>
        <v>65700</v>
      </c>
      <c r="F508" s="22">
        <f t="shared" ref="F508:G508" si="72">SUM(F498:F507)</f>
        <v>0</v>
      </c>
      <c r="G508" s="22">
        <f t="shared" si="72"/>
        <v>0</v>
      </c>
      <c r="H508" s="22">
        <f t="shared" si="71"/>
        <v>65700</v>
      </c>
      <c r="I508" s="22">
        <f t="shared" si="71"/>
        <v>6307200</v>
      </c>
      <c r="J508" s="22">
        <f t="shared" si="71"/>
        <v>0</v>
      </c>
      <c r="K508" s="22">
        <f t="shared" si="71"/>
        <v>0</v>
      </c>
      <c r="L508" s="22">
        <f t="shared" si="71"/>
        <v>0</v>
      </c>
      <c r="M508" s="22">
        <f t="shared" si="71"/>
        <v>0</v>
      </c>
      <c r="N508" s="22">
        <f t="shared" si="71"/>
        <v>0</v>
      </c>
      <c r="O508" s="22">
        <f t="shared" si="71"/>
        <v>0</v>
      </c>
      <c r="P508" s="22">
        <f t="shared" si="71"/>
        <v>0</v>
      </c>
      <c r="Q508" s="22">
        <f t="shared" si="71"/>
        <v>6307200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>
        <f>A496</f>
        <v>0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461</v>
      </c>
      <c r="E520" s="16">
        <v>7200</v>
      </c>
      <c r="F520" s="16"/>
      <c r="G520" s="16"/>
      <c r="H520" s="15">
        <f t="shared" ref="H520:H528" si="73">SUM(E520:G520)</f>
        <v>7200</v>
      </c>
      <c r="I520" s="15">
        <f t="shared" ref="I520:I528" si="74">D520*H520</f>
        <v>0</v>
      </c>
      <c r="J520" s="15"/>
      <c r="K520" s="15"/>
      <c r="L520" s="15"/>
      <c r="M520" s="15"/>
      <c r="N520" s="15"/>
      <c r="O520" s="15"/>
      <c r="P520" s="15">
        <f t="shared" ref="P520:P528" si="75">SUM(J520:O520)</f>
        <v>0</v>
      </c>
      <c r="Q520" s="15">
        <f t="shared" ref="Q520:Q528" si="76"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si="73"/>
        <v>8000</v>
      </c>
      <c r="I521" s="15">
        <f t="shared" si="74"/>
        <v>0</v>
      </c>
      <c r="J521" s="15"/>
      <c r="K521" s="15"/>
      <c r="L521" s="15"/>
      <c r="M521" s="15"/>
      <c r="N521" s="15"/>
      <c r="O521" s="15"/>
      <c r="P521" s="15">
        <f t="shared" si="75"/>
        <v>0</v>
      </c>
      <c r="Q521" s="15">
        <f t="shared" si="76"/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>
        <v>280</v>
      </c>
      <c r="E522" s="16">
        <v>8000</v>
      </c>
      <c r="F522" s="16"/>
      <c r="G522" s="16"/>
      <c r="H522" s="15">
        <f t="shared" si="73"/>
        <v>8000</v>
      </c>
      <c r="I522" s="15">
        <f t="shared" si="74"/>
        <v>2240000</v>
      </c>
      <c r="J522" s="15"/>
      <c r="K522" s="15"/>
      <c r="L522" s="15"/>
      <c r="M522" s="15"/>
      <c r="N522" s="15"/>
      <c r="O522" s="15"/>
      <c r="P522" s="15">
        <f t="shared" si="75"/>
        <v>0</v>
      </c>
      <c r="Q522" s="15">
        <f t="shared" si="76"/>
        <v>2240000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>
        <v>390</v>
      </c>
      <c r="E523" s="16">
        <v>7400</v>
      </c>
      <c r="F523" s="16"/>
      <c r="G523" s="16"/>
      <c r="H523" s="15">
        <f t="shared" si="73"/>
        <v>7400</v>
      </c>
      <c r="I523" s="15">
        <f t="shared" si="74"/>
        <v>2886000</v>
      </c>
      <c r="J523" s="15"/>
      <c r="K523" s="15"/>
      <c r="L523" s="15"/>
      <c r="M523" s="15"/>
      <c r="N523" s="15"/>
      <c r="O523" s="15"/>
      <c r="P523" s="15">
        <f t="shared" si="75"/>
        <v>0</v>
      </c>
      <c r="Q523" s="15">
        <f t="shared" si="76"/>
        <v>2886000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>
        <v>417</v>
      </c>
      <c r="E524" s="16">
        <v>7400</v>
      </c>
      <c r="F524" s="16"/>
      <c r="G524" s="16"/>
      <c r="H524" s="15">
        <f t="shared" si="73"/>
        <v>7400</v>
      </c>
      <c r="I524" s="15">
        <f t="shared" si="74"/>
        <v>3085800</v>
      </c>
      <c r="J524" s="15"/>
      <c r="K524" s="15"/>
      <c r="L524" s="15"/>
      <c r="M524" s="15"/>
      <c r="N524" s="15"/>
      <c r="O524" s="15"/>
      <c r="P524" s="15">
        <f t="shared" si="75"/>
        <v>0</v>
      </c>
      <c r="Q524" s="15">
        <f t="shared" si="76"/>
        <v>3085800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>
        <v>3041</v>
      </c>
      <c r="E525" s="16">
        <v>8000</v>
      </c>
      <c r="F525" s="16"/>
      <c r="G525" s="16"/>
      <c r="H525" s="15">
        <f t="shared" si="73"/>
        <v>8000</v>
      </c>
      <c r="I525" s="15">
        <f t="shared" si="74"/>
        <v>24328000</v>
      </c>
      <c r="J525" s="15"/>
      <c r="K525" s="15"/>
      <c r="L525" s="15"/>
      <c r="M525" s="15"/>
      <c r="N525" s="15"/>
      <c r="O525" s="15"/>
      <c r="P525" s="15">
        <f t="shared" si="75"/>
        <v>0</v>
      </c>
      <c r="Q525" s="15">
        <f t="shared" si="76"/>
        <v>24328000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>
        <v>540</v>
      </c>
      <c r="E526" s="61">
        <v>7500</v>
      </c>
      <c r="F526" s="61"/>
      <c r="G526" s="61"/>
      <c r="H526" s="15">
        <f t="shared" si="73"/>
        <v>7500</v>
      </c>
      <c r="I526" s="15">
        <f t="shared" si="74"/>
        <v>4050000</v>
      </c>
      <c r="J526" s="15"/>
      <c r="K526" s="15"/>
      <c r="L526" s="15"/>
      <c r="M526" s="15"/>
      <c r="N526" s="15"/>
      <c r="O526" s="15"/>
      <c r="P526" s="15">
        <f t="shared" si="75"/>
        <v>0</v>
      </c>
      <c r="Q526" s="15">
        <f t="shared" si="76"/>
        <v>4050000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73"/>
        <v>7500</v>
      </c>
      <c r="I527" s="15">
        <f t="shared" si="74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75"/>
        <v>0</v>
      </c>
      <c r="Q527" s="15">
        <f t="shared" si="76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73"/>
        <v>0</v>
      </c>
      <c r="I528" s="15">
        <f t="shared" si="74"/>
        <v>0</v>
      </c>
      <c r="J528" s="15"/>
      <c r="K528" s="15"/>
      <c r="L528" s="15"/>
      <c r="M528" s="15"/>
      <c r="N528" s="15"/>
      <c r="O528" s="15"/>
      <c r="P528" s="15">
        <f t="shared" si="75"/>
        <v>0</v>
      </c>
      <c r="Q528" s="15">
        <f t="shared" si="76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 t="shared" ref="D529:Q529" si="77">SUM(D520:D528)</f>
        <v>4668</v>
      </c>
      <c r="E529" s="22">
        <f t="shared" si="77"/>
        <v>61000</v>
      </c>
      <c r="F529" s="22">
        <f t="shared" ref="F529:G529" si="78">SUM(F520:F528)</f>
        <v>0</v>
      </c>
      <c r="G529" s="22">
        <f t="shared" si="78"/>
        <v>0</v>
      </c>
      <c r="H529" s="22">
        <f t="shared" si="77"/>
        <v>61000</v>
      </c>
      <c r="I529" s="22">
        <f t="shared" si="77"/>
        <v>36589800</v>
      </c>
      <c r="J529" s="22">
        <f t="shared" si="77"/>
        <v>0</v>
      </c>
      <c r="K529" s="22">
        <f t="shared" si="77"/>
        <v>0</v>
      </c>
      <c r="L529" s="22">
        <f t="shared" si="77"/>
        <v>0</v>
      </c>
      <c r="M529" s="22">
        <f t="shared" si="77"/>
        <v>0</v>
      </c>
      <c r="N529" s="22">
        <f t="shared" si="77"/>
        <v>0</v>
      </c>
      <c r="O529" s="22">
        <f t="shared" si="77"/>
        <v>0</v>
      </c>
      <c r="P529" s="22">
        <f t="shared" si="77"/>
        <v>0</v>
      </c>
      <c r="Q529" s="22">
        <f t="shared" si="77"/>
        <v>36589800</v>
      </c>
      <c r="R529" s="47"/>
    </row>
    <row r="530" spans="1:18" ht="16.5" x14ac:dyDescent="0.25">
      <c r="A530" s="74" t="s">
        <v>398</v>
      </c>
      <c r="B530" s="75"/>
      <c r="C530" s="76"/>
      <c r="D530" s="22">
        <f t="shared" ref="D530:Q530" si="79">SUM(D508,D483,D529)</f>
        <v>33154</v>
      </c>
      <c r="E530" s="22">
        <f t="shared" si="79"/>
        <v>3214200</v>
      </c>
      <c r="F530" s="22">
        <f t="shared" si="79"/>
        <v>178900</v>
      </c>
      <c r="G530" s="22">
        <f t="shared" si="79"/>
        <v>190000</v>
      </c>
      <c r="H530" s="22">
        <f t="shared" si="79"/>
        <v>3575000</v>
      </c>
      <c r="I530" s="22">
        <f t="shared" si="79"/>
        <v>247239500</v>
      </c>
      <c r="J530" s="22">
        <f t="shared" si="79"/>
        <v>300000</v>
      </c>
      <c r="K530" s="22">
        <f t="shared" si="79"/>
        <v>44265000</v>
      </c>
      <c r="L530" s="22">
        <f t="shared" si="79"/>
        <v>552440</v>
      </c>
      <c r="M530" s="22">
        <f t="shared" si="79"/>
        <v>0</v>
      </c>
      <c r="N530" s="22">
        <f t="shared" si="79"/>
        <v>0</v>
      </c>
      <c r="O530" s="22">
        <f t="shared" si="79"/>
        <v>6905500</v>
      </c>
      <c r="P530" s="22">
        <f t="shared" si="79"/>
        <v>51604440</v>
      </c>
      <c r="Q530" s="22">
        <f t="shared" si="79"/>
        <v>184057060</v>
      </c>
      <c r="R530" s="47"/>
    </row>
    <row r="531" spans="1:18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466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18:R518"/>
    <mergeCell ref="A529:C529"/>
    <mergeCell ref="A530:C530"/>
    <mergeCell ref="A496:R496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6"/>
  <sheetViews>
    <sheetView tabSelected="1" zoomScaleNormal="100" workbookViewId="0">
      <pane xSplit="2" ySplit="3" topLeftCell="C446" activePane="bottomRight" state="frozen"/>
      <selection pane="topRight"/>
      <selection pane="bottomLeft"/>
      <selection pane="bottomRight" activeCell="K455" sqref="K455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 x14ac:dyDescent="0.25">
      <c r="A1" s="78" t="s">
        <v>476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449</v>
      </c>
      <c r="C2" s="80"/>
      <c r="D2" s="81" t="s">
        <v>0</v>
      </c>
      <c r="E2" s="82"/>
      <c r="F2" s="82"/>
      <c r="G2" s="82"/>
      <c r="H2" s="82"/>
      <c r="I2" s="3"/>
      <c r="J2" s="83" t="s">
        <v>405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6500</v>
      </c>
      <c r="F4" s="15">
        <v>400</v>
      </c>
      <c r="G4" s="15">
        <v>400</v>
      </c>
      <c r="H4" s="15">
        <f>SUM(E4:G4)</f>
        <v>7300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194</v>
      </c>
      <c r="E5" s="15">
        <v>6500</v>
      </c>
      <c r="F5" s="15">
        <v>300</v>
      </c>
      <c r="G5" s="15">
        <v>400</v>
      </c>
      <c r="H5" s="15">
        <f t="shared" ref="H5:H69" si="3">SUM(E5:G5)</f>
        <v>7200</v>
      </c>
      <c r="I5" s="15">
        <f t="shared" ref="I5:I69" si="4">H5*D5</f>
        <v>1396800</v>
      </c>
      <c r="J5" s="16"/>
      <c r="K5" s="15">
        <v>1050000</v>
      </c>
      <c r="L5" s="15">
        <f t="shared" si="0"/>
        <v>3880</v>
      </c>
      <c r="M5" s="16"/>
      <c r="N5" s="16"/>
      <c r="O5" s="15">
        <f t="shared" si="1"/>
        <v>48500</v>
      </c>
      <c r="P5" s="15">
        <f t="shared" si="2"/>
        <v>1102380</v>
      </c>
      <c r="Q5" s="15">
        <f t="shared" ref="Q5:Q68" si="5">I5-P5</f>
        <v>294420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358</v>
      </c>
      <c r="E6" s="15">
        <v>6500</v>
      </c>
      <c r="F6" s="15">
        <v>600</v>
      </c>
      <c r="G6" s="15">
        <v>400</v>
      </c>
      <c r="H6" s="15">
        <f t="shared" si="3"/>
        <v>7500</v>
      </c>
      <c r="I6" s="15">
        <f t="shared" si="4"/>
        <v>2685000</v>
      </c>
      <c r="J6" s="16"/>
      <c r="K6" s="15">
        <v>1680000</v>
      </c>
      <c r="L6" s="15">
        <f t="shared" si="0"/>
        <v>7160</v>
      </c>
      <c r="M6" s="16"/>
      <c r="N6" s="16"/>
      <c r="O6" s="15">
        <f t="shared" si="1"/>
        <v>89500</v>
      </c>
      <c r="P6" s="15">
        <f t="shared" si="2"/>
        <v>1776660</v>
      </c>
      <c r="Q6" s="15">
        <f t="shared" si="5"/>
        <v>908340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6500</v>
      </c>
      <c r="F7" s="15">
        <v>400</v>
      </c>
      <c r="G7" s="15">
        <v>400</v>
      </c>
      <c r="H7" s="15">
        <f t="shared" si="3"/>
        <v>7300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6500</v>
      </c>
      <c r="F8" s="15">
        <v>400</v>
      </c>
      <c r="G8" s="15">
        <v>400</v>
      </c>
      <c r="H8" s="15">
        <f t="shared" si="3"/>
        <v>7300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427</v>
      </c>
      <c r="E9" s="15">
        <v>6500</v>
      </c>
      <c r="F9" s="15">
        <v>500</v>
      </c>
      <c r="G9" s="15">
        <v>400</v>
      </c>
      <c r="H9" s="15">
        <f t="shared" si="3"/>
        <v>7400</v>
      </c>
      <c r="I9" s="15">
        <f t="shared" si="4"/>
        <v>3159800</v>
      </c>
      <c r="J9" s="16"/>
      <c r="K9" s="15">
        <v>1260000</v>
      </c>
      <c r="L9" s="15">
        <f t="shared" si="0"/>
        <v>8540</v>
      </c>
      <c r="M9" s="16"/>
      <c r="N9" s="16"/>
      <c r="O9" s="15">
        <f t="shared" si="1"/>
        <v>106750</v>
      </c>
      <c r="P9" s="15">
        <f t="shared" si="2"/>
        <v>1375290</v>
      </c>
      <c r="Q9" s="15">
        <f t="shared" si="5"/>
        <v>1784510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6500</v>
      </c>
      <c r="F10" s="15">
        <v>400</v>
      </c>
      <c r="G10" s="15">
        <v>400</v>
      </c>
      <c r="H10" s="15">
        <f t="shared" si="3"/>
        <v>7300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>
        <v>96</v>
      </c>
      <c r="E11" s="15">
        <v>6500</v>
      </c>
      <c r="F11" s="15">
        <v>500</v>
      </c>
      <c r="G11" s="15">
        <v>400</v>
      </c>
      <c r="H11" s="15">
        <f t="shared" si="3"/>
        <v>7400</v>
      </c>
      <c r="I11" s="15">
        <f t="shared" si="4"/>
        <v>710400</v>
      </c>
      <c r="J11" s="20"/>
      <c r="K11" s="15">
        <v>210000</v>
      </c>
      <c r="L11" s="15">
        <f t="shared" si="0"/>
        <v>1920</v>
      </c>
      <c r="M11" s="20"/>
      <c r="N11" s="20"/>
      <c r="O11" s="15">
        <f t="shared" si="1"/>
        <v>24000</v>
      </c>
      <c r="P11" s="15">
        <f t="shared" si="2"/>
        <v>235920</v>
      </c>
      <c r="Q11" s="15">
        <f t="shared" si="5"/>
        <v>474480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6500</v>
      </c>
      <c r="F12" s="15">
        <v>400</v>
      </c>
      <c r="G12" s="15">
        <v>400</v>
      </c>
      <c r="H12" s="15">
        <f t="shared" si="3"/>
        <v>7300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6500</v>
      </c>
      <c r="F13" s="15">
        <v>400</v>
      </c>
      <c r="G13" s="15">
        <v>400</v>
      </c>
      <c r="H13" s="15">
        <f t="shared" si="3"/>
        <v>7300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6500</v>
      </c>
      <c r="F14" s="15">
        <v>400</v>
      </c>
      <c r="G14" s="15">
        <v>400</v>
      </c>
      <c r="H14" s="15">
        <f t="shared" si="3"/>
        <v>7300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6500</v>
      </c>
      <c r="F15" s="15">
        <v>400</v>
      </c>
      <c r="G15" s="15">
        <v>400</v>
      </c>
      <c r="H15" s="15">
        <f t="shared" si="3"/>
        <v>7300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6500</v>
      </c>
      <c r="F16" s="15">
        <v>400</v>
      </c>
      <c r="G16" s="15">
        <v>400</v>
      </c>
      <c r="H16" s="15">
        <f t="shared" si="3"/>
        <v>7300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6500</v>
      </c>
      <c r="F17" s="15">
        <v>400</v>
      </c>
      <c r="G17" s="15">
        <v>400</v>
      </c>
      <c r="H17" s="15">
        <f t="shared" si="3"/>
        <v>7300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226</v>
      </c>
      <c r="E18" s="15">
        <v>6500</v>
      </c>
      <c r="F18" s="15">
        <v>500</v>
      </c>
      <c r="G18" s="15">
        <v>400</v>
      </c>
      <c r="H18" s="15">
        <f t="shared" si="3"/>
        <v>7400</v>
      </c>
      <c r="I18" s="15">
        <f t="shared" si="4"/>
        <v>1672400</v>
      </c>
      <c r="J18" s="16"/>
      <c r="K18" s="15">
        <v>420000</v>
      </c>
      <c r="L18" s="15">
        <f t="shared" si="0"/>
        <v>4520</v>
      </c>
      <c r="M18" s="16"/>
      <c r="N18" s="16"/>
      <c r="O18" s="15">
        <f t="shared" si="1"/>
        <v>56500</v>
      </c>
      <c r="P18" s="15">
        <f t="shared" si="2"/>
        <v>481020</v>
      </c>
      <c r="Q18" s="15">
        <f t="shared" si="5"/>
        <v>1191380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6500</v>
      </c>
      <c r="F19" s="15">
        <v>400</v>
      </c>
      <c r="G19" s="15">
        <v>400</v>
      </c>
      <c r="H19" s="15">
        <f t="shared" si="3"/>
        <v>7300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6500</v>
      </c>
      <c r="F20" s="15">
        <v>400</v>
      </c>
      <c r="G20" s="15">
        <v>400</v>
      </c>
      <c r="H20" s="15">
        <f t="shared" si="3"/>
        <v>7300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6500</v>
      </c>
      <c r="F21" s="15">
        <v>400</v>
      </c>
      <c r="G21" s="15">
        <v>400</v>
      </c>
      <c r="H21" s="15">
        <f t="shared" si="3"/>
        <v>7300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6500</v>
      </c>
      <c r="F22" s="15">
        <v>400</v>
      </c>
      <c r="G22" s="15">
        <v>400</v>
      </c>
      <c r="H22" s="15">
        <f t="shared" si="3"/>
        <v>7300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6500</v>
      </c>
      <c r="F23" s="15">
        <v>400</v>
      </c>
      <c r="G23" s="15">
        <v>400</v>
      </c>
      <c r="H23" s="15">
        <f t="shared" si="3"/>
        <v>7300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6500</v>
      </c>
      <c r="F24" s="15">
        <v>400</v>
      </c>
      <c r="G24" s="15">
        <v>400</v>
      </c>
      <c r="H24" s="15">
        <f t="shared" si="3"/>
        <v>7300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6500</v>
      </c>
      <c r="F25" s="15">
        <v>400</v>
      </c>
      <c r="G25" s="15">
        <v>400</v>
      </c>
      <c r="H25" s="15">
        <f t="shared" si="3"/>
        <v>7300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6500</v>
      </c>
      <c r="F26" s="15">
        <v>400</v>
      </c>
      <c r="G26" s="15">
        <v>400</v>
      </c>
      <c r="H26" s="15">
        <f t="shared" si="3"/>
        <v>7300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261</v>
      </c>
      <c r="E27" s="15">
        <v>6500</v>
      </c>
      <c r="F27" s="15">
        <v>500</v>
      </c>
      <c r="G27" s="15">
        <v>400</v>
      </c>
      <c r="H27" s="15">
        <f t="shared" si="3"/>
        <v>7400</v>
      </c>
      <c r="I27" s="15">
        <f t="shared" si="4"/>
        <v>1931400</v>
      </c>
      <c r="J27" s="16"/>
      <c r="K27" s="15">
        <v>630000</v>
      </c>
      <c r="L27" s="15">
        <f t="shared" si="0"/>
        <v>5220</v>
      </c>
      <c r="M27" s="16"/>
      <c r="N27" s="16"/>
      <c r="O27" s="15">
        <f t="shared" si="1"/>
        <v>65250</v>
      </c>
      <c r="P27" s="15">
        <f t="shared" si="2"/>
        <v>700470</v>
      </c>
      <c r="Q27" s="15">
        <f t="shared" si="5"/>
        <v>1230930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6500</v>
      </c>
      <c r="F28" s="15">
        <v>400</v>
      </c>
      <c r="G28" s="15">
        <v>400</v>
      </c>
      <c r="H28" s="15">
        <f t="shared" si="3"/>
        <v>7300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65</v>
      </c>
      <c r="E29" s="15">
        <v>6500</v>
      </c>
      <c r="F29" s="15">
        <v>500</v>
      </c>
      <c r="G29" s="15">
        <v>400</v>
      </c>
      <c r="H29" s="15">
        <f t="shared" si="3"/>
        <v>7400</v>
      </c>
      <c r="I29" s="15">
        <f t="shared" si="4"/>
        <v>481000</v>
      </c>
      <c r="J29" s="16"/>
      <c r="K29" s="15">
        <v>225000</v>
      </c>
      <c r="L29" s="15">
        <f t="shared" si="0"/>
        <v>1300</v>
      </c>
      <c r="M29" s="16"/>
      <c r="N29" s="16"/>
      <c r="O29" s="15">
        <f t="shared" si="1"/>
        <v>16250</v>
      </c>
      <c r="P29" s="15">
        <f t="shared" si="2"/>
        <v>242550</v>
      </c>
      <c r="Q29" s="15">
        <f t="shared" si="5"/>
        <v>238450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69</v>
      </c>
      <c r="E30" s="15">
        <v>6500</v>
      </c>
      <c r="F30" s="15">
        <v>200</v>
      </c>
      <c r="G30" s="15">
        <v>400</v>
      </c>
      <c r="H30" s="15">
        <f t="shared" si="3"/>
        <v>7100</v>
      </c>
      <c r="I30" s="15">
        <f t="shared" si="4"/>
        <v>489900</v>
      </c>
      <c r="J30" s="16"/>
      <c r="K30" s="15">
        <v>210000</v>
      </c>
      <c r="L30" s="15">
        <f t="shared" si="0"/>
        <v>1380</v>
      </c>
      <c r="M30" s="16"/>
      <c r="N30" s="16"/>
      <c r="O30" s="15">
        <f t="shared" si="1"/>
        <v>17250</v>
      </c>
      <c r="P30" s="15">
        <f t="shared" si="2"/>
        <v>228630</v>
      </c>
      <c r="Q30" s="15">
        <f t="shared" si="5"/>
        <v>261270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6500</v>
      </c>
      <c r="F31" s="15">
        <v>300</v>
      </c>
      <c r="G31" s="15">
        <v>400</v>
      </c>
      <c r="H31" s="15">
        <f t="shared" si="3"/>
        <v>7200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6500</v>
      </c>
      <c r="F32" s="15">
        <v>400</v>
      </c>
      <c r="G32" s="15">
        <v>400</v>
      </c>
      <c r="H32" s="15">
        <f t="shared" si="3"/>
        <v>7300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6500</v>
      </c>
      <c r="F33" s="15">
        <v>300</v>
      </c>
      <c r="G33" s="15">
        <v>400</v>
      </c>
      <c r="H33" s="15">
        <f t="shared" si="3"/>
        <v>7200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6500</v>
      </c>
      <c r="F34" s="15">
        <v>300</v>
      </c>
      <c r="G34" s="15">
        <v>400</v>
      </c>
      <c r="H34" s="15">
        <f t="shared" si="3"/>
        <v>7200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318</v>
      </c>
      <c r="E35" s="15">
        <v>6500</v>
      </c>
      <c r="F35" s="15">
        <v>300</v>
      </c>
      <c r="G35" s="15">
        <v>400</v>
      </c>
      <c r="H35" s="15">
        <f t="shared" si="3"/>
        <v>7200</v>
      </c>
      <c r="I35" s="15">
        <f t="shared" si="4"/>
        <v>2289600</v>
      </c>
      <c r="J35" s="16"/>
      <c r="K35" s="15"/>
      <c r="L35" s="15">
        <f t="shared" si="0"/>
        <v>6360</v>
      </c>
      <c r="M35" s="16"/>
      <c r="N35" s="16"/>
      <c r="O35" s="15">
        <f t="shared" si="1"/>
        <v>79500</v>
      </c>
      <c r="P35" s="15">
        <f t="shared" si="2"/>
        <v>85860</v>
      </c>
      <c r="Q35" s="15">
        <f t="shared" si="5"/>
        <v>2203740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6500</v>
      </c>
      <c r="F36" s="15">
        <v>400</v>
      </c>
      <c r="G36" s="15">
        <v>400</v>
      </c>
      <c r="H36" s="15">
        <f t="shared" si="3"/>
        <v>7300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531</v>
      </c>
      <c r="E37" s="15">
        <v>6500</v>
      </c>
      <c r="F37" s="15">
        <v>400</v>
      </c>
      <c r="G37" s="15">
        <v>400</v>
      </c>
      <c r="H37" s="15">
        <f t="shared" si="3"/>
        <v>7300</v>
      </c>
      <c r="I37" s="15">
        <f t="shared" si="4"/>
        <v>3876300</v>
      </c>
      <c r="J37" s="16"/>
      <c r="K37" s="15">
        <v>1470000</v>
      </c>
      <c r="L37" s="15">
        <f t="shared" si="0"/>
        <v>10620</v>
      </c>
      <c r="M37" s="20"/>
      <c r="N37" s="20"/>
      <c r="O37" s="15">
        <f t="shared" si="1"/>
        <v>132750</v>
      </c>
      <c r="P37" s="15">
        <f t="shared" si="2"/>
        <v>1613370</v>
      </c>
      <c r="Q37" s="15">
        <f t="shared" si="5"/>
        <v>2262930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6500</v>
      </c>
      <c r="F38" s="15">
        <v>300</v>
      </c>
      <c r="G38" s="15">
        <v>400</v>
      </c>
      <c r="H38" s="15">
        <f t="shared" si="3"/>
        <v>7200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6500</v>
      </c>
      <c r="F39" s="15">
        <v>300</v>
      </c>
      <c r="G39" s="15">
        <v>400</v>
      </c>
      <c r="H39" s="15">
        <f t="shared" si="3"/>
        <v>7200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448</v>
      </c>
      <c r="C40" s="13" t="s">
        <v>23</v>
      </c>
      <c r="D40" s="14">
        <v>223</v>
      </c>
      <c r="E40" s="15">
        <v>6500</v>
      </c>
      <c r="F40" s="15">
        <v>600</v>
      </c>
      <c r="G40" s="15">
        <v>400</v>
      </c>
      <c r="H40" s="15">
        <f t="shared" si="3"/>
        <v>7500</v>
      </c>
      <c r="I40" s="15">
        <f t="shared" si="4"/>
        <v>1672500</v>
      </c>
      <c r="J40" s="16"/>
      <c r="K40" s="15"/>
      <c r="L40" s="15">
        <f t="shared" si="0"/>
        <v>4460</v>
      </c>
      <c r="M40" s="20"/>
      <c r="N40" s="20"/>
      <c r="O40" s="15">
        <f t="shared" si="1"/>
        <v>55750</v>
      </c>
      <c r="P40" s="15">
        <f t="shared" si="2"/>
        <v>60210</v>
      </c>
      <c r="Q40" s="15">
        <f t="shared" si="5"/>
        <v>1612290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241</v>
      </c>
      <c r="E41" s="15">
        <v>6500</v>
      </c>
      <c r="F41" s="15">
        <v>500</v>
      </c>
      <c r="G41" s="15">
        <v>400</v>
      </c>
      <c r="H41" s="15">
        <f t="shared" si="3"/>
        <v>7400</v>
      </c>
      <c r="I41" s="15">
        <f t="shared" si="4"/>
        <v>1783400</v>
      </c>
      <c r="J41" s="20"/>
      <c r="K41" s="15">
        <v>455000</v>
      </c>
      <c r="L41" s="15">
        <f t="shared" si="0"/>
        <v>4820</v>
      </c>
      <c r="M41" s="20"/>
      <c r="N41" s="20"/>
      <c r="O41" s="15">
        <f t="shared" si="1"/>
        <v>60250</v>
      </c>
      <c r="P41" s="15">
        <f t="shared" si="2"/>
        <v>520070</v>
      </c>
      <c r="Q41" s="15">
        <f t="shared" si="5"/>
        <v>1263330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6500</v>
      </c>
      <c r="F42" s="15">
        <v>300</v>
      </c>
      <c r="G42" s="15">
        <v>400</v>
      </c>
      <c r="H42" s="15">
        <f t="shared" si="3"/>
        <v>7200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148</v>
      </c>
      <c r="E43" s="15">
        <v>6500</v>
      </c>
      <c r="F43" s="15">
        <v>600</v>
      </c>
      <c r="G43" s="15">
        <v>400</v>
      </c>
      <c r="H43" s="15">
        <f t="shared" si="3"/>
        <v>7500</v>
      </c>
      <c r="I43" s="15">
        <f t="shared" si="4"/>
        <v>1110000</v>
      </c>
      <c r="J43" s="16"/>
      <c r="K43" s="15">
        <v>645000</v>
      </c>
      <c r="L43" s="15">
        <f t="shared" si="0"/>
        <v>2960</v>
      </c>
      <c r="M43" s="16"/>
      <c r="N43" s="16"/>
      <c r="O43" s="15">
        <f t="shared" si="1"/>
        <v>37000</v>
      </c>
      <c r="P43" s="15">
        <f t="shared" si="2"/>
        <v>684960</v>
      </c>
      <c r="Q43" s="15">
        <f t="shared" si="5"/>
        <v>425040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6500</v>
      </c>
      <c r="F44" s="15">
        <v>300</v>
      </c>
      <c r="G44" s="15">
        <v>400</v>
      </c>
      <c r="H44" s="15">
        <f t="shared" si="3"/>
        <v>7200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6500</v>
      </c>
      <c r="F45" s="15">
        <v>400</v>
      </c>
      <c r="G45" s="15">
        <v>400</v>
      </c>
      <c r="H45" s="15">
        <f t="shared" si="3"/>
        <v>7300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6500</v>
      </c>
      <c r="F46" s="15">
        <v>300</v>
      </c>
      <c r="G46" s="15">
        <v>400</v>
      </c>
      <c r="H46" s="15">
        <f t="shared" si="3"/>
        <v>7200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6500</v>
      </c>
      <c r="F47" s="15">
        <v>300</v>
      </c>
      <c r="G47" s="15">
        <v>400</v>
      </c>
      <c r="H47" s="15">
        <f t="shared" si="3"/>
        <v>7200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6500</v>
      </c>
      <c r="F48" s="15">
        <v>400</v>
      </c>
      <c r="G48" s="15">
        <v>400</v>
      </c>
      <c r="H48" s="15">
        <f t="shared" si="3"/>
        <v>7300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6500</v>
      </c>
      <c r="F49" s="15">
        <v>300</v>
      </c>
      <c r="G49" s="15">
        <v>400</v>
      </c>
      <c r="H49" s="15">
        <f t="shared" si="3"/>
        <v>7200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357</v>
      </c>
      <c r="E50" s="15">
        <v>6500</v>
      </c>
      <c r="F50" s="15">
        <v>400</v>
      </c>
      <c r="G50" s="15">
        <v>400</v>
      </c>
      <c r="H50" s="15">
        <f t="shared" si="3"/>
        <v>7300</v>
      </c>
      <c r="I50" s="15">
        <f t="shared" si="4"/>
        <v>2606100</v>
      </c>
      <c r="J50" s="16"/>
      <c r="K50" s="15">
        <v>1260000</v>
      </c>
      <c r="L50" s="15">
        <f t="shared" si="0"/>
        <v>7140</v>
      </c>
      <c r="M50" s="16"/>
      <c r="N50" s="16"/>
      <c r="O50" s="15">
        <f t="shared" si="1"/>
        <v>89250</v>
      </c>
      <c r="P50" s="15">
        <f t="shared" si="2"/>
        <v>1356390</v>
      </c>
      <c r="Q50" s="15">
        <f t="shared" si="5"/>
        <v>1249710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416</v>
      </c>
      <c r="E51" s="15">
        <v>6500</v>
      </c>
      <c r="F51" s="15">
        <v>400</v>
      </c>
      <c r="G51" s="15">
        <v>400</v>
      </c>
      <c r="H51" s="15">
        <f t="shared" si="3"/>
        <v>7300</v>
      </c>
      <c r="I51" s="15">
        <f t="shared" si="4"/>
        <v>3036800</v>
      </c>
      <c r="J51" s="16">
        <v>210000</v>
      </c>
      <c r="K51" s="15">
        <v>840000</v>
      </c>
      <c r="L51" s="15">
        <f t="shared" si="0"/>
        <v>8320</v>
      </c>
      <c r="M51" s="16"/>
      <c r="N51" s="16"/>
      <c r="O51" s="15">
        <f t="shared" si="1"/>
        <v>104000</v>
      </c>
      <c r="P51" s="15">
        <f t="shared" si="2"/>
        <v>1162320</v>
      </c>
      <c r="Q51" s="15">
        <f t="shared" si="5"/>
        <v>1874480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54</v>
      </c>
      <c r="E52" s="15">
        <v>6500</v>
      </c>
      <c r="F52" s="15">
        <v>500</v>
      </c>
      <c r="G52" s="15">
        <v>400</v>
      </c>
      <c r="H52" s="15">
        <f t="shared" si="3"/>
        <v>7400</v>
      </c>
      <c r="I52" s="15">
        <f t="shared" si="4"/>
        <v>399600</v>
      </c>
      <c r="J52" s="16"/>
      <c r="K52" s="15">
        <v>210000</v>
      </c>
      <c r="L52" s="15">
        <f t="shared" si="0"/>
        <v>1080</v>
      </c>
      <c r="M52" s="16"/>
      <c r="N52" s="16"/>
      <c r="O52" s="15">
        <f t="shared" si="1"/>
        <v>13500</v>
      </c>
      <c r="P52" s="15">
        <f t="shared" si="2"/>
        <v>224580</v>
      </c>
      <c r="Q52" s="15">
        <f t="shared" si="5"/>
        <v>175020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88</v>
      </c>
      <c r="E53" s="15">
        <v>6500</v>
      </c>
      <c r="F53" s="15">
        <v>500</v>
      </c>
      <c r="G53" s="15">
        <v>400</v>
      </c>
      <c r="H53" s="15">
        <f t="shared" si="3"/>
        <v>7400</v>
      </c>
      <c r="I53" s="15">
        <f t="shared" si="4"/>
        <v>651200</v>
      </c>
      <c r="J53" s="16"/>
      <c r="K53" s="15">
        <v>315000</v>
      </c>
      <c r="L53" s="15">
        <f t="shared" si="0"/>
        <v>1760</v>
      </c>
      <c r="M53" s="16"/>
      <c r="N53" s="16"/>
      <c r="O53" s="15">
        <f t="shared" si="1"/>
        <v>22000</v>
      </c>
      <c r="P53" s="15">
        <f t="shared" si="2"/>
        <v>338760</v>
      </c>
      <c r="Q53" s="15">
        <f t="shared" si="5"/>
        <v>312440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6500</v>
      </c>
      <c r="F54" s="15">
        <v>300</v>
      </c>
      <c r="G54" s="15">
        <v>400</v>
      </c>
      <c r="H54" s="15">
        <f t="shared" si="3"/>
        <v>7200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6500</v>
      </c>
      <c r="F55" s="15">
        <v>300</v>
      </c>
      <c r="G55" s="15">
        <v>400</v>
      </c>
      <c r="H55" s="15">
        <f t="shared" si="3"/>
        <v>7200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171</v>
      </c>
      <c r="E56" s="15">
        <v>6500</v>
      </c>
      <c r="F56" s="15">
        <v>500</v>
      </c>
      <c r="G56" s="15">
        <v>400</v>
      </c>
      <c r="H56" s="15">
        <f t="shared" si="3"/>
        <v>7400</v>
      </c>
      <c r="I56" s="15">
        <f t="shared" si="4"/>
        <v>1265400</v>
      </c>
      <c r="J56" s="16"/>
      <c r="K56" s="15">
        <v>420000</v>
      </c>
      <c r="L56" s="15">
        <f t="shared" si="0"/>
        <v>3420</v>
      </c>
      <c r="M56" s="20"/>
      <c r="N56" s="20"/>
      <c r="O56" s="15">
        <f t="shared" si="1"/>
        <v>42750</v>
      </c>
      <c r="P56" s="15">
        <f t="shared" si="2"/>
        <v>466170</v>
      </c>
      <c r="Q56" s="15">
        <f t="shared" si="5"/>
        <v>799230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6500</v>
      </c>
      <c r="F57" s="15">
        <v>500</v>
      </c>
      <c r="G57" s="15">
        <v>400</v>
      </c>
      <c r="H57" s="15">
        <f t="shared" si="3"/>
        <v>7400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6500</v>
      </c>
      <c r="F58" s="15">
        <v>300</v>
      </c>
      <c r="G58" s="15">
        <v>400</v>
      </c>
      <c r="H58" s="15">
        <f t="shared" si="3"/>
        <v>7200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157</v>
      </c>
      <c r="E59" s="15">
        <v>6500</v>
      </c>
      <c r="F59" s="15">
        <v>600</v>
      </c>
      <c r="G59" s="15">
        <v>400</v>
      </c>
      <c r="H59" s="15">
        <f t="shared" si="3"/>
        <v>7500</v>
      </c>
      <c r="I59" s="15">
        <f t="shared" si="4"/>
        <v>1177500</v>
      </c>
      <c r="J59" s="16"/>
      <c r="K59" s="15">
        <v>420000</v>
      </c>
      <c r="L59" s="15">
        <f t="shared" si="0"/>
        <v>3140</v>
      </c>
      <c r="M59" s="16"/>
      <c r="N59" s="16"/>
      <c r="O59" s="15">
        <f t="shared" si="1"/>
        <v>39250</v>
      </c>
      <c r="P59" s="15">
        <f t="shared" si="2"/>
        <v>462390</v>
      </c>
      <c r="Q59" s="15">
        <f t="shared" si="5"/>
        <v>715110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6500</v>
      </c>
      <c r="F60" s="15">
        <v>300</v>
      </c>
      <c r="G60" s="15">
        <v>400</v>
      </c>
      <c r="H60" s="15">
        <f t="shared" si="3"/>
        <v>7200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6500</v>
      </c>
      <c r="F61" s="15">
        <v>300</v>
      </c>
      <c r="G61" s="15">
        <v>400</v>
      </c>
      <c r="H61" s="15">
        <f t="shared" si="3"/>
        <v>7200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1265</v>
      </c>
      <c r="E62" s="15">
        <v>6500</v>
      </c>
      <c r="F62" s="15">
        <v>600</v>
      </c>
      <c r="G62" s="15">
        <v>400</v>
      </c>
      <c r="H62" s="15">
        <f t="shared" si="3"/>
        <v>7500</v>
      </c>
      <c r="I62" s="15">
        <f t="shared" si="4"/>
        <v>9487500</v>
      </c>
      <c r="J62" s="16"/>
      <c r="K62" s="15"/>
      <c r="L62" s="15">
        <f t="shared" si="0"/>
        <v>25300</v>
      </c>
      <c r="M62" s="20"/>
      <c r="N62" s="20"/>
      <c r="O62" s="15">
        <f t="shared" si="1"/>
        <v>316250</v>
      </c>
      <c r="P62" s="15">
        <f t="shared" si="2"/>
        <v>341550</v>
      </c>
      <c r="Q62" s="15">
        <f t="shared" si="5"/>
        <v>9145950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6500</v>
      </c>
      <c r="F63" s="15">
        <v>300</v>
      </c>
      <c r="G63" s="15">
        <v>400</v>
      </c>
      <c r="H63" s="15">
        <f t="shared" si="3"/>
        <v>7200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6500</v>
      </c>
      <c r="F64" s="15">
        <v>400</v>
      </c>
      <c r="G64" s="15">
        <v>400</v>
      </c>
      <c r="H64" s="15">
        <f t="shared" si="3"/>
        <v>7300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6500</v>
      </c>
      <c r="F65" s="15">
        <v>300</v>
      </c>
      <c r="G65" s="15">
        <v>400</v>
      </c>
      <c r="H65" s="15">
        <f t="shared" si="3"/>
        <v>7200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161</v>
      </c>
      <c r="E66" s="15">
        <v>6500</v>
      </c>
      <c r="F66" s="15">
        <v>500</v>
      </c>
      <c r="G66" s="15">
        <v>400</v>
      </c>
      <c r="H66" s="15">
        <f t="shared" si="3"/>
        <v>7400</v>
      </c>
      <c r="I66" s="15">
        <f t="shared" si="4"/>
        <v>1191400</v>
      </c>
      <c r="J66" s="20"/>
      <c r="K66" s="15">
        <v>210000</v>
      </c>
      <c r="L66" s="15">
        <f t="shared" si="0"/>
        <v>3220</v>
      </c>
      <c r="M66" s="20"/>
      <c r="N66" s="20"/>
      <c r="O66" s="15">
        <f t="shared" si="1"/>
        <v>40250</v>
      </c>
      <c r="P66" s="15">
        <f t="shared" si="2"/>
        <v>253470</v>
      </c>
      <c r="Q66" s="15">
        <f t="shared" si="5"/>
        <v>937930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6500</v>
      </c>
      <c r="F67" s="15">
        <v>300</v>
      </c>
      <c r="G67" s="15">
        <v>400</v>
      </c>
      <c r="H67" s="15">
        <f t="shared" si="3"/>
        <v>7200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6500</v>
      </c>
      <c r="F68" s="15">
        <v>300</v>
      </c>
      <c r="G68" s="15">
        <v>400</v>
      </c>
      <c r="H68" s="15">
        <f t="shared" si="3"/>
        <v>7200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311</v>
      </c>
      <c r="E69" s="15">
        <v>6500</v>
      </c>
      <c r="F69" s="15">
        <v>600</v>
      </c>
      <c r="G69" s="15">
        <v>400</v>
      </c>
      <c r="H69" s="15">
        <f t="shared" si="3"/>
        <v>7500</v>
      </c>
      <c r="I69" s="15">
        <f t="shared" si="4"/>
        <v>2332500</v>
      </c>
      <c r="J69" s="16">
        <v>205000</v>
      </c>
      <c r="K69" s="15">
        <v>840000</v>
      </c>
      <c r="L69" s="15">
        <f t="shared" ref="L69:L132" si="6">D69*20</f>
        <v>6220</v>
      </c>
      <c r="M69" s="20"/>
      <c r="N69" s="20"/>
      <c r="O69" s="15">
        <f t="shared" ref="O69:O132" si="7">250*D69</f>
        <v>77750</v>
      </c>
      <c r="P69" s="15">
        <f t="shared" ref="P69:P132" si="8">SUM(J69:O69)</f>
        <v>1128970</v>
      </c>
      <c r="Q69" s="15">
        <f t="shared" ref="Q69:Q132" si="9">I69-P69</f>
        <v>1203530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6500</v>
      </c>
      <c r="F70" s="15">
        <v>300</v>
      </c>
      <c r="G70" s="15">
        <v>400</v>
      </c>
      <c r="H70" s="15">
        <f t="shared" ref="H70:H133" si="10">SUM(E70:G70)</f>
        <v>7200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6500</v>
      </c>
      <c r="F71" s="15">
        <v>400</v>
      </c>
      <c r="G71" s="15">
        <v>400</v>
      </c>
      <c r="H71" s="15">
        <f t="shared" si="10"/>
        <v>7300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103</v>
      </c>
      <c r="E72" s="15">
        <v>6500</v>
      </c>
      <c r="F72" s="15">
        <v>400</v>
      </c>
      <c r="G72" s="15">
        <v>400</v>
      </c>
      <c r="H72" s="15">
        <f t="shared" si="10"/>
        <v>7300</v>
      </c>
      <c r="I72" s="15">
        <f t="shared" si="11"/>
        <v>751900</v>
      </c>
      <c r="J72" s="16"/>
      <c r="K72" s="15">
        <v>420000</v>
      </c>
      <c r="L72" s="15">
        <f t="shared" si="6"/>
        <v>2060</v>
      </c>
      <c r="M72" s="20"/>
      <c r="N72" s="20"/>
      <c r="O72" s="15">
        <f t="shared" si="7"/>
        <v>25750</v>
      </c>
      <c r="P72" s="15">
        <f t="shared" si="8"/>
        <v>447810</v>
      </c>
      <c r="Q72" s="15">
        <f t="shared" si="9"/>
        <v>304090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6500</v>
      </c>
      <c r="F73" s="15">
        <v>500</v>
      </c>
      <c r="G73" s="15">
        <v>400</v>
      </c>
      <c r="H73" s="15">
        <f t="shared" si="10"/>
        <v>7400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6500</v>
      </c>
      <c r="F74" s="15">
        <v>300</v>
      </c>
      <c r="G74" s="15">
        <v>400</v>
      </c>
      <c r="H74" s="15">
        <f t="shared" si="10"/>
        <v>7200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6500</v>
      </c>
      <c r="F75" s="15">
        <v>500</v>
      </c>
      <c r="G75" s="15">
        <v>400</v>
      </c>
      <c r="H75" s="15">
        <f t="shared" si="10"/>
        <v>7400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209</v>
      </c>
      <c r="E76" s="15">
        <v>6500</v>
      </c>
      <c r="F76" s="15">
        <v>500</v>
      </c>
      <c r="G76" s="15">
        <v>400</v>
      </c>
      <c r="H76" s="15">
        <f t="shared" si="10"/>
        <v>7400</v>
      </c>
      <c r="I76" s="15">
        <f t="shared" si="11"/>
        <v>1546600</v>
      </c>
      <c r="J76" s="20"/>
      <c r="K76" s="15">
        <v>420000</v>
      </c>
      <c r="L76" s="15">
        <f t="shared" si="6"/>
        <v>4180</v>
      </c>
      <c r="M76" s="20"/>
      <c r="N76" s="20"/>
      <c r="O76" s="15">
        <f t="shared" si="7"/>
        <v>52250</v>
      </c>
      <c r="P76" s="15">
        <f t="shared" si="8"/>
        <v>476430</v>
      </c>
      <c r="Q76" s="15">
        <f t="shared" si="9"/>
        <v>1070170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6500</v>
      </c>
      <c r="F77" s="15">
        <v>300</v>
      </c>
      <c r="G77" s="15">
        <v>400</v>
      </c>
      <c r="H77" s="15">
        <f t="shared" si="10"/>
        <v>7200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638</v>
      </c>
      <c r="E78" s="15">
        <v>6500</v>
      </c>
      <c r="F78" s="15">
        <v>600</v>
      </c>
      <c r="G78" s="15">
        <v>400</v>
      </c>
      <c r="H78" s="15">
        <f t="shared" si="10"/>
        <v>7500</v>
      </c>
      <c r="I78" s="15">
        <f t="shared" si="11"/>
        <v>4785000</v>
      </c>
      <c r="J78" s="16"/>
      <c r="K78" s="15">
        <v>2565000</v>
      </c>
      <c r="L78" s="15">
        <f t="shared" si="6"/>
        <v>12760</v>
      </c>
      <c r="M78" s="20"/>
      <c r="N78" s="20"/>
      <c r="O78" s="15">
        <f t="shared" si="7"/>
        <v>159500</v>
      </c>
      <c r="P78" s="15">
        <f t="shared" si="8"/>
        <v>2737260</v>
      </c>
      <c r="Q78" s="15">
        <f t="shared" si="9"/>
        <v>2047740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6500</v>
      </c>
      <c r="F79" s="15">
        <v>300</v>
      </c>
      <c r="G79" s="15">
        <v>400</v>
      </c>
      <c r="H79" s="15">
        <f t="shared" si="10"/>
        <v>7200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6500</v>
      </c>
      <c r="F80" s="15">
        <v>400</v>
      </c>
      <c r="G80" s="15">
        <v>400</v>
      </c>
      <c r="H80" s="15">
        <f t="shared" si="10"/>
        <v>7300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6500</v>
      </c>
      <c r="F81" s="15">
        <v>300</v>
      </c>
      <c r="G81" s="15">
        <v>400</v>
      </c>
      <c r="H81" s="15">
        <f t="shared" si="10"/>
        <v>7200</v>
      </c>
      <c r="I81" s="15">
        <f t="shared" si="11"/>
        <v>0</v>
      </c>
      <c r="J81" s="16"/>
      <c r="K81" s="15"/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0</v>
      </c>
      <c r="Q81" s="15">
        <f t="shared" si="9"/>
        <v>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6500</v>
      </c>
      <c r="F82" s="15">
        <v>300</v>
      </c>
      <c r="G82" s="15">
        <v>400</v>
      </c>
      <c r="H82" s="15">
        <f t="shared" si="10"/>
        <v>7200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92</v>
      </c>
      <c r="E83" s="15">
        <v>6500</v>
      </c>
      <c r="F83" s="15">
        <v>600</v>
      </c>
      <c r="G83" s="15">
        <v>400</v>
      </c>
      <c r="H83" s="15">
        <f t="shared" si="10"/>
        <v>7500</v>
      </c>
      <c r="I83" s="15">
        <f t="shared" si="11"/>
        <v>690000</v>
      </c>
      <c r="J83" s="16"/>
      <c r="K83" s="15">
        <v>455000</v>
      </c>
      <c r="L83" s="15">
        <f t="shared" si="6"/>
        <v>1840</v>
      </c>
      <c r="M83" s="20"/>
      <c r="N83" s="20"/>
      <c r="O83" s="15">
        <f t="shared" si="7"/>
        <v>23000</v>
      </c>
      <c r="P83" s="15">
        <f t="shared" si="8"/>
        <v>479840</v>
      </c>
      <c r="Q83" s="15">
        <f t="shared" si="9"/>
        <v>210160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6500</v>
      </c>
      <c r="F84" s="15">
        <v>300</v>
      </c>
      <c r="G84" s="15">
        <v>400</v>
      </c>
      <c r="H84" s="15">
        <f t="shared" si="10"/>
        <v>7200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106</v>
      </c>
      <c r="E85" s="15">
        <v>6500</v>
      </c>
      <c r="F85" s="15">
        <v>400</v>
      </c>
      <c r="G85" s="15">
        <v>400</v>
      </c>
      <c r="H85" s="15">
        <f t="shared" si="10"/>
        <v>7300</v>
      </c>
      <c r="I85" s="15">
        <f t="shared" si="11"/>
        <v>773800</v>
      </c>
      <c r="J85" s="16"/>
      <c r="K85" s="15">
        <v>420000</v>
      </c>
      <c r="L85" s="15">
        <f t="shared" si="6"/>
        <v>2120</v>
      </c>
      <c r="M85" s="20"/>
      <c r="N85" s="20"/>
      <c r="O85" s="15">
        <f t="shared" si="7"/>
        <v>26500</v>
      </c>
      <c r="P85" s="15">
        <f t="shared" si="8"/>
        <v>448620</v>
      </c>
      <c r="Q85" s="15">
        <f t="shared" si="9"/>
        <v>325180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6500</v>
      </c>
      <c r="F86" s="15">
        <v>300</v>
      </c>
      <c r="G86" s="15">
        <v>400</v>
      </c>
      <c r="H86" s="15">
        <f t="shared" si="10"/>
        <v>7200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6500</v>
      </c>
      <c r="F87" s="15">
        <v>300</v>
      </c>
      <c r="G87" s="15">
        <v>400</v>
      </c>
      <c r="H87" s="15">
        <f t="shared" si="10"/>
        <v>7200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6500</v>
      </c>
      <c r="F88" s="15">
        <v>400</v>
      </c>
      <c r="G88" s="15">
        <v>400</v>
      </c>
      <c r="H88" s="15">
        <f t="shared" si="10"/>
        <v>7300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6500</v>
      </c>
      <c r="F89" s="15">
        <v>300</v>
      </c>
      <c r="G89" s="15">
        <v>400</v>
      </c>
      <c r="H89" s="15">
        <f t="shared" si="10"/>
        <v>7200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6500</v>
      </c>
      <c r="F90" s="15">
        <v>300</v>
      </c>
      <c r="G90" s="15">
        <v>400</v>
      </c>
      <c r="H90" s="15">
        <f t="shared" si="10"/>
        <v>7200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416</v>
      </c>
      <c r="C91" s="13" t="s">
        <v>19</v>
      </c>
      <c r="D91" s="19"/>
      <c r="E91" s="15">
        <v>6500</v>
      </c>
      <c r="F91" s="15">
        <v>200</v>
      </c>
      <c r="G91" s="15">
        <v>400</v>
      </c>
      <c r="H91" s="15">
        <f t="shared" si="10"/>
        <v>7100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96</v>
      </c>
      <c r="E92" s="15">
        <v>6500</v>
      </c>
      <c r="F92" s="15">
        <v>500</v>
      </c>
      <c r="G92" s="15">
        <v>400</v>
      </c>
      <c r="H92" s="15">
        <f t="shared" si="10"/>
        <v>7400</v>
      </c>
      <c r="I92" s="15">
        <f t="shared" si="11"/>
        <v>710400</v>
      </c>
      <c r="J92" s="16"/>
      <c r="K92" s="15">
        <v>210000</v>
      </c>
      <c r="L92" s="15">
        <f t="shared" si="6"/>
        <v>1920</v>
      </c>
      <c r="M92" s="16"/>
      <c r="N92" s="16"/>
      <c r="O92" s="15">
        <f t="shared" si="7"/>
        <v>24000</v>
      </c>
      <c r="P92" s="15">
        <f t="shared" si="8"/>
        <v>235920</v>
      </c>
      <c r="Q92" s="15">
        <f t="shared" si="9"/>
        <v>474480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6500</v>
      </c>
      <c r="F93" s="15">
        <v>400</v>
      </c>
      <c r="G93" s="15">
        <v>400</v>
      </c>
      <c r="H93" s="15">
        <f t="shared" si="10"/>
        <v>7300</v>
      </c>
      <c r="I93" s="15">
        <f t="shared" si="11"/>
        <v>0</v>
      </c>
      <c r="J93" s="16"/>
      <c r="K93" s="15"/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0</v>
      </c>
      <c r="Q93" s="15">
        <f t="shared" si="9"/>
        <v>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6500</v>
      </c>
      <c r="F94" s="15">
        <v>300</v>
      </c>
      <c r="G94" s="15">
        <v>400</v>
      </c>
      <c r="H94" s="15">
        <f t="shared" si="10"/>
        <v>7200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196</v>
      </c>
      <c r="E95" s="15">
        <v>6500</v>
      </c>
      <c r="F95" s="15">
        <v>500</v>
      </c>
      <c r="G95" s="15">
        <v>400</v>
      </c>
      <c r="H95" s="15">
        <f t="shared" si="10"/>
        <v>7400</v>
      </c>
      <c r="I95" s="15">
        <f t="shared" si="11"/>
        <v>1450400</v>
      </c>
      <c r="J95" s="16"/>
      <c r="K95" s="15">
        <v>420000</v>
      </c>
      <c r="L95" s="15">
        <f t="shared" si="6"/>
        <v>3920</v>
      </c>
      <c r="M95" s="20"/>
      <c r="N95" s="20"/>
      <c r="O95" s="15">
        <f t="shared" si="7"/>
        <v>49000</v>
      </c>
      <c r="P95" s="15">
        <f t="shared" si="8"/>
        <v>472920</v>
      </c>
      <c r="Q95" s="15">
        <f t="shared" si="9"/>
        <v>977480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6500</v>
      </c>
      <c r="F96" s="15">
        <v>300</v>
      </c>
      <c r="G96" s="15">
        <v>400</v>
      </c>
      <c r="H96" s="15">
        <f t="shared" si="10"/>
        <v>7200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6500</v>
      </c>
      <c r="F97" s="15">
        <v>200</v>
      </c>
      <c r="G97" s="15">
        <v>400</v>
      </c>
      <c r="H97" s="15">
        <f t="shared" si="10"/>
        <v>7100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6500</v>
      </c>
      <c r="F98" s="15">
        <v>300</v>
      </c>
      <c r="G98" s="15">
        <v>400</v>
      </c>
      <c r="H98" s="15">
        <f t="shared" si="10"/>
        <v>7200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6500</v>
      </c>
      <c r="F99" s="15">
        <v>300</v>
      </c>
      <c r="G99" s="15">
        <v>400</v>
      </c>
      <c r="H99" s="15">
        <f t="shared" si="10"/>
        <v>7200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6500</v>
      </c>
      <c r="F100" s="15">
        <v>300</v>
      </c>
      <c r="G100" s="15">
        <v>400</v>
      </c>
      <c r="H100" s="15">
        <f t="shared" si="10"/>
        <v>7200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6500</v>
      </c>
      <c r="F101" s="15">
        <v>300</v>
      </c>
      <c r="G101" s="15">
        <v>400</v>
      </c>
      <c r="H101" s="15">
        <f t="shared" si="10"/>
        <v>7200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190</v>
      </c>
      <c r="E102" s="15">
        <v>6500</v>
      </c>
      <c r="F102" s="15">
        <v>200</v>
      </c>
      <c r="G102" s="15">
        <v>400</v>
      </c>
      <c r="H102" s="15">
        <f t="shared" si="10"/>
        <v>7100</v>
      </c>
      <c r="I102" s="15">
        <f t="shared" si="11"/>
        <v>1349000</v>
      </c>
      <c r="J102" s="16"/>
      <c r="K102" s="15">
        <v>210000</v>
      </c>
      <c r="L102" s="15">
        <f t="shared" si="6"/>
        <v>3800</v>
      </c>
      <c r="M102" s="20"/>
      <c r="N102" s="20"/>
      <c r="O102" s="15">
        <f t="shared" si="7"/>
        <v>47500</v>
      </c>
      <c r="P102" s="15">
        <f t="shared" si="8"/>
        <v>261300</v>
      </c>
      <c r="Q102" s="15">
        <f t="shared" si="9"/>
        <v>1087700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6500</v>
      </c>
      <c r="F103" s="15">
        <v>300</v>
      </c>
      <c r="G103" s="15">
        <v>400</v>
      </c>
      <c r="H103" s="15">
        <f t="shared" si="10"/>
        <v>7200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6500</v>
      </c>
      <c r="F104" s="15">
        <v>300</v>
      </c>
      <c r="G104" s="15">
        <v>400</v>
      </c>
      <c r="H104" s="15">
        <f t="shared" si="10"/>
        <v>7200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6500</v>
      </c>
      <c r="F105" s="15">
        <v>300</v>
      </c>
      <c r="G105" s="15">
        <v>400</v>
      </c>
      <c r="H105" s="15">
        <f t="shared" si="10"/>
        <v>7200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6500</v>
      </c>
      <c r="F106" s="15">
        <v>300</v>
      </c>
      <c r="G106" s="15">
        <v>400</v>
      </c>
      <c r="H106" s="15">
        <f t="shared" si="10"/>
        <v>7200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6500</v>
      </c>
      <c r="F107" s="15">
        <v>400</v>
      </c>
      <c r="G107" s="15">
        <v>400</v>
      </c>
      <c r="H107" s="15">
        <f t="shared" si="10"/>
        <v>7300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6500</v>
      </c>
      <c r="F108" s="15">
        <v>300</v>
      </c>
      <c r="G108" s="15">
        <v>400</v>
      </c>
      <c r="H108" s="15">
        <f t="shared" si="10"/>
        <v>7200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6500</v>
      </c>
      <c r="F109" s="15">
        <v>500</v>
      </c>
      <c r="G109" s="15">
        <v>400</v>
      </c>
      <c r="H109" s="15">
        <f t="shared" si="10"/>
        <v>7400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6500</v>
      </c>
      <c r="F110" s="15">
        <v>300</v>
      </c>
      <c r="G110" s="15">
        <v>400</v>
      </c>
      <c r="H110" s="15">
        <f t="shared" si="10"/>
        <v>7200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6500</v>
      </c>
      <c r="F111" s="15">
        <v>300</v>
      </c>
      <c r="G111" s="15">
        <v>400</v>
      </c>
      <c r="H111" s="15">
        <f t="shared" si="10"/>
        <v>7200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6500</v>
      </c>
      <c r="F112" s="15">
        <v>300</v>
      </c>
      <c r="G112" s="15">
        <v>400</v>
      </c>
      <c r="H112" s="15">
        <f t="shared" si="10"/>
        <v>7200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6500</v>
      </c>
      <c r="F113" s="15">
        <v>400</v>
      </c>
      <c r="G113" s="15">
        <v>400</v>
      </c>
      <c r="H113" s="15">
        <f t="shared" si="10"/>
        <v>7300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886</v>
      </c>
      <c r="E114" s="15">
        <v>6500</v>
      </c>
      <c r="F114" s="15">
        <v>600</v>
      </c>
      <c r="G114" s="15">
        <v>400</v>
      </c>
      <c r="H114" s="15">
        <f t="shared" si="10"/>
        <v>7500</v>
      </c>
      <c r="I114" s="15">
        <f t="shared" si="11"/>
        <v>6645000</v>
      </c>
      <c r="J114" s="16"/>
      <c r="K114" s="15"/>
      <c r="L114" s="15">
        <f t="shared" si="6"/>
        <v>17720</v>
      </c>
      <c r="M114" s="16"/>
      <c r="N114" s="16"/>
      <c r="O114" s="15">
        <f t="shared" si="7"/>
        <v>221500</v>
      </c>
      <c r="P114" s="15">
        <f t="shared" si="8"/>
        <v>239220</v>
      </c>
      <c r="Q114" s="15">
        <f t="shared" si="9"/>
        <v>6405780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6500</v>
      </c>
      <c r="F115" s="15">
        <v>400</v>
      </c>
      <c r="G115" s="15">
        <v>400</v>
      </c>
      <c r="H115" s="15">
        <f t="shared" si="10"/>
        <v>7300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6500</v>
      </c>
      <c r="F116" s="15">
        <v>400</v>
      </c>
      <c r="G116" s="15">
        <v>400</v>
      </c>
      <c r="H116" s="15">
        <f t="shared" si="10"/>
        <v>7300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6500</v>
      </c>
      <c r="F117" s="15">
        <v>300</v>
      </c>
      <c r="G117" s="15">
        <v>400</v>
      </c>
      <c r="H117" s="15">
        <f t="shared" si="10"/>
        <v>7200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55</v>
      </c>
      <c r="E118" s="15">
        <v>6500</v>
      </c>
      <c r="F118" s="15">
        <v>500</v>
      </c>
      <c r="G118" s="15">
        <v>400</v>
      </c>
      <c r="H118" s="15">
        <f t="shared" si="10"/>
        <v>7400</v>
      </c>
      <c r="I118" s="15">
        <f t="shared" si="11"/>
        <v>407000</v>
      </c>
      <c r="J118" s="20"/>
      <c r="K118" s="15">
        <v>210000</v>
      </c>
      <c r="L118" s="15">
        <f t="shared" si="6"/>
        <v>1100</v>
      </c>
      <c r="M118" s="16"/>
      <c r="N118" s="16"/>
      <c r="O118" s="15">
        <f t="shared" si="7"/>
        <v>13750</v>
      </c>
      <c r="P118" s="15">
        <f t="shared" si="8"/>
        <v>224850</v>
      </c>
      <c r="Q118" s="15">
        <f t="shared" si="9"/>
        <v>182150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259</v>
      </c>
      <c r="E119" s="15">
        <v>6500</v>
      </c>
      <c r="F119" s="15">
        <v>500</v>
      </c>
      <c r="G119" s="15">
        <v>400</v>
      </c>
      <c r="H119" s="15">
        <f t="shared" si="10"/>
        <v>7400</v>
      </c>
      <c r="I119" s="15">
        <f t="shared" si="11"/>
        <v>1916600</v>
      </c>
      <c r="J119" s="16"/>
      <c r="K119" s="15"/>
      <c r="L119" s="15">
        <f t="shared" si="6"/>
        <v>5180</v>
      </c>
      <c r="M119" s="16"/>
      <c r="N119" s="16"/>
      <c r="O119" s="15">
        <f t="shared" si="7"/>
        <v>64750</v>
      </c>
      <c r="P119" s="15">
        <f t="shared" si="8"/>
        <v>69930</v>
      </c>
      <c r="Q119" s="15">
        <f t="shared" si="9"/>
        <v>1846670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36</v>
      </c>
      <c r="E120" s="15">
        <v>6500</v>
      </c>
      <c r="F120" s="15">
        <v>600</v>
      </c>
      <c r="G120" s="15">
        <v>400</v>
      </c>
      <c r="H120" s="15">
        <f t="shared" si="10"/>
        <v>7500</v>
      </c>
      <c r="I120" s="15">
        <f t="shared" si="11"/>
        <v>270000</v>
      </c>
      <c r="J120" s="16"/>
      <c r="K120" s="15">
        <v>225000</v>
      </c>
      <c r="L120" s="15">
        <f t="shared" si="6"/>
        <v>720</v>
      </c>
      <c r="M120" s="16"/>
      <c r="N120" s="16"/>
      <c r="O120" s="15">
        <f t="shared" si="7"/>
        <v>9000</v>
      </c>
      <c r="P120" s="15">
        <f t="shared" si="8"/>
        <v>234720</v>
      </c>
      <c r="Q120" s="15">
        <f t="shared" si="9"/>
        <v>35280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159</v>
      </c>
      <c r="E121" s="15">
        <v>6500</v>
      </c>
      <c r="F121" s="15">
        <v>500</v>
      </c>
      <c r="G121" s="15">
        <v>400</v>
      </c>
      <c r="H121" s="15">
        <f t="shared" si="10"/>
        <v>7400</v>
      </c>
      <c r="I121" s="15">
        <f t="shared" si="11"/>
        <v>1176600</v>
      </c>
      <c r="J121" s="16"/>
      <c r="K121" s="15">
        <v>420000</v>
      </c>
      <c r="L121" s="15">
        <f t="shared" si="6"/>
        <v>3180</v>
      </c>
      <c r="M121" s="16"/>
      <c r="N121" s="16"/>
      <c r="O121" s="15">
        <f t="shared" si="7"/>
        <v>39750</v>
      </c>
      <c r="P121" s="15">
        <f t="shared" si="8"/>
        <v>462930</v>
      </c>
      <c r="Q121" s="15">
        <f t="shared" si="9"/>
        <v>713670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6500</v>
      </c>
      <c r="F122" s="15">
        <v>400</v>
      </c>
      <c r="G122" s="15">
        <v>400</v>
      </c>
      <c r="H122" s="15">
        <f t="shared" si="10"/>
        <v>7300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76</v>
      </c>
      <c r="E123" s="15">
        <v>6500</v>
      </c>
      <c r="F123" s="15">
        <v>400</v>
      </c>
      <c r="G123" s="15">
        <v>400</v>
      </c>
      <c r="H123" s="15">
        <f t="shared" si="10"/>
        <v>7300</v>
      </c>
      <c r="I123" s="15">
        <f t="shared" si="11"/>
        <v>554800</v>
      </c>
      <c r="J123" s="20"/>
      <c r="K123" s="15">
        <v>210000</v>
      </c>
      <c r="L123" s="15">
        <f t="shared" si="6"/>
        <v>1520</v>
      </c>
      <c r="M123" s="20"/>
      <c r="N123" s="20"/>
      <c r="O123" s="15">
        <f t="shared" si="7"/>
        <v>19000</v>
      </c>
      <c r="P123" s="15">
        <f t="shared" si="8"/>
        <v>230520</v>
      </c>
      <c r="Q123" s="15">
        <f t="shared" si="9"/>
        <v>324280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6500</v>
      </c>
      <c r="F124" s="15">
        <v>300</v>
      </c>
      <c r="G124" s="15">
        <v>400</v>
      </c>
      <c r="H124" s="15">
        <f t="shared" si="10"/>
        <v>7200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6500</v>
      </c>
      <c r="F125" s="15">
        <v>400</v>
      </c>
      <c r="G125" s="15">
        <v>400</v>
      </c>
      <c r="H125" s="15">
        <f t="shared" si="10"/>
        <v>7300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418</v>
      </c>
      <c r="D126" s="14">
        <v>223</v>
      </c>
      <c r="E126" s="15">
        <v>6500</v>
      </c>
      <c r="F126" s="15">
        <v>400</v>
      </c>
      <c r="G126" s="15">
        <v>400</v>
      </c>
      <c r="H126" s="15">
        <f t="shared" si="10"/>
        <v>7300</v>
      </c>
      <c r="I126" s="15">
        <f t="shared" si="11"/>
        <v>1627900</v>
      </c>
      <c r="J126" s="16"/>
      <c r="K126" s="15"/>
      <c r="L126" s="15">
        <f t="shared" si="6"/>
        <v>4460</v>
      </c>
      <c r="M126" s="20"/>
      <c r="N126" s="20"/>
      <c r="O126" s="15">
        <f t="shared" si="7"/>
        <v>55750</v>
      </c>
      <c r="P126" s="15">
        <f t="shared" si="8"/>
        <v>60210</v>
      </c>
      <c r="Q126" s="15">
        <f t="shared" si="9"/>
        <v>1567690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165</v>
      </c>
      <c r="E127" s="15">
        <v>6500</v>
      </c>
      <c r="F127" s="15">
        <v>500</v>
      </c>
      <c r="G127" s="15">
        <v>400</v>
      </c>
      <c r="H127" s="15">
        <f t="shared" si="10"/>
        <v>7400</v>
      </c>
      <c r="I127" s="15">
        <f t="shared" si="11"/>
        <v>1221000</v>
      </c>
      <c r="J127" s="20"/>
      <c r="K127" s="15"/>
      <c r="L127" s="15">
        <f t="shared" si="6"/>
        <v>3300</v>
      </c>
      <c r="M127" s="16"/>
      <c r="N127" s="16"/>
      <c r="O127" s="15">
        <f t="shared" si="7"/>
        <v>41250</v>
      </c>
      <c r="P127" s="15">
        <f t="shared" si="8"/>
        <v>44550</v>
      </c>
      <c r="Q127" s="15">
        <f t="shared" si="9"/>
        <v>1176450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147</v>
      </c>
      <c r="E128" s="15">
        <v>6500</v>
      </c>
      <c r="F128" s="15">
        <v>600</v>
      </c>
      <c r="G128" s="15">
        <v>400</v>
      </c>
      <c r="H128" s="15">
        <f t="shared" si="10"/>
        <v>7500</v>
      </c>
      <c r="I128" s="15">
        <f t="shared" si="11"/>
        <v>1102500</v>
      </c>
      <c r="J128" s="16"/>
      <c r="K128" s="15"/>
      <c r="L128" s="15">
        <f t="shared" si="6"/>
        <v>2940</v>
      </c>
      <c r="M128" s="16"/>
      <c r="N128" s="16"/>
      <c r="O128" s="15">
        <f t="shared" si="7"/>
        <v>36750</v>
      </c>
      <c r="P128" s="15">
        <f t="shared" si="8"/>
        <v>39690</v>
      </c>
      <c r="Q128" s="15">
        <f t="shared" si="9"/>
        <v>1062810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96</v>
      </c>
      <c r="E129" s="15">
        <v>6500</v>
      </c>
      <c r="F129" s="15">
        <v>600</v>
      </c>
      <c r="G129" s="15">
        <v>400</v>
      </c>
      <c r="H129" s="15">
        <f t="shared" si="10"/>
        <v>7500</v>
      </c>
      <c r="I129" s="15">
        <f t="shared" si="11"/>
        <v>720000</v>
      </c>
      <c r="J129" s="16"/>
      <c r="K129" s="23">
        <v>435000</v>
      </c>
      <c r="L129" s="15">
        <f t="shared" si="6"/>
        <v>1920</v>
      </c>
      <c r="M129" s="16"/>
      <c r="N129" s="16"/>
      <c r="O129" s="15">
        <f t="shared" si="7"/>
        <v>24000</v>
      </c>
      <c r="P129" s="15">
        <f t="shared" si="8"/>
        <v>460920</v>
      </c>
      <c r="Q129" s="15">
        <f t="shared" si="9"/>
        <v>259080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698</v>
      </c>
      <c r="E130" s="15">
        <v>6500</v>
      </c>
      <c r="F130" s="15">
        <v>500</v>
      </c>
      <c r="G130" s="15">
        <v>400</v>
      </c>
      <c r="H130" s="15">
        <f t="shared" si="10"/>
        <v>7400</v>
      </c>
      <c r="I130" s="15">
        <f t="shared" si="11"/>
        <v>5165200</v>
      </c>
      <c r="J130" s="16"/>
      <c r="K130" s="15">
        <v>1050000</v>
      </c>
      <c r="L130" s="15">
        <f t="shared" si="6"/>
        <v>13960</v>
      </c>
      <c r="M130" s="20"/>
      <c r="N130" s="20"/>
      <c r="O130" s="15">
        <f t="shared" si="7"/>
        <v>174500</v>
      </c>
      <c r="P130" s="15">
        <f t="shared" si="8"/>
        <v>1238460</v>
      </c>
      <c r="Q130" s="15">
        <f t="shared" si="9"/>
        <v>3926740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6500</v>
      </c>
      <c r="F131" s="15">
        <v>300</v>
      </c>
      <c r="G131" s="15">
        <v>400</v>
      </c>
      <c r="H131" s="15">
        <f t="shared" si="10"/>
        <v>7200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6500</v>
      </c>
      <c r="F132" s="15">
        <v>300</v>
      </c>
      <c r="G132" s="15">
        <v>400</v>
      </c>
      <c r="H132" s="15">
        <f t="shared" si="10"/>
        <v>7200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205</v>
      </c>
      <c r="E133" s="15">
        <v>6500</v>
      </c>
      <c r="F133" s="15">
        <v>500</v>
      </c>
      <c r="G133" s="15">
        <v>400</v>
      </c>
      <c r="H133" s="15">
        <f t="shared" si="10"/>
        <v>7400</v>
      </c>
      <c r="I133" s="15">
        <f t="shared" si="11"/>
        <v>1517000</v>
      </c>
      <c r="J133" s="16"/>
      <c r="K133" s="15">
        <v>420000</v>
      </c>
      <c r="L133" s="15">
        <f t="shared" ref="L133:L196" si="12">D133*20</f>
        <v>4100</v>
      </c>
      <c r="M133" s="20"/>
      <c r="N133" s="20"/>
      <c r="O133" s="15">
        <f t="shared" ref="O133:O196" si="13">250*D133</f>
        <v>51250</v>
      </c>
      <c r="P133" s="15">
        <f t="shared" ref="P133:P196" si="14">SUM(J133:O133)</f>
        <v>475350</v>
      </c>
      <c r="Q133" s="15">
        <f t="shared" ref="Q133:Q196" si="15">I133-P133</f>
        <v>1041650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160</v>
      </c>
      <c r="E134" s="15">
        <v>6500</v>
      </c>
      <c r="F134" s="15">
        <v>400</v>
      </c>
      <c r="G134" s="15">
        <v>400</v>
      </c>
      <c r="H134" s="15">
        <f t="shared" ref="H134:H197" si="16">SUM(E134:G134)</f>
        <v>7300</v>
      </c>
      <c r="I134" s="15">
        <f t="shared" ref="I134:I197" si="17">H134*D134</f>
        <v>1168000</v>
      </c>
      <c r="J134" s="20"/>
      <c r="K134" s="15">
        <v>420000</v>
      </c>
      <c r="L134" s="15">
        <f t="shared" si="12"/>
        <v>3200</v>
      </c>
      <c r="M134" s="20"/>
      <c r="N134" s="20"/>
      <c r="O134" s="15">
        <f t="shared" si="13"/>
        <v>40000</v>
      </c>
      <c r="P134" s="15">
        <f t="shared" si="14"/>
        <v>463200</v>
      </c>
      <c r="Q134" s="15">
        <f t="shared" si="15"/>
        <v>704800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6500</v>
      </c>
      <c r="F135" s="15">
        <v>400</v>
      </c>
      <c r="G135" s="15">
        <v>400</v>
      </c>
      <c r="H135" s="15">
        <f t="shared" si="16"/>
        <v>7300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6500</v>
      </c>
      <c r="F136" s="15">
        <v>300</v>
      </c>
      <c r="G136" s="15">
        <v>400</v>
      </c>
      <c r="H136" s="15">
        <f t="shared" si="16"/>
        <v>7200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6500</v>
      </c>
      <c r="F137" s="15">
        <v>300</v>
      </c>
      <c r="G137" s="15">
        <v>400</v>
      </c>
      <c r="H137" s="15">
        <f t="shared" si="16"/>
        <v>7200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6500</v>
      </c>
      <c r="F138" s="15">
        <v>300</v>
      </c>
      <c r="G138" s="15">
        <v>400</v>
      </c>
      <c r="H138" s="15">
        <f t="shared" si="16"/>
        <v>7200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207</v>
      </c>
      <c r="E139" s="15">
        <v>6500</v>
      </c>
      <c r="F139" s="15">
        <v>500</v>
      </c>
      <c r="G139" s="15">
        <v>400</v>
      </c>
      <c r="H139" s="15">
        <f t="shared" si="16"/>
        <v>7400</v>
      </c>
      <c r="I139" s="15">
        <f t="shared" si="17"/>
        <v>1531800</v>
      </c>
      <c r="J139" s="16"/>
      <c r="K139" s="15">
        <v>630000</v>
      </c>
      <c r="L139" s="15">
        <f t="shared" si="12"/>
        <v>4140</v>
      </c>
      <c r="M139" s="16"/>
      <c r="N139" s="16"/>
      <c r="O139" s="15">
        <f t="shared" si="13"/>
        <v>51750</v>
      </c>
      <c r="P139" s="15">
        <f t="shared" si="14"/>
        <v>685890</v>
      </c>
      <c r="Q139" s="15">
        <f t="shared" si="15"/>
        <v>845910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6500</v>
      </c>
      <c r="F140" s="15">
        <v>400</v>
      </c>
      <c r="G140" s="15">
        <v>400</v>
      </c>
      <c r="H140" s="15">
        <f t="shared" si="16"/>
        <v>7300</v>
      </c>
      <c r="I140" s="15">
        <f t="shared" si="17"/>
        <v>0</v>
      </c>
      <c r="J140" s="16"/>
      <c r="K140" s="15"/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0</v>
      </c>
      <c r="Q140" s="15">
        <f t="shared" si="15"/>
        <v>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6500</v>
      </c>
      <c r="F141" s="15">
        <v>300</v>
      </c>
      <c r="G141" s="15">
        <v>400</v>
      </c>
      <c r="H141" s="15">
        <f t="shared" si="16"/>
        <v>7200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6500</v>
      </c>
      <c r="F142" s="15">
        <v>300</v>
      </c>
      <c r="G142" s="15">
        <v>400</v>
      </c>
      <c r="H142" s="15">
        <f t="shared" si="16"/>
        <v>7200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6500</v>
      </c>
      <c r="F143" s="15">
        <v>300</v>
      </c>
      <c r="G143" s="15">
        <v>400</v>
      </c>
      <c r="H143" s="15">
        <f t="shared" si="16"/>
        <v>7200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6500</v>
      </c>
      <c r="F144" s="15">
        <v>500</v>
      </c>
      <c r="G144" s="15">
        <v>400</v>
      </c>
      <c r="H144" s="15">
        <f t="shared" si="16"/>
        <v>7400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8</v>
      </c>
      <c r="E145" s="15">
        <v>6500</v>
      </c>
      <c r="F145" s="15">
        <v>400</v>
      </c>
      <c r="G145" s="15">
        <v>400</v>
      </c>
      <c r="H145" s="15">
        <f t="shared" si="16"/>
        <v>7300</v>
      </c>
      <c r="I145" s="15">
        <f t="shared" si="17"/>
        <v>58400</v>
      </c>
      <c r="J145" s="16"/>
      <c r="K145" s="15"/>
      <c r="L145" s="15">
        <f t="shared" si="12"/>
        <v>160</v>
      </c>
      <c r="M145" s="16"/>
      <c r="N145" s="16"/>
      <c r="O145" s="15">
        <f t="shared" si="13"/>
        <v>2000</v>
      </c>
      <c r="P145" s="15">
        <f t="shared" si="14"/>
        <v>2160</v>
      </c>
      <c r="Q145" s="15">
        <f t="shared" si="15"/>
        <v>56240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112</v>
      </c>
      <c r="E146" s="15">
        <v>6500</v>
      </c>
      <c r="F146" s="15">
        <v>400</v>
      </c>
      <c r="G146" s="15">
        <v>400</v>
      </c>
      <c r="H146" s="15">
        <f t="shared" si="16"/>
        <v>7300</v>
      </c>
      <c r="I146" s="15">
        <f t="shared" si="17"/>
        <v>817600</v>
      </c>
      <c r="J146" s="16"/>
      <c r="K146" s="15">
        <v>245000</v>
      </c>
      <c r="L146" s="15">
        <f t="shared" si="12"/>
        <v>2240</v>
      </c>
      <c r="M146" s="16"/>
      <c r="N146" s="16"/>
      <c r="O146" s="15">
        <f t="shared" si="13"/>
        <v>28000</v>
      </c>
      <c r="P146" s="15">
        <f t="shared" si="14"/>
        <v>275240</v>
      </c>
      <c r="Q146" s="15">
        <f t="shared" si="15"/>
        <v>542360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6500</v>
      </c>
      <c r="F147" s="15">
        <v>300</v>
      </c>
      <c r="G147" s="15">
        <v>400</v>
      </c>
      <c r="H147" s="15">
        <f t="shared" si="16"/>
        <v>7200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6500</v>
      </c>
      <c r="F148" s="15">
        <v>300</v>
      </c>
      <c r="G148" s="15">
        <v>400</v>
      </c>
      <c r="H148" s="15">
        <f t="shared" si="16"/>
        <v>7200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266</v>
      </c>
      <c r="E149" s="15">
        <v>6500</v>
      </c>
      <c r="F149" s="15">
        <v>600</v>
      </c>
      <c r="G149" s="15">
        <v>400</v>
      </c>
      <c r="H149" s="15">
        <f t="shared" si="16"/>
        <v>7500</v>
      </c>
      <c r="I149" s="15">
        <f t="shared" si="17"/>
        <v>1995000</v>
      </c>
      <c r="J149" s="16"/>
      <c r="K149" s="15">
        <v>420000</v>
      </c>
      <c r="L149" s="15">
        <f t="shared" si="12"/>
        <v>5320</v>
      </c>
      <c r="M149" s="16"/>
      <c r="N149" s="16"/>
      <c r="O149" s="15">
        <f t="shared" si="13"/>
        <v>66500</v>
      </c>
      <c r="P149" s="15">
        <f t="shared" si="14"/>
        <v>491820</v>
      </c>
      <c r="Q149" s="15">
        <f t="shared" si="15"/>
        <v>1503180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6500</v>
      </c>
      <c r="F150" s="15">
        <v>300</v>
      </c>
      <c r="G150" s="15">
        <v>400</v>
      </c>
      <c r="H150" s="15">
        <f t="shared" si="16"/>
        <v>7200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6500</v>
      </c>
      <c r="F151" s="15">
        <v>300</v>
      </c>
      <c r="G151" s="15">
        <v>400</v>
      </c>
      <c r="H151" s="15">
        <f t="shared" si="16"/>
        <v>7200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6500</v>
      </c>
      <c r="F152" s="15">
        <v>300</v>
      </c>
      <c r="G152" s="15">
        <v>400</v>
      </c>
      <c r="H152" s="15">
        <f t="shared" si="16"/>
        <v>7200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419</v>
      </c>
      <c r="C153" s="13" t="s">
        <v>23</v>
      </c>
      <c r="D153" s="14"/>
      <c r="E153" s="15">
        <v>6500</v>
      </c>
      <c r="F153" s="15">
        <v>300</v>
      </c>
      <c r="G153" s="15">
        <v>400</v>
      </c>
      <c r="H153" s="15">
        <f t="shared" si="16"/>
        <v>7200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6500</v>
      </c>
      <c r="F154" s="15">
        <v>300</v>
      </c>
      <c r="G154" s="15">
        <v>400</v>
      </c>
      <c r="H154" s="15">
        <f t="shared" si="16"/>
        <v>7200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6500</v>
      </c>
      <c r="F155" s="15">
        <v>300</v>
      </c>
      <c r="G155" s="15">
        <v>400</v>
      </c>
      <c r="H155" s="15">
        <f t="shared" si="16"/>
        <v>7200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32</v>
      </c>
      <c r="E156" s="15">
        <v>6500</v>
      </c>
      <c r="F156" s="15">
        <v>400</v>
      </c>
      <c r="G156" s="15">
        <v>400</v>
      </c>
      <c r="H156" s="15">
        <f t="shared" si="16"/>
        <v>7300</v>
      </c>
      <c r="I156" s="15">
        <f t="shared" si="17"/>
        <v>233600</v>
      </c>
      <c r="J156" s="16"/>
      <c r="K156" s="15">
        <v>210000</v>
      </c>
      <c r="L156" s="15">
        <f t="shared" si="12"/>
        <v>640</v>
      </c>
      <c r="M156" s="20"/>
      <c r="N156" s="20"/>
      <c r="O156" s="15">
        <f t="shared" si="13"/>
        <v>8000</v>
      </c>
      <c r="P156" s="15">
        <f t="shared" si="14"/>
        <v>218640</v>
      </c>
      <c r="Q156" s="15">
        <f t="shared" si="15"/>
        <v>14960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94</v>
      </c>
      <c r="E157" s="15">
        <v>6500</v>
      </c>
      <c r="F157" s="15">
        <v>500</v>
      </c>
      <c r="G157" s="15">
        <v>400</v>
      </c>
      <c r="H157" s="15">
        <f t="shared" si="16"/>
        <v>7400</v>
      </c>
      <c r="I157" s="15">
        <f t="shared" si="17"/>
        <v>695600</v>
      </c>
      <c r="J157" s="20"/>
      <c r="K157" s="15">
        <v>210000</v>
      </c>
      <c r="L157" s="15">
        <f t="shared" si="12"/>
        <v>1880</v>
      </c>
      <c r="M157" s="16"/>
      <c r="N157" s="16"/>
      <c r="O157" s="15">
        <f t="shared" si="13"/>
        <v>23500</v>
      </c>
      <c r="P157" s="15">
        <f t="shared" si="14"/>
        <v>235380</v>
      </c>
      <c r="Q157" s="15">
        <f t="shared" si="15"/>
        <v>460220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6500</v>
      </c>
      <c r="F158" s="15">
        <v>300</v>
      </c>
      <c r="G158" s="15">
        <v>400</v>
      </c>
      <c r="H158" s="15">
        <f t="shared" si="16"/>
        <v>7200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6500</v>
      </c>
      <c r="F159" s="15">
        <v>300</v>
      </c>
      <c r="G159" s="15">
        <v>400</v>
      </c>
      <c r="H159" s="15">
        <f t="shared" si="16"/>
        <v>7200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6500</v>
      </c>
      <c r="F160" s="15">
        <v>400</v>
      </c>
      <c r="G160" s="15">
        <v>400</v>
      </c>
      <c r="H160" s="15">
        <f t="shared" si="16"/>
        <v>7300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6500</v>
      </c>
      <c r="F161" s="15">
        <v>300</v>
      </c>
      <c r="G161" s="15">
        <v>400</v>
      </c>
      <c r="H161" s="15">
        <f t="shared" si="16"/>
        <v>7200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6500</v>
      </c>
      <c r="F162" s="15">
        <v>300</v>
      </c>
      <c r="G162" s="15">
        <v>400</v>
      </c>
      <c r="H162" s="15">
        <f t="shared" si="16"/>
        <v>7200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6500</v>
      </c>
      <c r="F163" s="15">
        <v>300</v>
      </c>
      <c r="G163" s="15">
        <v>400</v>
      </c>
      <c r="H163" s="15">
        <f t="shared" si="16"/>
        <v>7200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6500</v>
      </c>
      <c r="F164" s="15">
        <v>300</v>
      </c>
      <c r="G164" s="15">
        <v>400</v>
      </c>
      <c r="H164" s="15">
        <f t="shared" si="16"/>
        <v>7200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134</v>
      </c>
      <c r="E165" s="15">
        <v>6500</v>
      </c>
      <c r="F165" s="15">
        <v>500</v>
      </c>
      <c r="G165" s="15">
        <v>400</v>
      </c>
      <c r="H165" s="15">
        <f t="shared" si="16"/>
        <v>7400</v>
      </c>
      <c r="I165" s="15">
        <f t="shared" si="17"/>
        <v>991600</v>
      </c>
      <c r="J165" s="16"/>
      <c r="K165" s="15">
        <v>420000</v>
      </c>
      <c r="L165" s="15">
        <f t="shared" si="12"/>
        <v>2680</v>
      </c>
      <c r="M165" s="20"/>
      <c r="N165" s="20"/>
      <c r="O165" s="15">
        <f t="shared" si="13"/>
        <v>33500</v>
      </c>
      <c r="P165" s="15">
        <f t="shared" si="14"/>
        <v>456180</v>
      </c>
      <c r="Q165" s="15">
        <f t="shared" si="15"/>
        <v>535420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6500</v>
      </c>
      <c r="F166" s="15">
        <v>300</v>
      </c>
      <c r="G166" s="15">
        <v>400</v>
      </c>
      <c r="H166" s="15">
        <f t="shared" si="16"/>
        <v>7200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6500</v>
      </c>
      <c r="F167" s="15">
        <v>300</v>
      </c>
      <c r="G167" s="15">
        <v>400</v>
      </c>
      <c r="H167" s="15">
        <f t="shared" si="16"/>
        <v>7200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6500</v>
      </c>
      <c r="F168" s="15">
        <v>300</v>
      </c>
      <c r="G168" s="15">
        <v>400</v>
      </c>
      <c r="H168" s="15">
        <f t="shared" si="16"/>
        <v>7200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295</v>
      </c>
      <c r="E169" s="15">
        <v>6500</v>
      </c>
      <c r="F169" s="15">
        <v>500</v>
      </c>
      <c r="G169" s="15">
        <v>400</v>
      </c>
      <c r="H169" s="15">
        <f t="shared" si="16"/>
        <v>7400</v>
      </c>
      <c r="I169" s="15">
        <f t="shared" si="17"/>
        <v>2183000</v>
      </c>
      <c r="J169" s="16"/>
      <c r="K169" s="15">
        <v>840000</v>
      </c>
      <c r="L169" s="15">
        <f t="shared" si="12"/>
        <v>5900</v>
      </c>
      <c r="M169" s="16"/>
      <c r="N169" s="16"/>
      <c r="O169" s="15">
        <f t="shared" si="13"/>
        <v>73750</v>
      </c>
      <c r="P169" s="15">
        <f t="shared" si="14"/>
        <v>919650</v>
      </c>
      <c r="Q169" s="15">
        <f t="shared" si="15"/>
        <v>1263350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6500</v>
      </c>
      <c r="F170" s="15">
        <v>500</v>
      </c>
      <c r="G170" s="15">
        <v>400</v>
      </c>
      <c r="H170" s="15">
        <f t="shared" si="16"/>
        <v>7400</v>
      </c>
      <c r="I170" s="15">
        <f t="shared" si="17"/>
        <v>0</v>
      </c>
      <c r="J170" s="16"/>
      <c r="K170" s="15"/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0</v>
      </c>
      <c r="Q170" s="15">
        <f t="shared" si="15"/>
        <v>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6500</v>
      </c>
      <c r="F171" s="15">
        <v>400</v>
      </c>
      <c r="G171" s="15">
        <v>400</v>
      </c>
      <c r="H171" s="15">
        <f t="shared" si="16"/>
        <v>7300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6500</v>
      </c>
      <c r="F172" s="15">
        <v>300</v>
      </c>
      <c r="G172" s="15">
        <v>400</v>
      </c>
      <c r="H172" s="15">
        <f t="shared" si="16"/>
        <v>7200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6500</v>
      </c>
      <c r="F173" s="15">
        <v>300</v>
      </c>
      <c r="G173" s="15">
        <v>400</v>
      </c>
      <c r="H173" s="15">
        <f t="shared" si="16"/>
        <v>7200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6500</v>
      </c>
      <c r="F174" s="15">
        <v>300</v>
      </c>
      <c r="G174" s="15">
        <v>400</v>
      </c>
      <c r="H174" s="15">
        <f t="shared" si="16"/>
        <v>7200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264</v>
      </c>
      <c r="E175" s="15">
        <v>6500</v>
      </c>
      <c r="F175" s="15">
        <v>600</v>
      </c>
      <c r="G175" s="15">
        <v>400</v>
      </c>
      <c r="H175" s="15">
        <f t="shared" si="16"/>
        <v>7500</v>
      </c>
      <c r="I175" s="15">
        <f t="shared" si="17"/>
        <v>1980000</v>
      </c>
      <c r="J175" s="16"/>
      <c r="K175" s="15">
        <v>630000</v>
      </c>
      <c r="L175" s="15">
        <f t="shared" si="12"/>
        <v>5280</v>
      </c>
      <c r="M175" s="16"/>
      <c r="N175" s="16"/>
      <c r="O175" s="15">
        <f t="shared" si="13"/>
        <v>66000</v>
      </c>
      <c r="P175" s="15">
        <f t="shared" si="14"/>
        <v>701280</v>
      </c>
      <c r="Q175" s="15">
        <f t="shared" si="15"/>
        <v>1278720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6500</v>
      </c>
      <c r="F176" s="15">
        <v>300</v>
      </c>
      <c r="G176" s="15">
        <v>400</v>
      </c>
      <c r="H176" s="15">
        <f t="shared" si="16"/>
        <v>7200</v>
      </c>
      <c r="I176" s="15">
        <f t="shared" si="17"/>
        <v>0</v>
      </c>
      <c r="J176" s="16"/>
      <c r="K176" s="15"/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0</v>
      </c>
      <c r="Q176" s="15">
        <f t="shared" si="15"/>
        <v>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6500</v>
      </c>
      <c r="F177" s="15">
        <v>300</v>
      </c>
      <c r="G177" s="15">
        <v>400</v>
      </c>
      <c r="H177" s="15">
        <f t="shared" si="16"/>
        <v>7200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6500</v>
      </c>
      <c r="F178" s="15">
        <v>300</v>
      </c>
      <c r="G178" s="15">
        <v>400</v>
      </c>
      <c r="H178" s="15">
        <f t="shared" si="16"/>
        <v>7200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6500</v>
      </c>
      <c r="F179" s="15">
        <v>300</v>
      </c>
      <c r="G179" s="15">
        <v>400</v>
      </c>
      <c r="H179" s="15">
        <f t="shared" si="16"/>
        <v>7200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6500</v>
      </c>
      <c r="F180" s="15">
        <v>400</v>
      </c>
      <c r="G180" s="15">
        <v>400</v>
      </c>
      <c r="H180" s="15">
        <f t="shared" si="16"/>
        <v>7300</v>
      </c>
      <c r="I180" s="15">
        <f t="shared" si="17"/>
        <v>0</v>
      </c>
      <c r="J180" s="16"/>
      <c r="K180" s="15"/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0</v>
      </c>
      <c r="Q180" s="15">
        <f t="shared" si="15"/>
        <v>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6500</v>
      </c>
      <c r="F181" s="15">
        <v>300</v>
      </c>
      <c r="G181" s="15">
        <v>400</v>
      </c>
      <c r="H181" s="15">
        <f t="shared" si="16"/>
        <v>7200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6</v>
      </c>
      <c r="E182" s="15">
        <v>6500</v>
      </c>
      <c r="F182" s="15">
        <v>600</v>
      </c>
      <c r="G182" s="15">
        <v>400</v>
      </c>
      <c r="H182" s="15">
        <f t="shared" si="16"/>
        <v>7500</v>
      </c>
      <c r="I182" s="15">
        <f t="shared" si="17"/>
        <v>45000</v>
      </c>
      <c r="J182" s="16"/>
      <c r="K182" s="15"/>
      <c r="L182" s="15">
        <f t="shared" si="12"/>
        <v>120</v>
      </c>
      <c r="M182" s="20"/>
      <c r="N182" s="20"/>
      <c r="O182" s="15">
        <f t="shared" si="13"/>
        <v>1500</v>
      </c>
      <c r="P182" s="15">
        <f t="shared" si="14"/>
        <v>1620</v>
      </c>
      <c r="Q182" s="15">
        <f t="shared" si="15"/>
        <v>43380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6500</v>
      </c>
      <c r="F183" s="15">
        <v>300</v>
      </c>
      <c r="G183" s="15">
        <v>400</v>
      </c>
      <c r="H183" s="15">
        <f t="shared" si="16"/>
        <v>7200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6500</v>
      </c>
      <c r="F184" s="15">
        <v>400</v>
      </c>
      <c r="G184" s="15">
        <v>400</v>
      </c>
      <c r="H184" s="15">
        <f t="shared" si="16"/>
        <v>7300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152</v>
      </c>
      <c r="E185" s="15">
        <v>6500</v>
      </c>
      <c r="F185" s="15">
        <v>600</v>
      </c>
      <c r="G185" s="15">
        <v>400</v>
      </c>
      <c r="H185" s="15">
        <f t="shared" si="16"/>
        <v>7500</v>
      </c>
      <c r="I185" s="15">
        <f t="shared" si="17"/>
        <v>1140000</v>
      </c>
      <c r="J185" s="16"/>
      <c r="K185" s="15">
        <v>420000</v>
      </c>
      <c r="L185" s="15">
        <f t="shared" si="12"/>
        <v>3040</v>
      </c>
      <c r="M185" s="20"/>
      <c r="N185" s="20"/>
      <c r="O185" s="15">
        <f t="shared" si="13"/>
        <v>38000</v>
      </c>
      <c r="P185" s="15">
        <f t="shared" si="14"/>
        <v>461040</v>
      </c>
      <c r="Q185" s="15">
        <f t="shared" si="15"/>
        <v>678960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6500</v>
      </c>
      <c r="F186" s="15">
        <v>300</v>
      </c>
      <c r="G186" s="15">
        <v>400</v>
      </c>
      <c r="H186" s="15">
        <f t="shared" si="16"/>
        <v>7200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150</v>
      </c>
      <c r="E187" s="15">
        <v>6500</v>
      </c>
      <c r="F187" s="15">
        <v>300</v>
      </c>
      <c r="G187" s="15">
        <v>400</v>
      </c>
      <c r="H187" s="15">
        <f t="shared" si="16"/>
        <v>7200</v>
      </c>
      <c r="I187" s="15">
        <f t="shared" si="17"/>
        <v>1080000</v>
      </c>
      <c r="J187" s="16"/>
      <c r="K187" s="15">
        <v>210000</v>
      </c>
      <c r="L187" s="15">
        <f t="shared" si="12"/>
        <v>3000</v>
      </c>
      <c r="M187" s="20"/>
      <c r="N187" s="20"/>
      <c r="O187" s="15">
        <f t="shared" si="13"/>
        <v>37500</v>
      </c>
      <c r="P187" s="15">
        <f t="shared" si="14"/>
        <v>250500</v>
      </c>
      <c r="Q187" s="15">
        <f t="shared" si="15"/>
        <v>829500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6500</v>
      </c>
      <c r="F188" s="15">
        <v>400</v>
      </c>
      <c r="G188" s="15">
        <v>400</v>
      </c>
      <c r="H188" s="15">
        <f t="shared" si="16"/>
        <v>7300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325</v>
      </c>
      <c r="E189" s="15">
        <v>6500</v>
      </c>
      <c r="F189" s="15">
        <v>200</v>
      </c>
      <c r="G189" s="15">
        <v>400</v>
      </c>
      <c r="H189" s="15">
        <f t="shared" si="16"/>
        <v>7100</v>
      </c>
      <c r="I189" s="15">
        <f t="shared" si="17"/>
        <v>2307500</v>
      </c>
      <c r="J189" s="20"/>
      <c r="K189" s="15"/>
      <c r="L189" s="15">
        <f t="shared" si="12"/>
        <v>6500</v>
      </c>
      <c r="M189" s="20"/>
      <c r="N189" s="20"/>
      <c r="O189" s="15">
        <f t="shared" si="13"/>
        <v>81250</v>
      </c>
      <c r="P189" s="15">
        <f t="shared" si="14"/>
        <v>87750</v>
      </c>
      <c r="Q189" s="15">
        <f t="shared" si="15"/>
        <v>2219750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6500</v>
      </c>
      <c r="F190" s="15">
        <v>300</v>
      </c>
      <c r="G190" s="15">
        <v>400</v>
      </c>
      <c r="H190" s="15">
        <f t="shared" si="16"/>
        <v>7200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6500</v>
      </c>
      <c r="F191" s="15">
        <v>300</v>
      </c>
      <c r="G191" s="15">
        <v>400</v>
      </c>
      <c r="H191" s="15">
        <f t="shared" si="16"/>
        <v>7200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6500</v>
      </c>
      <c r="F192" s="15">
        <v>300</v>
      </c>
      <c r="G192" s="15">
        <v>400</v>
      </c>
      <c r="H192" s="15">
        <f t="shared" si="16"/>
        <v>7200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261</v>
      </c>
      <c r="E193" s="15">
        <v>6500</v>
      </c>
      <c r="F193" s="15">
        <v>500</v>
      </c>
      <c r="G193" s="15">
        <v>400</v>
      </c>
      <c r="H193" s="15">
        <f t="shared" si="16"/>
        <v>7400</v>
      </c>
      <c r="I193" s="15">
        <f t="shared" si="17"/>
        <v>1931400</v>
      </c>
      <c r="J193" s="16"/>
      <c r="K193" s="15">
        <v>630000</v>
      </c>
      <c r="L193" s="15">
        <f t="shared" si="12"/>
        <v>5220</v>
      </c>
      <c r="M193" s="16"/>
      <c r="N193" s="16"/>
      <c r="O193" s="15">
        <f t="shared" si="13"/>
        <v>65250</v>
      </c>
      <c r="P193" s="15">
        <f t="shared" si="14"/>
        <v>700470</v>
      </c>
      <c r="Q193" s="15">
        <f t="shared" si="15"/>
        <v>1230930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6500</v>
      </c>
      <c r="F194" s="15">
        <v>300</v>
      </c>
      <c r="G194" s="15">
        <v>400</v>
      </c>
      <c r="H194" s="15">
        <f t="shared" si="16"/>
        <v>7200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6500</v>
      </c>
      <c r="F195" s="15">
        <v>400</v>
      </c>
      <c r="G195" s="15">
        <v>400</v>
      </c>
      <c r="H195" s="15">
        <f t="shared" si="16"/>
        <v>7300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6500</v>
      </c>
      <c r="F196" s="15">
        <v>300</v>
      </c>
      <c r="G196" s="15">
        <v>400</v>
      </c>
      <c r="H196" s="15">
        <f t="shared" si="16"/>
        <v>7200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6500</v>
      </c>
      <c r="F197" s="15">
        <v>300</v>
      </c>
      <c r="G197" s="15">
        <v>400</v>
      </c>
      <c r="H197" s="15">
        <f t="shared" si="16"/>
        <v>7200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6500</v>
      </c>
      <c r="F198" s="15">
        <v>400</v>
      </c>
      <c r="G198" s="15">
        <v>400</v>
      </c>
      <c r="H198" s="15">
        <f t="shared" ref="H198:H261" si="22">SUM(E198:G198)</f>
        <v>7300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403</v>
      </c>
      <c r="C199" s="13" t="s">
        <v>54</v>
      </c>
      <c r="D199" s="16"/>
      <c r="E199" s="15">
        <v>6500</v>
      </c>
      <c r="F199" s="15">
        <v>300</v>
      </c>
      <c r="G199" s="15">
        <v>400</v>
      </c>
      <c r="H199" s="15">
        <f t="shared" si="22"/>
        <v>7200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23</v>
      </c>
      <c r="E200" s="15">
        <v>6500</v>
      </c>
      <c r="F200" s="15">
        <v>400</v>
      </c>
      <c r="G200" s="15">
        <v>400</v>
      </c>
      <c r="H200" s="15">
        <f t="shared" si="22"/>
        <v>7300</v>
      </c>
      <c r="I200" s="15">
        <f t="shared" si="23"/>
        <v>167900</v>
      </c>
      <c r="J200" s="16"/>
      <c r="K200" s="15">
        <v>150000</v>
      </c>
      <c r="L200" s="15">
        <f t="shared" si="18"/>
        <v>460</v>
      </c>
      <c r="M200" s="16"/>
      <c r="N200" s="16"/>
      <c r="O200" s="15">
        <f t="shared" si="19"/>
        <v>5750</v>
      </c>
      <c r="P200" s="15">
        <f t="shared" si="20"/>
        <v>156210</v>
      </c>
      <c r="Q200" s="15">
        <f t="shared" si="21"/>
        <v>11690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6500</v>
      </c>
      <c r="F201" s="15">
        <v>300</v>
      </c>
      <c r="G201" s="15">
        <v>400</v>
      </c>
      <c r="H201" s="15">
        <f t="shared" si="22"/>
        <v>7200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6500</v>
      </c>
      <c r="F202" s="15">
        <v>400</v>
      </c>
      <c r="G202" s="15">
        <v>400</v>
      </c>
      <c r="H202" s="15">
        <f t="shared" si="22"/>
        <v>7300</v>
      </c>
      <c r="I202" s="15">
        <f t="shared" si="23"/>
        <v>0</v>
      </c>
      <c r="J202" s="16"/>
      <c r="K202" s="15"/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0</v>
      </c>
      <c r="Q202" s="15">
        <f t="shared" si="21"/>
        <v>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71</v>
      </c>
      <c r="E203" s="15">
        <v>6500</v>
      </c>
      <c r="F203" s="15">
        <v>600</v>
      </c>
      <c r="G203" s="15">
        <v>400</v>
      </c>
      <c r="H203" s="15">
        <f t="shared" si="22"/>
        <v>7500</v>
      </c>
      <c r="I203" s="15">
        <f t="shared" si="23"/>
        <v>532500</v>
      </c>
      <c r="J203" s="16"/>
      <c r="K203" s="15">
        <v>210000</v>
      </c>
      <c r="L203" s="15">
        <f t="shared" si="18"/>
        <v>1420</v>
      </c>
      <c r="M203" s="20"/>
      <c r="N203" s="20"/>
      <c r="O203" s="15">
        <f t="shared" si="19"/>
        <v>17750</v>
      </c>
      <c r="P203" s="15">
        <f t="shared" si="20"/>
        <v>229170</v>
      </c>
      <c r="Q203" s="15">
        <f t="shared" si="21"/>
        <v>303330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6500</v>
      </c>
      <c r="F204" s="15">
        <v>300</v>
      </c>
      <c r="G204" s="15">
        <v>400</v>
      </c>
      <c r="H204" s="15">
        <f t="shared" si="22"/>
        <v>7200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6500</v>
      </c>
      <c r="F205" s="15">
        <v>300</v>
      </c>
      <c r="G205" s="15">
        <v>400</v>
      </c>
      <c r="H205" s="15">
        <f t="shared" si="22"/>
        <v>7200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6500</v>
      </c>
      <c r="F206" s="15">
        <v>500</v>
      </c>
      <c r="G206" s="15">
        <v>400</v>
      </c>
      <c r="H206" s="15">
        <f t="shared" si="22"/>
        <v>7400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6500</v>
      </c>
      <c r="F207" s="15">
        <v>400</v>
      </c>
      <c r="G207" s="15">
        <v>400</v>
      </c>
      <c r="H207" s="15">
        <f t="shared" si="22"/>
        <v>7300</v>
      </c>
      <c r="I207" s="15">
        <f t="shared" si="23"/>
        <v>0</v>
      </c>
      <c r="J207" s="16"/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0</v>
      </c>
      <c r="Q207" s="15">
        <f t="shared" si="21"/>
        <v>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6500</v>
      </c>
      <c r="F208" s="15">
        <v>300</v>
      </c>
      <c r="G208" s="15">
        <v>400</v>
      </c>
      <c r="H208" s="15">
        <f t="shared" si="22"/>
        <v>7200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6500</v>
      </c>
      <c r="F209" s="15">
        <v>300</v>
      </c>
      <c r="G209" s="15">
        <v>400</v>
      </c>
      <c r="H209" s="15">
        <f t="shared" si="22"/>
        <v>7200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6500</v>
      </c>
      <c r="F210" s="15">
        <v>300</v>
      </c>
      <c r="G210" s="15">
        <v>400</v>
      </c>
      <c r="H210" s="15">
        <f t="shared" si="22"/>
        <v>7200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126</v>
      </c>
      <c r="E211" s="15">
        <v>6500</v>
      </c>
      <c r="F211" s="15">
        <v>600</v>
      </c>
      <c r="G211" s="15">
        <v>400</v>
      </c>
      <c r="H211" s="15">
        <f t="shared" si="22"/>
        <v>7500</v>
      </c>
      <c r="I211" s="15">
        <f t="shared" si="23"/>
        <v>945000</v>
      </c>
      <c r="J211" s="16"/>
      <c r="K211" s="15">
        <v>420000</v>
      </c>
      <c r="L211" s="15">
        <f t="shared" si="18"/>
        <v>2520</v>
      </c>
      <c r="M211" s="16"/>
      <c r="N211" s="16"/>
      <c r="O211" s="15">
        <f t="shared" si="19"/>
        <v>31500</v>
      </c>
      <c r="P211" s="15">
        <f t="shared" si="20"/>
        <v>454020</v>
      </c>
      <c r="Q211" s="15">
        <f t="shared" si="21"/>
        <v>490980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6500</v>
      </c>
      <c r="F212" s="15">
        <v>300</v>
      </c>
      <c r="G212" s="15">
        <v>400</v>
      </c>
      <c r="H212" s="15">
        <f t="shared" si="22"/>
        <v>7200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6500</v>
      </c>
      <c r="F213" s="15">
        <v>400</v>
      </c>
      <c r="G213" s="15">
        <v>400</v>
      </c>
      <c r="H213" s="15">
        <f t="shared" si="22"/>
        <v>7300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6500</v>
      </c>
      <c r="F214" s="15">
        <v>300</v>
      </c>
      <c r="G214" s="15">
        <v>400</v>
      </c>
      <c r="H214" s="15">
        <f t="shared" si="22"/>
        <v>7200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6500</v>
      </c>
      <c r="F215" s="15">
        <v>300</v>
      </c>
      <c r="G215" s="15">
        <v>400</v>
      </c>
      <c r="H215" s="15">
        <f t="shared" si="22"/>
        <v>7200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6500</v>
      </c>
      <c r="F216" s="15">
        <v>300</v>
      </c>
      <c r="G216" s="15">
        <v>400</v>
      </c>
      <c r="H216" s="15">
        <f t="shared" si="22"/>
        <v>7200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6500</v>
      </c>
      <c r="F217" s="15">
        <v>300</v>
      </c>
      <c r="G217" s="15">
        <v>400</v>
      </c>
      <c r="H217" s="15">
        <f t="shared" si="22"/>
        <v>7200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6500</v>
      </c>
      <c r="F218" s="15">
        <v>400</v>
      </c>
      <c r="G218" s="15">
        <v>400</v>
      </c>
      <c r="H218" s="15">
        <f t="shared" si="22"/>
        <v>7300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6500</v>
      </c>
      <c r="F219" s="15">
        <v>300</v>
      </c>
      <c r="G219" s="15">
        <v>400</v>
      </c>
      <c r="H219" s="15">
        <f t="shared" si="22"/>
        <v>7200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164</v>
      </c>
      <c r="E220" s="15">
        <v>6500</v>
      </c>
      <c r="F220" s="15">
        <v>600</v>
      </c>
      <c r="G220" s="15">
        <v>400</v>
      </c>
      <c r="H220" s="15">
        <f t="shared" si="22"/>
        <v>7500</v>
      </c>
      <c r="I220" s="15">
        <f t="shared" si="23"/>
        <v>1230000</v>
      </c>
      <c r="J220" s="16"/>
      <c r="K220" s="15">
        <v>420000</v>
      </c>
      <c r="L220" s="15">
        <f t="shared" si="18"/>
        <v>3280</v>
      </c>
      <c r="M220" s="16"/>
      <c r="N220" s="16"/>
      <c r="O220" s="15">
        <f t="shared" si="19"/>
        <v>41000</v>
      </c>
      <c r="P220" s="15">
        <f t="shared" si="20"/>
        <v>464280</v>
      </c>
      <c r="Q220" s="15">
        <f t="shared" si="21"/>
        <v>765720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6500</v>
      </c>
      <c r="F221" s="15">
        <v>300</v>
      </c>
      <c r="G221" s="15">
        <v>400</v>
      </c>
      <c r="H221" s="15">
        <f t="shared" si="22"/>
        <v>7200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116</v>
      </c>
      <c r="E222" s="15">
        <v>6500</v>
      </c>
      <c r="F222" s="15">
        <v>500</v>
      </c>
      <c r="G222" s="15">
        <v>400</v>
      </c>
      <c r="H222" s="15">
        <f t="shared" si="22"/>
        <v>7400</v>
      </c>
      <c r="I222" s="15">
        <f t="shared" si="23"/>
        <v>858400</v>
      </c>
      <c r="J222" s="16"/>
      <c r="K222" s="15">
        <v>210000</v>
      </c>
      <c r="L222" s="15">
        <f t="shared" si="18"/>
        <v>2320</v>
      </c>
      <c r="M222" s="16"/>
      <c r="N222" s="16"/>
      <c r="O222" s="15">
        <f t="shared" si="19"/>
        <v>29000</v>
      </c>
      <c r="P222" s="15">
        <f t="shared" si="20"/>
        <v>241320</v>
      </c>
      <c r="Q222" s="15">
        <f t="shared" si="21"/>
        <v>617080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6500</v>
      </c>
      <c r="F223" s="15">
        <v>400</v>
      </c>
      <c r="G223" s="15">
        <v>400</v>
      </c>
      <c r="H223" s="15">
        <f t="shared" si="22"/>
        <v>7300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6500</v>
      </c>
      <c r="F224" s="15">
        <v>300</v>
      </c>
      <c r="G224" s="15">
        <v>400</v>
      </c>
      <c r="H224" s="15">
        <f t="shared" si="22"/>
        <v>7200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58</v>
      </c>
      <c r="E225" s="15">
        <v>6500</v>
      </c>
      <c r="F225" s="15">
        <v>600</v>
      </c>
      <c r="G225" s="15">
        <v>400</v>
      </c>
      <c r="H225" s="15">
        <f t="shared" si="22"/>
        <v>7500</v>
      </c>
      <c r="I225" s="15">
        <f t="shared" si="23"/>
        <v>435000</v>
      </c>
      <c r="J225" s="16"/>
      <c r="K225" s="15">
        <v>225000</v>
      </c>
      <c r="L225" s="15">
        <f t="shared" si="18"/>
        <v>1160</v>
      </c>
      <c r="M225" s="20"/>
      <c r="N225" s="20"/>
      <c r="O225" s="15">
        <f t="shared" si="19"/>
        <v>14500</v>
      </c>
      <c r="P225" s="15">
        <f t="shared" si="20"/>
        <v>240660</v>
      </c>
      <c r="Q225" s="15">
        <f t="shared" si="21"/>
        <v>194340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6500</v>
      </c>
      <c r="F226" s="15">
        <v>400</v>
      </c>
      <c r="G226" s="15">
        <v>400</v>
      </c>
      <c r="H226" s="15">
        <f t="shared" si="22"/>
        <v>7300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6500</v>
      </c>
      <c r="F227" s="15">
        <v>400</v>
      </c>
      <c r="G227" s="15">
        <v>400</v>
      </c>
      <c r="H227" s="15">
        <f t="shared" si="22"/>
        <v>7300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204</v>
      </c>
      <c r="E228" s="15">
        <v>6500</v>
      </c>
      <c r="F228" s="15">
        <v>500</v>
      </c>
      <c r="G228" s="15">
        <v>400</v>
      </c>
      <c r="H228" s="15">
        <f t="shared" si="22"/>
        <v>7400</v>
      </c>
      <c r="I228" s="15">
        <f t="shared" si="23"/>
        <v>1509600</v>
      </c>
      <c r="J228" s="16"/>
      <c r="K228" s="15">
        <v>630000</v>
      </c>
      <c r="L228" s="15">
        <f t="shared" si="18"/>
        <v>4080</v>
      </c>
      <c r="M228" s="20"/>
      <c r="N228" s="20"/>
      <c r="O228" s="15">
        <f t="shared" si="19"/>
        <v>51000</v>
      </c>
      <c r="P228" s="15">
        <f t="shared" si="20"/>
        <v>685080</v>
      </c>
      <c r="Q228" s="15">
        <f t="shared" si="21"/>
        <v>824520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6500</v>
      </c>
      <c r="F229" s="15">
        <v>300</v>
      </c>
      <c r="G229" s="15">
        <v>400</v>
      </c>
      <c r="H229" s="15">
        <f t="shared" si="22"/>
        <v>7200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6500</v>
      </c>
      <c r="F230" s="15">
        <v>300</v>
      </c>
      <c r="G230" s="15">
        <v>400</v>
      </c>
      <c r="H230" s="15">
        <f t="shared" si="22"/>
        <v>7200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335</v>
      </c>
      <c r="E231" s="15">
        <v>6500</v>
      </c>
      <c r="F231" s="15">
        <v>600</v>
      </c>
      <c r="G231" s="15">
        <v>400</v>
      </c>
      <c r="H231" s="15">
        <f t="shared" si="22"/>
        <v>7500</v>
      </c>
      <c r="I231" s="15">
        <f t="shared" si="23"/>
        <v>2512500</v>
      </c>
      <c r="J231" s="16"/>
      <c r="K231" s="15">
        <v>420000</v>
      </c>
      <c r="L231" s="15">
        <f t="shared" si="18"/>
        <v>6700</v>
      </c>
      <c r="M231" s="16"/>
      <c r="N231" s="16"/>
      <c r="O231" s="15">
        <f t="shared" si="19"/>
        <v>83750</v>
      </c>
      <c r="P231" s="15">
        <f t="shared" si="20"/>
        <v>510450</v>
      </c>
      <c r="Q231" s="15">
        <f t="shared" si="21"/>
        <v>2002050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6500</v>
      </c>
      <c r="F232" s="15">
        <v>400</v>
      </c>
      <c r="G232" s="15">
        <v>400</v>
      </c>
      <c r="H232" s="15">
        <f t="shared" si="22"/>
        <v>7300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6500</v>
      </c>
      <c r="F233" s="15">
        <v>200</v>
      </c>
      <c r="G233" s="15">
        <v>400</v>
      </c>
      <c r="H233" s="15">
        <f t="shared" si="22"/>
        <v>7100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6500</v>
      </c>
      <c r="F234" s="15">
        <v>300</v>
      </c>
      <c r="G234" s="15">
        <v>400</v>
      </c>
      <c r="H234" s="15">
        <f t="shared" si="22"/>
        <v>7200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6500</v>
      </c>
      <c r="F235" s="15">
        <v>300</v>
      </c>
      <c r="G235" s="15">
        <v>400</v>
      </c>
      <c r="H235" s="15">
        <f t="shared" si="22"/>
        <v>7200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6500</v>
      </c>
      <c r="F236" s="15">
        <v>300</v>
      </c>
      <c r="G236" s="15">
        <v>400</v>
      </c>
      <c r="H236" s="15">
        <f t="shared" si="22"/>
        <v>7200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109</v>
      </c>
      <c r="E237" s="15">
        <v>6500</v>
      </c>
      <c r="F237" s="15">
        <v>200</v>
      </c>
      <c r="G237" s="15">
        <v>400</v>
      </c>
      <c r="H237" s="15">
        <f t="shared" si="22"/>
        <v>7100</v>
      </c>
      <c r="I237" s="15">
        <f t="shared" si="23"/>
        <v>773900</v>
      </c>
      <c r="J237" s="16"/>
      <c r="K237" s="15">
        <v>210000</v>
      </c>
      <c r="L237" s="15">
        <f t="shared" si="18"/>
        <v>2180</v>
      </c>
      <c r="M237" s="20"/>
      <c r="N237" s="20"/>
      <c r="O237" s="15">
        <f t="shared" si="19"/>
        <v>27250</v>
      </c>
      <c r="P237" s="15">
        <f t="shared" si="20"/>
        <v>239430</v>
      </c>
      <c r="Q237" s="15">
        <f t="shared" si="21"/>
        <v>534470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137</v>
      </c>
      <c r="E238" s="15">
        <v>6500</v>
      </c>
      <c r="F238" s="15">
        <v>400</v>
      </c>
      <c r="G238" s="15">
        <v>400</v>
      </c>
      <c r="H238" s="15">
        <f t="shared" si="22"/>
        <v>7300</v>
      </c>
      <c r="I238" s="15">
        <f t="shared" si="23"/>
        <v>1000100</v>
      </c>
      <c r="J238" s="20"/>
      <c r="K238" s="15">
        <v>420000</v>
      </c>
      <c r="L238" s="15">
        <f t="shared" si="18"/>
        <v>2740</v>
      </c>
      <c r="M238" s="20"/>
      <c r="N238" s="20"/>
      <c r="O238" s="15">
        <f t="shared" si="19"/>
        <v>34250</v>
      </c>
      <c r="P238" s="15">
        <f t="shared" si="20"/>
        <v>456990</v>
      </c>
      <c r="Q238" s="15">
        <f t="shared" si="21"/>
        <v>543110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6500</v>
      </c>
      <c r="F239" s="15">
        <v>300</v>
      </c>
      <c r="G239" s="15">
        <v>400</v>
      </c>
      <c r="H239" s="15">
        <f t="shared" si="22"/>
        <v>7200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6500</v>
      </c>
      <c r="F240" s="15">
        <v>300</v>
      </c>
      <c r="G240" s="15">
        <v>400</v>
      </c>
      <c r="H240" s="15">
        <f t="shared" si="22"/>
        <v>7200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6500</v>
      </c>
      <c r="F241" s="15">
        <v>400</v>
      </c>
      <c r="G241" s="15">
        <v>400</v>
      </c>
      <c r="H241" s="15">
        <f t="shared" si="22"/>
        <v>7300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6500</v>
      </c>
      <c r="F242" s="15">
        <v>400</v>
      </c>
      <c r="G242" s="15">
        <v>400</v>
      </c>
      <c r="H242" s="15">
        <f t="shared" si="22"/>
        <v>7300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6500</v>
      </c>
      <c r="F243" s="15">
        <v>300</v>
      </c>
      <c r="G243" s="15">
        <v>400</v>
      </c>
      <c r="H243" s="15">
        <f t="shared" si="22"/>
        <v>7200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6500</v>
      </c>
      <c r="F244" s="15">
        <v>300</v>
      </c>
      <c r="G244" s="15">
        <v>400</v>
      </c>
      <c r="H244" s="15">
        <f t="shared" si="22"/>
        <v>7200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6500</v>
      </c>
      <c r="F245" s="15">
        <v>300</v>
      </c>
      <c r="G245" s="15">
        <v>400</v>
      </c>
      <c r="H245" s="15">
        <f t="shared" si="22"/>
        <v>7200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249</v>
      </c>
      <c r="E246" s="15">
        <v>6500</v>
      </c>
      <c r="F246" s="15">
        <v>600</v>
      </c>
      <c r="G246" s="15">
        <v>400</v>
      </c>
      <c r="H246" s="15">
        <f t="shared" si="22"/>
        <v>7500</v>
      </c>
      <c r="I246" s="15">
        <f t="shared" si="23"/>
        <v>1867500</v>
      </c>
      <c r="J246" s="16"/>
      <c r="K246" s="15">
        <v>630000</v>
      </c>
      <c r="L246" s="15">
        <f t="shared" si="18"/>
        <v>4980</v>
      </c>
      <c r="M246" s="16"/>
      <c r="N246" s="16"/>
      <c r="O246" s="15">
        <f t="shared" si="19"/>
        <v>62250</v>
      </c>
      <c r="P246" s="15">
        <f t="shared" si="20"/>
        <v>697230</v>
      </c>
      <c r="Q246" s="15">
        <f t="shared" si="21"/>
        <v>1170270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128</v>
      </c>
      <c r="E247" s="15">
        <v>6500</v>
      </c>
      <c r="F247" s="15">
        <v>500</v>
      </c>
      <c r="G247" s="15">
        <v>400</v>
      </c>
      <c r="H247" s="15">
        <f t="shared" si="22"/>
        <v>7400</v>
      </c>
      <c r="I247" s="15">
        <f t="shared" si="23"/>
        <v>947200</v>
      </c>
      <c r="J247" s="16"/>
      <c r="K247" s="15">
        <v>210000</v>
      </c>
      <c r="L247" s="15">
        <f t="shared" si="18"/>
        <v>2560</v>
      </c>
      <c r="M247" s="20"/>
      <c r="N247" s="20"/>
      <c r="O247" s="15">
        <f t="shared" si="19"/>
        <v>32000</v>
      </c>
      <c r="P247" s="15">
        <f t="shared" si="20"/>
        <v>244560</v>
      </c>
      <c r="Q247" s="15">
        <f t="shared" si="21"/>
        <v>702640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6500</v>
      </c>
      <c r="F248" s="15">
        <v>300</v>
      </c>
      <c r="G248" s="15">
        <v>400</v>
      </c>
      <c r="H248" s="15">
        <f t="shared" si="22"/>
        <v>7200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6500</v>
      </c>
      <c r="F249" s="15">
        <v>300</v>
      </c>
      <c r="G249" s="15">
        <v>400</v>
      </c>
      <c r="H249" s="15">
        <f t="shared" si="22"/>
        <v>7200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6500</v>
      </c>
      <c r="F250" s="15">
        <v>300</v>
      </c>
      <c r="G250" s="15">
        <v>400</v>
      </c>
      <c r="H250" s="15">
        <f t="shared" si="22"/>
        <v>7200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6500</v>
      </c>
      <c r="F251" s="15">
        <v>300</v>
      </c>
      <c r="G251" s="15">
        <v>400</v>
      </c>
      <c r="H251" s="15">
        <f t="shared" si="22"/>
        <v>7200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6500</v>
      </c>
      <c r="F252" s="15">
        <v>300</v>
      </c>
      <c r="G252" s="15">
        <v>400</v>
      </c>
      <c r="H252" s="15">
        <f t="shared" si="22"/>
        <v>7200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104</v>
      </c>
      <c r="E253" s="15">
        <v>6500</v>
      </c>
      <c r="F253" s="15">
        <v>500</v>
      </c>
      <c r="G253" s="15">
        <v>400</v>
      </c>
      <c r="H253" s="15">
        <f t="shared" si="22"/>
        <v>7400</v>
      </c>
      <c r="I253" s="15">
        <f t="shared" si="23"/>
        <v>769600</v>
      </c>
      <c r="J253" s="20"/>
      <c r="K253" s="15">
        <v>420000</v>
      </c>
      <c r="L253" s="15">
        <f t="shared" si="18"/>
        <v>2080</v>
      </c>
      <c r="M253" s="20"/>
      <c r="N253" s="20"/>
      <c r="O253" s="15">
        <f t="shared" si="19"/>
        <v>26000</v>
      </c>
      <c r="P253" s="15">
        <f t="shared" si="20"/>
        <v>448080</v>
      </c>
      <c r="Q253" s="15">
        <f t="shared" si="21"/>
        <v>321520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6500</v>
      </c>
      <c r="F254" s="15">
        <v>300</v>
      </c>
      <c r="G254" s="15">
        <v>400</v>
      </c>
      <c r="H254" s="15">
        <f t="shared" si="22"/>
        <v>7200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6500</v>
      </c>
      <c r="F255" s="15">
        <v>300</v>
      </c>
      <c r="G255" s="15">
        <v>400</v>
      </c>
      <c r="H255" s="15">
        <f t="shared" si="22"/>
        <v>7200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6500</v>
      </c>
      <c r="F256" s="15">
        <v>400</v>
      </c>
      <c r="G256" s="15">
        <v>400</v>
      </c>
      <c r="H256" s="15">
        <f t="shared" si="22"/>
        <v>7300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6500</v>
      </c>
      <c r="F257" s="15">
        <v>300</v>
      </c>
      <c r="G257" s="15">
        <v>400</v>
      </c>
      <c r="H257" s="15">
        <f t="shared" si="22"/>
        <v>7200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441</v>
      </c>
      <c r="C258" s="13" t="s">
        <v>43</v>
      </c>
      <c r="D258" s="19"/>
      <c r="E258" s="15">
        <v>6500</v>
      </c>
      <c r="F258" s="15">
        <v>300</v>
      </c>
      <c r="G258" s="15">
        <v>400</v>
      </c>
      <c r="H258" s="15">
        <f t="shared" si="22"/>
        <v>7200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6500</v>
      </c>
      <c r="F259" s="15">
        <v>300</v>
      </c>
      <c r="G259" s="15">
        <v>400</v>
      </c>
      <c r="H259" s="15">
        <f t="shared" si="22"/>
        <v>7200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6500</v>
      </c>
      <c r="F260" s="15">
        <v>300</v>
      </c>
      <c r="G260" s="15">
        <v>400</v>
      </c>
      <c r="H260" s="15">
        <f t="shared" si="22"/>
        <v>7200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191</v>
      </c>
      <c r="E261" s="15">
        <v>6500</v>
      </c>
      <c r="F261" s="15">
        <v>600</v>
      </c>
      <c r="G261" s="15">
        <v>400</v>
      </c>
      <c r="H261" s="15">
        <f t="shared" si="22"/>
        <v>7500</v>
      </c>
      <c r="I261" s="15">
        <f t="shared" si="23"/>
        <v>1432500</v>
      </c>
      <c r="J261" s="16"/>
      <c r="K261" s="15">
        <v>420000</v>
      </c>
      <c r="L261" s="15">
        <f t="shared" ref="L261:L324" si="24">D261*20</f>
        <v>3820</v>
      </c>
      <c r="M261" s="16"/>
      <c r="N261" s="16"/>
      <c r="O261" s="15">
        <f t="shared" ref="O261:O324" si="25">250*D261</f>
        <v>47750</v>
      </c>
      <c r="P261" s="15">
        <f t="shared" ref="P261:P324" si="26">SUM(J261:O261)</f>
        <v>471570</v>
      </c>
      <c r="Q261" s="15">
        <f t="shared" ref="Q261:Q324" si="27">I261-P261</f>
        <v>960930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6500</v>
      </c>
      <c r="F262" s="15">
        <v>400</v>
      </c>
      <c r="G262" s="15">
        <v>400</v>
      </c>
      <c r="H262" s="15">
        <f t="shared" ref="H262:H325" si="28">SUM(E262:G262)</f>
        <v>7300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6500</v>
      </c>
      <c r="F263" s="15">
        <v>300</v>
      </c>
      <c r="G263" s="15">
        <v>400</v>
      </c>
      <c r="H263" s="15">
        <f t="shared" si="28"/>
        <v>7200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6500</v>
      </c>
      <c r="F264" s="15">
        <v>300</v>
      </c>
      <c r="G264" s="15">
        <v>400</v>
      </c>
      <c r="H264" s="15">
        <f t="shared" si="28"/>
        <v>7200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6500</v>
      </c>
      <c r="F265" s="15">
        <v>300</v>
      </c>
      <c r="G265" s="15">
        <v>400</v>
      </c>
      <c r="H265" s="15">
        <f t="shared" si="28"/>
        <v>7200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6500</v>
      </c>
      <c r="F266" s="15">
        <v>300</v>
      </c>
      <c r="G266" s="15">
        <v>400</v>
      </c>
      <c r="H266" s="15">
        <f t="shared" si="28"/>
        <v>7200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203</v>
      </c>
      <c r="E267" s="15">
        <v>6500</v>
      </c>
      <c r="F267" s="15">
        <v>600</v>
      </c>
      <c r="G267" s="15">
        <v>400</v>
      </c>
      <c r="H267" s="15">
        <f t="shared" si="28"/>
        <v>7500</v>
      </c>
      <c r="I267" s="15">
        <f t="shared" si="29"/>
        <v>1522500</v>
      </c>
      <c r="J267" s="20"/>
      <c r="K267" s="15">
        <v>420000</v>
      </c>
      <c r="L267" s="15">
        <f t="shared" si="24"/>
        <v>4060</v>
      </c>
      <c r="M267" s="16"/>
      <c r="N267" s="16"/>
      <c r="O267" s="15">
        <f t="shared" si="25"/>
        <v>50750</v>
      </c>
      <c r="P267" s="15">
        <f t="shared" si="26"/>
        <v>474810</v>
      </c>
      <c r="Q267" s="15">
        <f t="shared" si="27"/>
        <v>1047690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6500</v>
      </c>
      <c r="F268" s="15">
        <v>300</v>
      </c>
      <c r="G268" s="15">
        <v>400</v>
      </c>
      <c r="H268" s="15">
        <f t="shared" si="28"/>
        <v>7200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431</v>
      </c>
      <c r="C269" s="13" t="s">
        <v>43</v>
      </c>
      <c r="D269" s="16"/>
      <c r="E269" s="15">
        <v>6500</v>
      </c>
      <c r="F269" s="15">
        <v>300</v>
      </c>
      <c r="G269" s="15">
        <v>400</v>
      </c>
      <c r="H269" s="15">
        <f t="shared" si="28"/>
        <v>7200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74</v>
      </c>
      <c r="E270" s="15">
        <v>6500</v>
      </c>
      <c r="F270" s="15">
        <v>600</v>
      </c>
      <c r="G270" s="15">
        <v>400</v>
      </c>
      <c r="H270" s="15">
        <f t="shared" si="28"/>
        <v>7500</v>
      </c>
      <c r="I270" s="15">
        <f t="shared" si="29"/>
        <v>555000</v>
      </c>
      <c r="J270" s="20"/>
      <c r="K270" s="15">
        <v>210000</v>
      </c>
      <c r="L270" s="15">
        <f t="shared" si="24"/>
        <v>1480</v>
      </c>
      <c r="M270" s="16"/>
      <c r="N270" s="16"/>
      <c r="O270" s="15">
        <f t="shared" si="25"/>
        <v>18500</v>
      </c>
      <c r="P270" s="15">
        <f t="shared" si="26"/>
        <v>229980</v>
      </c>
      <c r="Q270" s="15">
        <f t="shared" si="27"/>
        <v>325020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6500</v>
      </c>
      <c r="F271" s="15">
        <v>300</v>
      </c>
      <c r="G271" s="15">
        <v>400</v>
      </c>
      <c r="H271" s="15">
        <f t="shared" si="28"/>
        <v>7200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6500</v>
      </c>
      <c r="F272" s="15">
        <v>300</v>
      </c>
      <c r="G272" s="15">
        <v>400</v>
      </c>
      <c r="H272" s="15">
        <f t="shared" si="28"/>
        <v>7200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6500</v>
      </c>
      <c r="F273" s="15">
        <v>300</v>
      </c>
      <c r="G273" s="15">
        <v>400</v>
      </c>
      <c r="H273" s="15">
        <f t="shared" si="28"/>
        <v>7200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6500</v>
      </c>
      <c r="F274" s="15">
        <v>300</v>
      </c>
      <c r="G274" s="15">
        <v>400</v>
      </c>
      <c r="H274" s="15">
        <f t="shared" si="28"/>
        <v>7200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103</v>
      </c>
      <c r="E275" s="15">
        <v>6500</v>
      </c>
      <c r="F275" s="15">
        <v>600</v>
      </c>
      <c r="G275" s="15">
        <v>400</v>
      </c>
      <c r="H275" s="15">
        <f t="shared" si="28"/>
        <v>7500</v>
      </c>
      <c r="I275" s="15">
        <f t="shared" si="29"/>
        <v>772500</v>
      </c>
      <c r="J275" s="16"/>
      <c r="K275" s="15">
        <v>210000</v>
      </c>
      <c r="L275" s="15">
        <f t="shared" si="24"/>
        <v>2060</v>
      </c>
      <c r="M275" s="16"/>
      <c r="N275" s="16"/>
      <c r="O275" s="15">
        <f t="shared" si="25"/>
        <v>25750</v>
      </c>
      <c r="P275" s="15">
        <f t="shared" si="26"/>
        <v>237810</v>
      </c>
      <c r="Q275" s="15">
        <f t="shared" si="27"/>
        <v>534690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6500</v>
      </c>
      <c r="F276" s="15">
        <v>300</v>
      </c>
      <c r="G276" s="15">
        <v>400</v>
      </c>
      <c r="H276" s="15">
        <f t="shared" si="28"/>
        <v>7200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6500</v>
      </c>
      <c r="F277" s="15">
        <v>500</v>
      </c>
      <c r="G277" s="15">
        <v>400</v>
      </c>
      <c r="H277" s="15">
        <f t="shared" si="28"/>
        <v>7400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6500</v>
      </c>
      <c r="F278" s="15">
        <v>300</v>
      </c>
      <c r="G278" s="15">
        <v>400</v>
      </c>
      <c r="H278" s="15">
        <f t="shared" si="28"/>
        <v>7200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6500</v>
      </c>
      <c r="F279" s="15">
        <v>300</v>
      </c>
      <c r="G279" s="15">
        <v>400</v>
      </c>
      <c r="H279" s="15">
        <f t="shared" si="28"/>
        <v>7200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6500</v>
      </c>
      <c r="F280" s="15">
        <v>300</v>
      </c>
      <c r="G280" s="15">
        <v>400</v>
      </c>
      <c r="H280" s="15">
        <f t="shared" si="28"/>
        <v>7200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6500</v>
      </c>
      <c r="F281" s="15">
        <v>500</v>
      </c>
      <c r="G281" s="15">
        <v>400</v>
      </c>
      <c r="H281" s="15">
        <f t="shared" si="28"/>
        <v>7400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481</v>
      </c>
      <c r="E282" s="15">
        <v>6500</v>
      </c>
      <c r="F282" s="15">
        <v>600</v>
      </c>
      <c r="G282" s="15">
        <v>400</v>
      </c>
      <c r="H282" s="15">
        <f t="shared" si="28"/>
        <v>7500</v>
      </c>
      <c r="I282" s="15">
        <f t="shared" si="29"/>
        <v>3607500</v>
      </c>
      <c r="J282" s="16"/>
      <c r="K282" s="15"/>
      <c r="L282" s="15">
        <f t="shared" si="24"/>
        <v>9620</v>
      </c>
      <c r="M282" s="16"/>
      <c r="N282" s="16"/>
      <c r="O282" s="15">
        <f t="shared" si="25"/>
        <v>120250</v>
      </c>
      <c r="P282" s="15">
        <f t="shared" si="26"/>
        <v>129870</v>
      </c>
      <c r="Q282" s="15">
        <f t="shared" si="27"/>
        <v>3477630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6500</v>
      </c>
      <c r="F283" s="15">
        <v>300</v>
      </c>
      <c r="G283" s="15">
        <v>400</v>
      </c>
      <c r="H283" s="15">
        <f t="shared" si="28"/>
        <v>7200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6500</v>
      </c>
      <c r="F284" s="15">
        <v>300</v>
      </c>
      <c r="G284" s="15">
        <v>400</v>
      </c>
      <c r="H284" s="15">
        <f t="shared" si="28"/>
        <v>7200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6500</v>
      </c>
      <c r="F285" s="15">
        <v>300</v>
      </c>
      <c r="G285" s="15">
        <v>400</v>
      </c>
      <c r="H285" s="15">
        <f t="shared" si="28"/>
        <v>7200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210</v>
      </c>
      <c r="E286" s="15">
        <v>6500</v>
      </c>
      <c r="F286" s="15">
        <v>500</v>
      </c>
      <c r="G286" s="15">
        <v>400</v>
      </c>
      <c r="H286" s="15">
        <f t="shared" si="28"/>
        <v>7400</v>
      </c>
      <c r="I286" s="15">
        <f t="shared" si="29"/>
        <v>1554000</v>
      </c>
      <c r="J286" s="16"/>
      <c r="K286" s="15">
        <v>840000</v>
      </c>
      <c r="L286" s="15">
        <f t="shared" si="24"/>
        <v>4200</v>
      </c>
      <c r="M286" s="20"/>
      <c r="N286" s="20"/>
      <c r="O286" s="15">
        <f t="shared" si="25"/>
        <v>52500</v>
      </c>
      <c r="P286" s="15">
        <f t="shared" si="26"/>
        <v>896700</v>
      </c>
      <c r="Q286" s="15">
        <f t="shared" si="27"/>
        <v>657300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510</v>
      </c>
      <c r="E287" s="15">
        <v>6500</v>
      </c>
      <c r="F287" s="15">
        <v>600</v>
      </c>
      <c r="G287" s="15">
        <v>400</v>
      </c>
      <c r="H287" s="15">
        <f t="shared" si="28"/>
        <v>7500</v>
      </c>
      <c r="I287" s="15">
        <f t="shared" si="29"/>
        <v>3825000</v>
      </c>
      <c r="J287" s="20"/>
      <c r="K287" s="15"/>
      <c r="L287" s="15">
        <f t="shared" si="24"/>
        <v>10200</v>
      </c>
      <c r="M287" s="16"/>
      <c r="N287" s="16"/>
      <c r="O287" s="15">
        <f t="shared" si="25"/>
        <v>127500</v>
      </c>
      <c r="P287" s="15">
        <f t="shared" si="26"/>
        <v>137700</v>
      </c>
      <c r="Q287" s="15">
        <f t="shared" si="27"/>
        <v>3687300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6500</v>
      </c>
      <c r="F288" s="15">
        <v>300</v>
      </c>
      <c r="G288" s="15">
        <v>400</v>
      </c>
      <c r="H288" s="15">
        <f t="shared" si="28"/>
        <v>7200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6500</v>
      </c>
      <c r="F289" s="15">
        <v>400</v>
      </c>
      <c r="G289" s="15">
        <v>400</v>
      </c>
      <c r="H289" s="15">
        <f t="shared" si="28"/>
        <v>7300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120</v>
      </c>
      <c r="E290" s="15">
        <v>6500</v>
      </c>
      <c r="F290" s="15">
        <v>400</v>
      </c>
      <c r="G290" s="15">
        <v>400</v>
      </c>
      <c r="H290" s="15">
        <f t="shared" si="28"/>
        <v>7300</v>
      </c>
      <c r="I290" s="15">
        <f t="shared" si="29"/>
        <v>876000</v>
      </c>
      <c r="J290" s="16"/>
      <c r="K290" s="15">
        <v>420000</v>
      </c>
      <c r="L290" s="15">
        <f t="shared" si="24"/>
        <v>2400</v>
      </c>
      <c r="M290" s="16"/>
      <c r="N290" s="16"/>
      <c r="O290" s="15">
        <f t="shared" si="25"/>
        <v>30000</v>
      </c>
      <c r="P290" s="15">
        <f t="shared" si="26"/>
        <v>452400</v>
      </c>
      <c r="Q290" s="15">
        <f t="shared" si="27"/>
        <v>423600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343</v>
      </c>
      <c r="E291" s="15">
        <v>6500</v>
      </c>
      <c r="F291" s="15">
        <v>500</v>
      </c>
      <c r="G291" s="15">
        <v>400</v>
      </c>
      <c r="H291" s="15">
        <f t="shared" si="28"/>
        <v>7400</v>
      </c>
      <c r="I291" s="15">
        <f t="shared" si="29"/>
        <v>2538200</v>
      </c>
      <c r="J291" s="20"/>
      <c r="K291" s="15">
        <v>840000</v>
      </c>
      <c r="L291" s="15">
        <f t="shared" si="24"/>
        <v>6860</v>
      </c>
      <c r="M291" s="16"/>
      <c r="N291" s="16"/>
      <c r="O291" s="15">
        <f t="shared" si="25"/>
        <v>85750</v>
      </c>
      <c r="P291" s="15">
        <f t="shared" si="26"/>
        <v>932610</v>
      </c>
      <c r="Q291" s="15">
        <f t="shared" si="27"/>
        <v>1605590</v>
      </c>
      <c r="R291" s="17">
        <v>1398</v>
      </c>
    </row>
    <row r="292" spans="1:18" ht="16.5" x14ac:dyDescent="0.25">
      <c r="A292" s="12">
        <v>1400</v>
      </c>
      <c r="B292" s="13" t="s">
        <v>420</v>
      </c>
      <c r="C292" s="13" t="s">
        <v>421</v>
      </c>
      <c r="D292" s="16"/>
      <c r="E292" s="15">
        <v>6500</v>
      </c>
      <c r="F292" s="15">
        <v>300</v>
      </c>
      <c r="G292" s="15">
        <v>400</v>
      </c>
      <c r="H292" s="15">
        <f t="shared" si="28"/>
        <v>7200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6500</v>
      </c>
      <c r="F293" s="15">
        <v>500</v>
      </c>
      <c r="G293" s="15">
        <v>400</v>
      </c>
      <c r="H293" s="15">
        <f t="shared" si="28"/>
        <v>7400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199</v>
      </c>
      <c r="E294" s="15">
        <v>6500</v>
      </c>
      <c r="F294" s="15">
        <v>600</v>
      </c>
      <c r="G294" s="15">
        <v>400</v>
      </c>
      <c r="H294" s="15">
        <f t="shared" si="28"/>
        <v>7500</v>
      </c>
      <c r="I294" s="15">
        <f t="shared" si="29"/>
        <v>1492500</v>
      </c>
      <c r="J294" s="16"/>
      <c r="K294" s="15">
        <v>855000</v>
      </c>
      <c r="L294" s="15">
        <f t="shared" si="24"/>
        <v>3980</v>
      </c>
      <c r="M294" s="20"/>
      <c r="N294" s="20"/>
      <c r="O294" s="15">
        <f t="shared" si="25"/>
        <v>49750</v>
      </c>
      <c r="P294" s="15">
        <f t="shared" si="26"/>
        <v>908730</v>
      </c>
      <c r="Q294" s="15">
        <f t="shared" si="27"/>
        <v>583770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185</v>
      </c>
      <c r="E295" s="15">
        <v>6500</v>
      </c>
      <c r="F295" s="15">
        <v>500</v>
      </c>
      <c r="G295" s="15">
        <v>400</v>
      </c>
      <c r="H295" s="15">
        <f t="shared" si="28"/>
        <v>7400</v>
      </c>
      <c r="I295" s="15">
        <f t="shared" si="29"/>
        <v>1369000</v>
      </c>
      <c r="J295" s="16"/>
      <c r="K295" s="15"/>
      <c r="L295" s="15">
        <f t="shared" si="24"/>
        <v>3700</v>
      </c>
      <c r="M295" s="16"/>
      <c r="N295" s="16"/>
      <c r="O295" s="15">
        <f t="shared" si="25"/>
        <v>46250</v>
      </c>
      <c r="P295" s="15">
        <f t="shared" si="26"/>
        <v>49950</v>
      </c>
      <c r="Q295" s="15">
        <f t="shared" si="27"/>
        <v>1319050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134</v>
      </c>
      <c r="E296" s="15">
        <v>6500</v>
      </c>
      <c r="F296" s="15">
        <v>600</v>
      </c>
      <c r="G296" s="15">
        <v>400</v>
      </c>
      <c r="H296" s="15">
        <f t="shared" si="28"/>
        <v>7500</v>
      </c>
      <c r="I296" s="15">
        <f t="shared" si="29"/>
        <v>1005000</v>
      </c>
      <c r="J296" s="20"/>
      <c r="K296" s="15">
        <v>435000</v>
      </c>
      <c r="L296" s="15">
        <f t="shared" si="24"/>
        <v>2680</v>
      </c>
      <c r="M296" s="20"/>
      <c r="N296" s="20"/>
      <c r="O296" s="15">
        <f t="shared" si="25"/>
        <v>33500</v>
      </c>
      <c r="P296" s="15">
        <f t="shared" si="26"/>
        <v>471180</v>
      </c>
      <c r="Q296" s="15">
        <f t="shared" si="27"/>
        <v>533820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6500</v>
      </c>
      <c r="F297" s="15">
        <v>400</v>
      </c>
      <c r="G297" s="15">
        <v>400</v>
      </c>
      <c r="H297" s="15">
        <f t="shared" si="28"/>
        <v>7300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1065</v>
      </c>
      <c r="E298" s="15">
        <v>6500</v>
      </c>
      <c r="F298" s="15">
        <v>500</v>
      </c>
      <c r="G298" s="15">
        <v>400</v>
      </c>
      <c r="H298" s="15">
        <f t="shared" si="28"/>
        <v>7400</v>
      </c>
      <c r="I298" s="15">
        <f t="shared" si="29"/>
        <v>7881000</v>
      </c>
      <c r="J298" s="20"/>
      <c r="K298" s="15"/>
      <c r="L298" s="15">
        <f t="shared" si="24"/>
        <v>21300</v>
      </c>
      <c r="M298" s="20"/>
      <c r="N298" s="20"/>
      <c r="O298" s="15">
        <f t="shared" si="25"/>
        <v>266250</v>
      </c>
      <c r="P298" s="15">
        <f t="shared" si="26"/>
        <v>287550</v>
      </c>
      <c r="Q298" s="15">
        <f t="shared" si="27"/>
        <v>7593450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6500</v>
      </c>
      <c r="F299" s="15">
        <v>300</v>
      </c>
      <c r="G299" s="15">
        <v>400</v>
      </c>
      <c r="H299" s="15">
        <f t="shared" si="28"/>
        <v>7200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6500</v>
      </c>
      <c r="F300" s="15">
        <v>300</v>
      </c>
      <c r="G300" s="15">
        <v>400</v>
      </c>
      <c r="H300" s="15">
        <f t="shared" si="28"/>
        <v>7200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6500</v>
      </c>
      <c r="F301" s="15">
        <v>300</v>
      </c>
      <c r="G301" s="15">
        <v>400</v>
      </c>
      <c r="H301" s="15">
        <f t="shared" si="28"/>
        <v>7200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6500</v>
      </c>
      <c r="F302" s="15">
        <v>300</v>
      </c>
      <c r="G302" s="15">
        <v>400</v>
      </c>
      <c r="H302" s="15">
        <f t="shared" si="28"/>
        <v>7200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6500</v>
      </c>
      <c r="F303" s="15">
        <v>300</v>
      </c>
      <c r="G303" s="15">
        <v>400</v>
      </c>
      <c r="H303" s="15">
        <f t="shared" si="28"/>
        <v>7200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6500</v>
      </c>
      <c r="F304" s="15">
        <v>300</v>
      </c>
      <c r="G304" s="15">
        <v>400</v>
      </c>
      <c r="H304" s="15">
        <f t="shared" si="28"/>
        <v>7200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6500</v>
      </c>
      <c r="F305" s="15">
        <v>300</v>
      </c>
      <c r="G305" s="15">
        <v>400</v>
      </c>
      <c r="H305" s="15">
        <f t="shared" si="28"/>
        <v>7200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6500</v>
      </c>
      <c r="F306" s="15">
        <v>300</v>
      </c>
      <c r="G306" s="15">
        <v>400</v>
      </c>
      <c r="H306" s="15">
        <f t="shared" si="28"/>
        <v>7200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6500</v>
      </c>
      <c r="F307" s="15">
        <v>300</v>
      </c>
      <c r="G307" s="15">
        <v>400</v>
      </c>
      <c r="H307" s="15">
        <f t="shared" si="28"/>
        <v>7200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6500</v>
      </c>
      <c r="F308" s="15">
        <v>300</v>
      </c>
      <c r="G308" s="15">
        <v>400</v>
      </c>
      <c r="H308" s="15">
        <f t="shared" si="28"/>
        <v>7200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6500</v>
      </c>
      <c r="F309" s="15">
        <v>300</v>
      </c>
      <c r="G309" s="15">
        <v>400</v>
      </c>
      <c r="H309" s="15">
        <f t="shared" si="28"/>
        <v>7200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6500</v>
      </c>
      <c r="F310" s="15">
        <v>500</v>
      </c>
      <c r="G310" s="15">
        <v>400</v>
      </c>
      <c r="H310" s="15">
        <f t="shared" si="28"/>
        <v>7400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6500</v>
      </c>
      <c r="F311" s="15">
        <v>400</v>
      </c>
      <c r="G311" s="15">
        <v>400</v>
      </c>
      <c r="H311" s="15">
        <f t="shared" si="28"/>
        <v>7300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6500</v>
      </c>
      <c r="F312" s="15">
        <v>400</v>
      </c>
      <c r="G312" s="15">
        <v>400</v>
      </c>
      <c r="H312" s="15">
        <f t="shared" si="28"/>
        <v>7300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6500</v>
      </c>
      <c r="F313" s="15">
        <v>300</v>
      </c>
      <c r="G313" s="15">
        <v>400</v>
      </c>
      <c r="H313" s="15">
        <f t="shared" si="28"/>
        <v>7200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6500</v>
      </c>
      <c r="F314" s="15">
        <v>400</v>
      </c>
      <c r="G314" s="15">
        <v>400</v>
      </c>
      <c r="H314" s="15">
        <f t="shared" si="28"/>
        <v>7300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417</v>
      </c>
      <c r="E315" s="15">
        <v>6500</v>
      </c>
      <c r="F315" s="15">
        <v>600</v>
      </c>
      <c r="G315" s="15">
        <v>400</v>
      </c>
      <c r="H315" s="15">
        <f t="shared" si="28"/>
        <v>7500</v>
      </c>
      <c r="I315" s="15">
        <f t="shared" si="29"/>
        <v>3127500</v>
      </c>
      <c r="J315" s="16"/>
      <c r="K315" s="15"/>
      <c r="L315" s="15">
        <f t="shared" si="24"/>
        <v>8340</v>
      </c>
      <c r="M315" s="20"/>
      <c r="N315" s="20"/>
      <c r="O315" s="15">
        <f t="shared" si="25"/>
        <v>104250</v>
      </c>
      <c r="P315" s="15">
        <f t="shared" si="26"/>
        <v>112590</v>
      </c>
      <c r="Q315" s="15">
        <f t="shared" si="27"/>
        <v>3014910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297</v>
      </c>
      <c r="E316" s="15">
        <v>6500</v>
      </c>
      <c r="F316" s="15">
        <v>400</v>
      </c>
      <c r="G316" s="15">
        <v>400</v>
      </c>
      <c r="H316" s="15">
        <f t="shared" si="28"/>
        <v>7300</v>
      </c>
      <c r="I316" s="15">
        <f t="shared" si="29"/>
        <v>2168100</v>
      </c>
      <c r="J316" s="16"/>
      <c r="K316" s="15">
        <v>630000</v>
      </c>
      <c r="L316" s="15">
        <f t="shared" si="24"/>
        <v>5940</v>
      </c>
      <c r="M316" s="16"/>
      <c r="N316" s="16"/>
      <c r="O316" s="15">
        <f t="shared" si="25"/>
        <v>74250</v>
      </c>
      <c r="P316" s="15">
        <f t="shared" si="26"/>
        <v>710190</v>
      </c>
      <c r="Q316" s="15">
        <f t="shared" si="27"/>
        <v>1457910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6500</v>
      </c>
      <c r="F317" s="15">
        <v>400</v>
      </c>
      <c r="G317" s="15">
        <v>400</v>
      </c>
      <c r="H317" s="15">
        <f t="shared" si="28"/>
        <v>7300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6500</v>
      </c>
      <c r="F318" s="15">
        <v>400</v>
      </c>
      <c r="G318" s="15">
        <v>400</v>
      </c>
      <c r="H318" s="15">
        <f t="shared" si="28"/>
        <v>7300</v>
      </c>
      <c r="I318" s="15">
        <f t="shared" si="29"/>
        <v>0</v>
      </c>
      <c r="J318" s="16"/>
      <c r="K318" s="15"/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0</v>
      </c>
      <c r="Q318" s="15">
        <f t="shared" si="27"/>
        <v>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35</v>
      </c>
      <c r="E319" s="15">
        <v>6500</v>
      </c>
      <c r="F319" s="15">
        <v>400</v>
      </c>
      <c r="G319" s="15">
        <v>400</v>
      </c>
      <c r="H319" s="15">
        <f t="shared" si="28"/>
        <v>7300</v>
      </c>
      <c r="I319" s="15">
        <f t="shared" si="29"/>
        <v>255500</v>
      </c>
      <c r="J319" s="20"/>
      <c r="K319" s="15"/>
      <c r="L319" s="15">
        <f t="shared" si="24"/>
        <v>700</v>
      </c>
      <c r="M319" s="20"/>
      <c r="N319" s="20"/>
      <c r="O319" s="15">
        <f t="shared" si="25"/>
        <v>8750</v>
      </c>
      <c r="P319" s="15">
        <f t="shared" si="26"/>
        <v>9450</v>
      </c>
      <c r="Q319" s="15">
        <f t="shared" si="27"/>
        <v>246050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6500</v>
      </c>
      <c r="F320" s="15">
        <v>400</v>
      </c>
      <c r="G320" s="15">
        <v>400</v>
      </c>
      <c r="H320" s="15">
        <f t="shared" si="28"/>
        <v>7300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98</v>
      </c>
      <c r="E321" s="15">
        <v>6500</v>
      </c>
      <c r="F321" s="15">
        <v>600</v>
      </c>
      <c r="G321" s="15">
        <v>400</v>
      </c>
      <c r="H321" s="15">
        <f t="shared" si="28"/>
        <v>7500</v>
      </c>
      <c r="I321" s="15">
        <f t="shared" si="29"/>
        <v>735000</v>
      </c>
      <c r="J321" s="20"/>
      <c r="K321" s="15">
        <v>210000</v>
      </c>
      <c r="L321" s="15">
        <f t="shared" si="24"/>
        <v>1960</v>
      </c>
      <c r="M321" s="16"/>
      <c r="N321" s="16"/>
      <c r="O321" s="15">
        <f t="shared" si="25"/>
        <v>24500</v>
      </c>
      <c r="P321" s="15">
        <f t="shared" si="26"/>
        <v>236460</v>
      </c>
      <c r="Q321" s="15">
        <f t="shared" si="27"/>
        <v>498540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6500</v>
      </c>
      <c r="F322" s="15">
        <v>300</v>
      </c>
      <c r="G322" s="15">
        <v>400</v>
      </c>
      <c r="H322" s="15">
        <f t="shared" si="28"/>
        <v>7200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6500</v>
      </c>
      <c r="F323" s="15">
        <v>300</v>
      </c>
      <c r="G323" s="15">
        <v>400</v>
      </c>
      <c r="H323" s="15">
        <f t="shared" si="28"/>
        <v>7200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6500</v>
      </c>
      <c r="F324" s="15">
        <v>300</v>
      </c>
      <c r="G324" s="15">
        <v>400</v>
      </c>
      <c r="H324" s="15">
        <f t="shared" si="28"/>
        <v>7200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456</v>
      </c>
      <c r="E325" s="15">
        <v>6500</v>
      </c>
      <c r="F325" s="15">
        <v>400</v>
      </c>
      <c r="G325" s="15">
        <v>400</v>
      </c>
      <c r="H325" s="15">
        <f t="shared" si="28"/>
        <v>7300</v>
      </c>
      <c r="I325" s="15">
        <f t="shared" si="29"/>
        <v>3328800</v>
      </c>
      <c r="J325" s="20"/>
      <c r="K325" s="15">
        <v>840000</v>
      </c>
      <c r="L325" s="15">
        <f t="shared" ref="L325:L388" si="30">D325*20</f>
        <v>9120</v>
      </c>
      <c r="M325" s="16"/>
      <c r="N325" s="16"/>
      <c r="O325" s="15">
        <f t="shared" ref="O325:O388" si="31">250*D325</f>
        <v>114000</v>
      </c>
      <c r="P325" s="15">
        <f t="shared" ref="P325:P388" si="32">SUM(J325:O325)</f>
        <v>963120</v>
      </c>
      <c r="Q325" s="15">
        <f t="shared" ref="Q325:Q388" si="33">I325-P325</f>
        <v>2365680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6500</v>
      </c>
      <c r="F326" s="15">
        <v>400</v>
      </c>
      <c r="G326" s="15">
        <v>400</v>
      </c>
      <c r="H326" s="15">
        <f t="shared" ref="H326:H389" si="34">SUM(E326:G326)</f>
        <v>7300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6500</v>
      </c>
      <c r="F327" s="15">
        <v>300</v>
      </c>
      <c r="G327" s="15">
        <v>400</v>
      </c>
      <c r="H327" s="15">
        <f t="shared" si="34"/>
        <v>7200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417</v>
      </c>
      <c r="C328" s="13" t="s">
        <v>30</v>
      </c>
      <c r="D328" s="14">
        <v>140</v>
      </c>
      <c r="E328" s="15">
        <v>6500</v>
      </c>
      <c r="F328" s="15">
        <v>300</v>
      </c>
      <c r="G328" s="15">
        <v>400</v>
      </c>
      <c r="H328" s="15">
        <f t="shared" si="34"/>
        <v>7200</v>
      </c>
      <c r="I328" s="15">
        <f t="shared" si="35"/>
        <v>1008000</v>
      </c>
      <c r="J328" s="16"/>
      <c r="K328" s="15">
        <v>420000</v>
      </c>
      <c r="L328" s="15">
        <f t="shared" si="30"/>
        <v>2800</v>
      </c>
      <c r="M328" s="20"/>
      <c r="N328" s="20"/>
      <c r="O328" s="15">
        <f t="shared" si="31"/>
        <v>35000</v>
      </c>
      <c r="P328" s="15">
        <f t="shared" si="32"/>
        <v>457800</v>
      </c>
      <c r="Q328" s="15">
        <f t="shared" si="33"/>
        <v>550200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6500</v>
      </c>
      <c r="F329" s="15">
        <v>300</v>
      </c>
      <c r="G329" s="15">
        <v>400</v>
      </c>
      <c r="H329" s="15">
        <f t="shared" si="34"/>
        <v>7200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6500</v>
      </c>
      <c r="F330" s="15">
        <v>300</v>
      </c>
      <c r="G330" s="15">
        <v>400</v>
      </c>
      <c r="H330" s="15">
        <f t="shared" si="34"/>
        <v>7200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6500</v>
      </c>
      <c r="F331" s="15">
        <v>400</v>
      </c>
      <c r="G331" s="15">
        <v>400</v>
      </c>
      <c r="H331" s="15">
        <f t="shared" si="34"/>
        <v>7300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6500</v>
      </c>
      <c r="F332" s="15">
        <v>300</v>
      </c>
      <c r="G332" s="15">
        <v>400</v>
      </c>
      <c r="H332" s="15">
        <f t="shared" si="34"/>
        <v>7200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6500</v>
      </c>
      <c r="F333" s="15">
        <v>300</v>
      </c>
      <c r="G333" s="15">
        <v>400</v>
      </c>
      <c r="H333" s="15">
        <f t="shared" si="34"/>
        <v>7200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6500</v>
      </c>
      <c r="F334" s="15">
        <v>300</v>
      </c>
      <c r="G334" s="15">
        <v>400</v>
      </c>
      <c r="H334" s="15">
        <f t="shared" si="34"/>
        <v>7200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68</v>
      </c>
      <c r="E335" s="15">
        <v>6500</v>
      </c>
      <c r="F335" s="15">
        <v>300</v>
      </c>
      <c r="G335" s="15">
        <v>400</v>
      </c>
      <c r="H335" s="15">
        <f t="shared" si="34"/>
        <v>7200</v>
      </c>
      <c r="I335" s="15">
        <f t="shared" si="35"/>
        <v>489600</v>
      </c>
      <c r="J335" s="16"/>
      <c r="K335" s="15">
        <v>210000</v>
      </c>
      <c r="L335" s="15">
        <f t="shared" si="30"/>
        <v>1360</v>
      </c>
      <c r="M335" s="16"/>
      <c r="N335" s="16"/>
      <c r="O335" s="15">
        <f t="shared" si="31"/>
        <v>17000</v>
      </c>
      <c r="P335" s="15">
        <f t="shared" si="32"/>
        <v>228360</v>
      </c>
      <c r="Q335" s="15">
        <f t="shared" si="33"/>
        <v>261240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6500</v>
      </c>
      <c r="F336" s="15">
        <v>300</v>
      </c>
      <c r="G336" s="15">
        <v>400</v>
      </c>
      <c r="H336" s="15">
        <f t="shared" si="34"/>
        <v>7200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6500</v>
      </c>
      <c r="F337" s="15">
        <v>300</v>
      </c>
      <c r="G337" s="15">
        <v>400</v>
      </c>
      <c r="H337" s="15">
        <f t="shared" si="34"/>
        <v>7200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6500</v>
      </c>
      <c r="F338" s="15">
        <v>300</v>
      </c>
      <c r="G338" s="15">
        <v>400</v>
      </c>
      <c r="H338" s="15">
        <f t="shared" si="34"/>
        <v>7200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53</v>
      </c>
      <c r="E339" s="15">
        <v>6500</v>
      </c>
      <c r="F339" s="15">
        <v>600</v>
      </c>
      <c r="G339" s="15">
        <v>400</v>
      </c>
      <c r="H339" s="15">
        <f t="shared" si="34"/>
        <v>7500</v>
      </c>
      <c r="I339" s="15">
        <f t="shared" si="35"/>
        <v>397500</v>
      </c>
      <c r="J339" s="16"/>
      <c r="K339" s="15">
        <v>225000</v>
      </c>
      <c r="L339" s="15">
        <f t="shared" si="30"/>
        <v>1060</v>
      </c>
      <c r="M339" s="20"/>
      <c r="N339" s="20"/>
      <c r="O339" s="15">
        <f t="shared" si="31"/>
        <v>13250</v>
      </c>
      <c r="P339" s="15">
        <f t="shared" si="32"/>
        <v>239310</v>
      </c>
      <c r="Q339" s="15">
        <f t="shared" si="33"/>
        <v>158190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6500</v>
      </c>
      <c r="F340" s="15">
        <v>300</v>
      </c>
      <c r="G340" s="15">
        <v>400</v>
      </c>
      <c r="H340" s="15">
        <f t="shared" si="34"/>
        <v>7200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6500</v>
      </c>
      <c r="F341" s="15">
        <v>300</v>
      </c>
      <c r="G341" s="15">
        <v>400</v>
      </c>
      <c r="H341" s="15">
        <f t="shared" si="34"/>
        <v>7200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6500</v>
      </c>
      <c r="F342" s="15">
        <v>300</v>
      </c>
      <c r="G342" s="15">
        <v>400</v>
      </c>
      <c r="H342" s="15">
        <f t="shared" si="34"/>
        <v>7200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6500</v>
      </c>
      <c r="F343" s="15">
        <v>300</v>
      </c>
      <c r="G343" s="15">
        <v>400</v>
      </c>
      <c r="H343" s="15">
        <f t="shared" si="34"/>
        <v>7200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280</v>
      </c>
      <c r="E344" s="15">
        <v>6500</v>
      </c>
      <c r="F344" s="15">
        <v>500</v>
      </c>
      <c r="G344" s="15">
        <v>400</v>
      </c>
      <c r="H344" s="15">
        <f t="shared" si="34"/>
        <v>7400</v>
      </c>
      <c r="I344" s="15">
        <f t="shared" si="35"/>
        <v>2072000</v>
      </c>
      <c r="J344" s="20"/>
      <c r="K344" s="15">
        <v>875000</v>
      </c>
      <c r="L344" s="15">
        <f t="shared" si="30"/>
        <v>5600</v>
      </c>
      <c r="M344" s="16"/>
      <c r="N344" s="16"/>
      <c r="O344" s="15">
        <f t="shared" si="31"/>
        <v>70000</v>
      </c>
      <c r="P344" s="15">
        <f t="shared" si="32"/>
        <v>950600</v>
      </c>
      <c r="Q344" s="15">
        <f t="shared" si="33"/>
        <v>1121400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6500</v>
      </c>
      <c r="F345" s="15">
        <v>300</v>
      </c>
      <c r="G345" s="15">
        <v>400</v>
      </c>
      <c r="H345" s="15">
        <f t="shared" si="34"/>
        <v>7200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6500</v>
      </c>
      <c r="F346" s="15">
        <v>300</v>
      </c>
      <c r="G346" s="15">
        <v>400</v>
      </c>
      <c r="H346" s="15">
        <f t="shared" si="34"/>
        <v>7200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6500</v>
      </c>
      <c r="F347" s="15">
        <v>300</v>
      </c>
      <c r="G347" s="15">
        <v>400</v>
      </c>
      <c r="H347" s="15">
        <f t="shared" si="34"/>
        <v>7200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6500</v>
      </c>
      <c r="F348" s="15">
        <v>300</v>
      </c>
      <c r="G348" s="15">
        <v>400</v>
      </c>
      <c r="H348" s="15">
        <f t="shared" si="34"/>
        <v>7200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6500</v>
      </c>
      <c r="F349" s="15">
        <v>300</v>
      </c>
      <c r="G349" s="15">
        <v>400</v>
      </c>
      <c r="H349" s="15">
        <f t="shared" si="34"/>
        <v>7200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65</v>
      </c>
      <c r="E350" s="15">
        <v>6500</v>
      </c>
      <c r="F350" s="15">
        <v>600</v>
      </c>
      <c r="G350" s="15">
        <v>400</v>
      </c>
      <c r="H350" s="15">
        <f t="shared" si="34"/>
        <v>7500</v>
      </c>
      <c r="I350" s="15">
        <f t="shared" si="35"/>
        <v>487500</v>
      </c>
      <c r="J350" s="16"/>
      <c r="K350" s="15">
        <v>210000</v>
      </c>
      <c r="L350" s="15">
        <f t="shared" si="30"/>
        <v>1300</v>
      </c>
      <c r="M350" s="16"/>
      <c r="N350" s="16"/>
      <c r="O350" s="15">
        <f t="shared" si="31"/>
        <v>16250</v>
      </c>
      <c r="P350" s="15">
        <f t="shared" si="32"/>
        <v>227550</v>
      </c>
      <c r="Q350" s="15">
        <f t="shared" si="33"/>
        <v>259950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6500</v>
      </c>
      <c r="F351" s="15">
        <v>300</v>
      </c>
      <c r="G351" s="15">
        <v>400</v>
      </c>
      <c r="H351" s="15">
        <f t="shared" si="34"/>
        <v>7200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6500</v>
      </c>
      <c r="F352" s="15">
        <v>300</v>
      </c>
      <c r="G352" s="15">
        <v>400</v>
      </c>
      <c r="H352" s="15">
        <f t="shared" si="34"/>
        <v>7200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104</v>
      </c>
      <c r="E353" s="15">
        <v>6500</v>
      </c>
      <c r="F353" s="15">
        <v>600</v>
      </c>
      <c r="G353" s="15">
        <v>400</v>
      </c>
      <c r="H353" s="15">
        <f t="shared" si="34"/>
        <v>7500</v>
      </c>
      <c r="I353" s="15">
        <f t="shared" si="35"/>
        <v>780000</v>
      </c>
      <c r="J353" s="20"/>
      <c r="K353" s="15">
        <v>210000</v>
      </c>
      <c r="L353" s="15">
        <f t="shared" si="30"/>
        <v>2080</v>
      </c>
      <c r="M353" s="20"/>
      <c r="N353" s="20"/>
      <c r="O353" s="15">
        <f t="shared" si="31"/>
        <v>26000</v>
      </c>
      <c r="P353" s="15">
        <f t="shared" si="32"/>
        <v>238080</v>
      </c>
      <c r="Q353" s="15">
        <f t="shared" si="33"/>
        <v>541920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6500</v>
      </c>
      <c r="F354" s="15">
        <v>300</v>
      </c>
      <c r="G354" s="15">
        <v>400</v>
      </c>
      <c r="H354" s="15">
        <f t="shared" si="34"/>
        <v>7200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6500</v>
      </c>
      <c r="F355" s="15">
        <v>300</v>
      </c>
      <c r="G355" s="15">
        <v>400</v>
      </c>
      <c r="H355" s="15">
        <f t="shared" si="34"/>
        <v>7200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6500</v>
      </c>
      <c r="F356" s="15">
        <v>400</v>
      </c>
      <c r="G356" s="15">
        <v>400</v>
      </c>
      <c r="H356" s="15">
        <f t="shared" si="34"/>
        <v>7300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6500</v>
      </c>
      <c r="F357" s="15">
        <v>300</v>
      </c>
      <c r="G357" s="15">
        <v>400</v>
      </c>
      <c r="H357" s="15">
        <f t="shared" si="34"/>
        <v>7200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6500</v>
      </c>
      <c r="F358" s="15">
        <v>300</v>
      </c>
      <c r="G358" s="15">
        <v>400</v>
      </c>
      <c r="H358" s="15">
        <f t="shared" si="34"/>
        <v>7200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6500</v>
      </c>
      <c r="F359" s="15">
        <v>300</v>
      </c>
      <c r="G359" s="15">
        <v>400</v>
      </c>
      <c r="H359" s="15">
        <f t="shared" si="34"/>
        <v>7200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6500</v>
      </c>
      <c r="F360" s="15">
        <v>300</v>
      </c>
      <c r="G360" s="15">
        <v>400</v>
      </c>
      <c r="H360" s="15">
        <f t="shared" si="34"/>
        <v>7200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6500</v>
      </c>
      <c r="F361" s="15">
        <v>300</v>
      </c>
      <c r="G361" s="15">
        <v>400</v>
      </c>
      <c r="H361" s="15">
        <f t="shared" si="34"/>
        <v>7200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6500</v>
      </c>
      <c r="F362" s="15">
        <v>500</v>
      </c>
      <c r="G362" s="15">
        <v>400</v>
      </c>
      <c r="H362" s="15">
        <f t="shared" si="34"/>
        <v>7400</v>
      </c>
      <c r="I362" s="15">
        <f t="shared" si="35"/>
        <v>0</v>
      </c>
      <c r="J362" s="20"/>
      <c r="K362" s="15"/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0</v>
      </c>
      <c r="Q362" s="15">
        <f t="shared" si="33"/>
        <v>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6500</v>
      </c>
      <c r="F363" s="15">
        <v>400</v>
      </c>
      <c r="G363" s="15">
        <v>400</v>
      </c>
      <c r="H363" s="15">
        <f t="shared" si="34"/>
        <v>7300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6500</v>
      </c>
      <c r="F364" s="15">
        <v>300</v>
      </c>
      <c r="G364" s="15">
        <v>400</v>
      </c>
      <c r="H364" s="15">
        <f t="shared" si="34"/>
        <v>7200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49</v>
      </c>
      <c r="E365" s="15">
        <v>6500</v>
      </c>
      <c r="F365" s="15">
        <v>600</v>
      </c>
      <c r="G365" s="15">
        <v>400</v>
      </c>
      <c r="H365" s="15">
        <f t="shared" si="34"/>
        <v>7500</v>
      </c>
      <c r="I365" s="15">
        <f t="shared" si="35"/>
        <v>367500</v>
      </c>
      <c r="J365" s="16"/>
      <c r="K365" s="15">
        <v>210000</v>
      </c>
      <c r="L365" s="15">
        <f t="shared" si="30"/>
        <v>980</v>
      </c>
      <c r="M365" s="20"/>
      <c r="N365" s="20"/>
      <c r="O365" s="15">
        <f t="shared" si="31"/>
        <v>12250</v>
      </c>
      <c r="P365" s="15">
        <f t="shared" si="32"/>
        <v>223230</v>
      </c>
      <c r="Q365" s="15">
        <f t="shared" si="33"/>
        <v>144270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6500</v>
      </c>
      <c r="F366" s="15">
        <v>300</v>
      </c>
      <c r="G366" s="15">
        <v>400</v>
      </c>
      <c r="H366" s="15">
        <f t="shared" si="34"/>
        <v>7200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6500</v>
      </c>
      <c r="F367" s="15">
        <v>400</v>
      </c>
      <c r="G367" s="15">
        <v>400</v>
      </c>
      <c r="H367" s="15">
        <f t="shared" si="34"/>
        <v>7300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58</v>
      </c>
      <c r="E368" s="15">
        <v>6500</v>
      </c>
      <c r="F368" s="15">
        <v>500</v>
      </c>
      <c r="G368" s="15">
        <v>400</v>
      </c>
      <c r="H368" s="15">
        <f t="shared" si="34"/>
        <v>7400</v>
      </c>
      <c r="I368" s="15">
        <f t="shared" si="35"/>
        <v>429200</v>
      </c>
      <c r="J368" s="16"/>
      <c r="K368" s="15">
        <v>210000</v>
      </c>
      <c r="L368" s="15">
        <f t="shared" si="30"/>
        <v>1160</v>
      </c>
      <c r="M368" s="16"/>
      <c r="N368" s="16"/>
      <c r="O368" s="15">
        <f t="shared" si="31"/>
        <v>14500</v>
      </c>
      <c r="P368" s="15">
        <f t="shared" si="32"/>
        <v>225660</v>
      </c>
      <c r="Q368" s="15">
        <f t="shared" si="33"/>
        <v>203540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6500</v>
      </c>
      <c r="F369" s="15">
        <v>300</v>
      </c>
      <c r="G369" s="15">
        <v>400</v>
      </c>
      <c r="H369" s="15">
        <f t="shared" si="34"/>
        <v>7200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6500</v>
      </c>
      <c r="F370" s="15">
        <v>300</v>
      </c>
      <c r="G370" s="15">
        <v>400</v>
      </c>
      <c r="H370" s="15">
        <f t="shared" si="34"/>
        <v>7200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6500</v>
      </c>
      <c r="F371" s="15">
        <v>300</v>
      </c>
      <c r="G371" s="15">
        <v>400</v>
      </c>
      <c r="H371" s="15">
        <f t="shared" si="34"/>
        <v>7200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6500</v>
      </c>
      <c r="F372" s="15">
        <v>400</v>
      </c>
      <c r="G372" s="15">
        <v>400</v>
      </c>
      <c r="H372" s="15">
        <f t="shared" si="34"/>
        <v>7300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34</v>
      </c>
      <c r="E373" s="15">
        <v>6500</v>
      </c>
      <c r="F373" s="15">
        <v>400</v>
      </c>
      <c r="G373" s="15">
        <v>400</v>
      </c>
      <c r="H373" s="15">
        <f t="shared" si="34"/>
        <v>7300</v>
      </c>
      <c r="I373" s="15">
        <f t="shared" si="35"/>
        <v>248200</v>
      </c>
      <c r="J373" s="16"/>
      <c r="K373" s="15">
        <v>210000</v>
      </c>
      <c r="L373" s="15">
        <f t="shared" si="30"/>
        <v>680</v>
      </c>
      <c r="M373" s="16"/>
      <c r="N373" s="16"/>
      <c r="O373" s="15">
        <f t="shared" si="31"/>
        <v>8500</v>
      </c>
      <c r="P373" s="15">
        <f t="shared" si="32"/>
        <v>219180</v>
      </c>
      <c r="Q373" s="15">
        <f t="shared" si="33"/>
        <v>29020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6500</v>
      </c>
      <c r="F374" s="15">
        <v>300</v>
      </c>
      <c r="G374" s="15">
        <v>400</v>
      </c>
      <c r="H374" s="15">
        <f t="shared" si="34"/>
        <v>7200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6500</v>
      </c>
      <c r="F375" s="15">
        <v>400</v>
      </c>
      <c r="G375" s="15">
        <v>400</v>
      </c>
      <c r="H375" s="15">
        <f t="shared" si="34"/>
        <v>7300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6500</v>
      </c>
      <c r="F376" s="15">
        <v>300</v>
      </c>
      <c r="G376" s="15">
        <v>400</v>
      </c>
      <c r="H376" s="15">
        <f t="shared" si="34"/>
        <v>7200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6500</v>
      </c>
      <c r="F377" s="15">
        <v>300</v>
      </c>
      <c r="G377" s="15">
        <v>400</v>
      </c>
      <c r="H377" s="15">
        <f t="shared" si="34"/>
        <v>7200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423</v>
      </c>
      <c r="D378" s="14">
        <v>78</v>
      </c>
      <c r="E378" s="15">
        <v>6500</v>
      </c>
      <c r="F378" s="15">
        <v>400</v>
      </c>
      <c r="G378" s="15">
        <v>400</v>
      </c>
      <c r="H378" s="15">
        <f t="shared" si="34"/>
        <v>7300</v>
      </c>
      <c r="I378" s="15">
        <f t="shared" si="35"/>
        <v>569400</v>
      </c>
      <c r="J378" s="16"/>
      <c r="K378" s="15"/>
      <c r="L378" s="15">
        <f t="shared" si="30"/>
        <v>1560</v>
      </c>
      <c r="M378" s="16"/>
      <c r="N378" s="16"/>
      <c r="O378" s="15">
        <f t="shared" si="31"/>
        <v>19500</v>
      </c>
      <c r="P378" s="15">
        <f t="shared" si="32"/>
        <v>21060</v>
      </c>
      <c r="Q378" s="15">
        <f t="shared" si="33"/>
        <v>548340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6500</v>
      </c>
      <c r="F379" s="15">
        <v>400</v>
      </c>
      <c r="G379" s="15">
        <v>400</v>
      </c>
      <c r="H379" s="15">
        <f t="shared" si="34"/>
        <v>7300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6500</v>
      </c>
      <c r="F380" s="15">
        <v>300</v>
      </c>
      <c r="G380" s="15">
        <v>400</v>
      </c>
      <c r="H380" s="15">
        <f t="shared" si="34"/>
        <v>7200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6500</v>
      </c>
      <c r="F381" s="15">
        <v>300</v>
      </c>
      <c r="G381" s="15">
        <v>400</v>
      </c>
      <c r="H381" s="15">
        <f t="shared" si="34"/>
        <v>7200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6500</v>
      </c>
      <c r="F382" s="15">
        <v>300</v>
      </c>
      <c r="G382" s="15">
        <v>400</v>
      </c>
      <c r="H382" s="15">
        <f t="shared" si="34"/>
        <v>7200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6500</v>
      </c>
      <c r="F383" s="15">
        <v>300</v>
      </c>
      <c r="G383" s="15">
        <v>400</v>
      </c>
      <c r="H383" s="15">
        <f t="shared" si="34"/>
        <v>7200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6500</v>
      </c>
      <c r="F384" s="15">
        <v>300</v>
      </c>
      <c r="G384" s="15">
        <v>400</v>
      </c>
      <c r="H384" s="15">
        <f t="shared" si="34"/>
        <v>7200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6500</v>
      </c>
      <c r="F385" s="15">
        <v>300</v>
      </c>
      <c r="G385" s="15">
        <v>400</v>
      </c>
      <c r="H385" s="15">
        <f t="shared" si="34"/>
        <v>7200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6500</v>
      </c>
      <c r="F386" s="15">
        <v>300</v>
      </c>
      <c r="G386" s="15">
        <v>400</v>
      </c>
      <c r="H386" s="15">
        <f t="shared" si="34"/>
        <v>7200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132</v>
      </c>
      <c r="E387" s="15">
        <v>6500</v>
      </c>
      <c r="F387" s="15">
        <v>600</v>
      </c>
      <c r="G387" s="15">
        <v>400</v>
      </c>
      <c r="H387" s="15">
        <f t="shared" si="34"/>
        <v>7500</v>
      </c>
      <c r="I387" s="15">
        <f t="shared" si="35"/>
        <v>990000</v>
      </c>
      <c r="J387" s="16"/>
      <c r="K387" s="15">
        <v>435000</v>
      </c>
      <c r="L387" s="15">
        <f t="shared" si="30"/>
        <v>2640</v>
      </c>
      <c r="M387" s="16"/>
      <c r="N387" s="16"/>
      <c r="O387" s="15">
        <f t="shared" si="31"/>
        <v>33000</v>
      </c>
      <c r="P387" s="15">
        <f t="shared" si="32"/>
        <v>470640</v>
      </c>
      <c r="Q387" s="15">
        <f t="shared" si="33"/>
        <v>519360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6500</v>
      </c>
      <c r="F388" s="15">
        <v>300</v>
      </c>
      <c r="G388" s="15">
        <v>400</v>
      </c>
      <c r="H388" s="15">
        <f t="shared" si="34"/>
        <v>7200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6500</v>
      </c>
      <c r="F389" s="15">
        <v>300</v>
      </c>
      <c r="G389" s="15">
        <v>400</v>
      </c>
      <c r="H389" s="15">
        <f t="shared" si="34"/>
        <v>7200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6500</v>
      </c>
      <c r="F390" s="15">
        <v>400</v>
      </c>
      <c r="G390" s="15">
        <v>400</v>
      </c>
      <c r="H390" s="15">
        <f t="shared" ref="H390:H453" si="40">SUM(E390:G390)</f>
        <v>7300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6500</v>
      </c>
      <c r="F391" s="15">
        <v>400</v>
      </c>
      <c r="G391" s="15">
        <v>400</v>
      </c>
      <c r="H391" s="15">
        <f t="shared" si="40"/>
        <v>7300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243</v>
      </c>
      <c r="E392" s="15">
        <v>6500</v>
      </c>
      <c r="F392" s="15">
        <v>500</v>
      </c>
      <c r="G392" s="15">
        <v>400</v>
      </c>
      <c r="H392" s="15">
        <f t="shared" si="40"/>
        <v>7400</v>
      </c>
      <c r="I392" s="15">
        <f t="shared" si="41"/>
        <v>1798200</v>
      </c>
      <c r="J392" s="16">
        <v>210000</v>
      </c>
      <c r="K392" s="15">
        <v>630000</v>
      </c>
      <c r="L392" s="15">
        <f t="shared" si="36"/>
        <v>4860</v>
      </c>
      <c r="M392" s="16"/>
      <c r="N392" s="16"/>
      <c r="O392" s="15">
        <f t="shared" si="37"/>
        <v>60750</v>
      </c>
      <c r="P392" s="15">
        <f t="shared" si="38"/>
        <v>905610</v>
      </c>
      <c r="Q392" s="15">
        <f t="shared" si="39"/>
        <v>892590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6500</v>
      </c>
      <c r="F393" s="15">
        <v>400</v>
      </c>
      <c r="G393" s="15">
        <v>400</v>
      </c>
      <c r="H393" s="15">
        <f t="shared" si="40"/>
        <v>7300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2</v>
      </c>
      <c r="E394" s="15">
        <v>6500</v>
      </c>
      <c r="F394" s="15">
        <v>600</v>
      </c>
      <c r="G394" s="15">
        <v>400</v>
      </c>
      <c r="H394" s="15">
        <f t="shared" si="40"/>
        <v>7500</v>
      </c>
      <c r="I394" s="15">
        <f t="shared" si="41"/>
        <v>15000</v>
      </c>
      <c r="J394" s="16"/>
      <c r="K394" s="15"/>
      <c r="L394" s="15">
        <f t="shared" si="36"/>
        <v>40</v>
      </c>
      <c r="M394" s="16"/>
      <c r="N394" s="16"/>
      <c r="O394" s="15">
        <f t="shared" si="37"/>
        <v>500</v>
      </c>
      <c r="P394" s="15">
        <f t="shared" si="38"/>
        <v>540</v>
      </c>
      <c r="Q394" s="15">
        <f t="shared" si="39"/>
        <v>14460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143</v>
      </c>
      <c r="E395" s="15">
        <v>6500</v>
      </c>
      <c r="F395" s="15">
        <v>500</v>
      </c>
      <c r="G395" s="15">
        <v>400</v>
      </c>
      <c r="H395" s="15">
        <f t="shared" si="40"/>
        <v>7400</v>
      </c>
      <c r="I395" s="15">
        <f t="shared" si="41"/>
        <v>1058200</v>
      </c>
      <c r="J395" s="16"/>
      <c r="K395" s="15">
        <v>420000</v>
      </c>
      <c r="L395" s="15">
        <f t="shared" si="36"/>
        <v>2860</v>
      </c>
      <c r="M395" s="16"/>
      <c r="N395" s="16"/>
      <c r="O395" s="15">
        <f t="shared" si="37"/>
        <v>35750</v>
      </c>
      <c r="P395" s="15">
        <f t="shared" si="38"/>
        <v>458610</v>
      </c>
      <c r="Q395" s="15">
        <f t="shared" si="39"/>
        <v>599590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80</v>
      </c>
      <c r="E396" s="15">
        <v>6500</v>
      </c>
      <c r="F396" s="15">
        <v>500</v>
      </c>
      <c r="G396" s="15">
        <v>400</v>
      </c>
      <c r="H396" s="15">
        <f t="shared" si="40"/>
        <v>7400</v>
      </c>
      <c r="I396" s="15">
        <f t="shared" si="41"/>
        <v>592000</v>
      </c>
      <c r="J396" s="16"/>
      <c r="K396" s="15"/>
      <c r="L396" s="15">
        <f t="shared" si="36"/>
        <v>1600</v>
      </c>
      <c r="M396" s="16"/>
      <c r="N396" s="16"/>
      <c r="O396" s="15">
        <f t="shared" si="37"/>
        <v>20000</v>
      </c>
      <c r="P396" s="15">
        <f t="shared" si="38"/>
        <v>21600</v>
      </c>
      <c r="Q396" s="15">
        <f t="shared" si="39"/>
        <v>570400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6500</v>
      </c>
      <c r="F397" s="15">
        <v>300</v>
      </c>
      <c r="G397" s="15">
        <v>400</v>
      </c>
      <c r="H397" s="15">
        <f t="shared" si="40"/>
        <v>7200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188</v>
      </c>
      <c r="E398" s="15">
        <v>6500</v>
      </c>
      <c r="F398" s="15">
        <v>200</v>
      </c>
      <c r="G398" s="15">
        <v>400</v>
      </c>
      <c r="H398" s="15">
        <f t="shared" si="40"/>
        <v>7100</v>
      </c>
      <c r="I398" s="15">
        <f t="shared" si="41"/>
        <v>1334800</v>
      </c>
      <c r="J398" s="16"/>
      <c r="K398" s="15"/>
      <c r="L398" s="15">
        <f t="shared" si="36"/>
        <v>3760</v>
      </c>
      <c r="M398" s="16"/>
      <c r="N398" s="16"/>
      <c r="O398" s="15">
        <f t="shared" si="37"/>
        <v>47000</v>
      </c>
      <c r="P398" s="15">
        <f t="shared" si="38"/>
        <v>50760</v>
      </c>
      <c r="Q398" s="15">
        <f t="shared" si="39"/>
        <v>1284040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6500</v>
      </c>
      <c r="F399" s="15">
        <v>300</v>
      </c>
      <c r="G399" s="15">
        <v>400</v>
      </c>
      <c r="H399" s="15">
        <f t="shared" si="40"/>
        <v>7200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91</v>
      </c>
      <c r="E400" s="15">
        <v>6500</v>
      </c>
      <c r="F400" s="15">
        <v>600</v>
      </c>
      <c r="G400" s="15">
        <v>400</v>
      </c>
      <c r="H400" s="15">
        <f t="shared" si="40"/>
        <v>7500</v>
      </c>
      <c r="I400" s="15">
        <f t="shared" si="41"/>
        <v>682500</v>
      </c>
      <c r="J400" s="16"/>
      <c r="K400" s="15">
        <v>210000</v>
      </c>
      <c r="L400" s="15">
        <f t="shared" si="36"/>
        <v>1820</v>
      </c>
      <c r="M400" s="16"/>
      <c r="N400" s="16"/>
      <c r="O400" s="15">
        <f t="shared" si="37"/>
        <v>22750</v>
      </c>
      <c r="P400" s="15">
        <f t="shared" si="38"/>
        <v>234570</v>
      </c>
      <c r="Q400" s="15">
        <f t="shared" si="39"/>
        <v>447930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6500</v>
      </c>
      <c r="F401" s="15">
        <v>300</v>
      </c>
      <c r="G401" s="15">
        <v>400</v>
      </c>
      <c r="H401" s="15">
        <f t="shared" si="40"/>
        <v>7200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6500</v>
      </c>
      <c r="F402" s="15">
        <v>300</v>
      </c>
      <c r="G402" s="15">
        <v>400</v>
      </c>
      <c r="H402" s="15">
        <f t="shared" si="40"/>
        <v>7200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6500</v>
      </c>
      <c r="F403" s="15">
        <v>300</v>
      </c>
      <c r="G403" s="15">
        <v>400</v>
      </c>
      <c r="H403" s="15">
        <f t="shared" si="40"/>
        <v>7200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6500</v>
      </c>
      <c r="F404" s="15">
        <v>400</v>
      </c>
      <c r="G404" s="15">
        <v>400</v>
      </c>
      <c r="H404" s="15">
        <f t="shared" si="40"/>
        <v>7300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249</v>
      </c>
      <c r="E405" s="15">
        <v>6500</v>
      </c>
      <c r="F405" s="15">
        <v>600</v>
      </c>
      <c r="G405" s="15">
        <v>400</v>
      </c>
      <c r="H405" s="15">
        <f t="shared" si="40"/>
        <v>7500</v>
      </c>
      <c r="I405" s="15">
        <f t="shared" si="41"/>
        <v>1867500</v>
      </c>
      <c r="J405" s="16"/>
      <c r="K405" s="15">
        <v>630000</v>
      </c>
      <c r="L405" s="15">
        <f t="shared" si="36"/>
        <v>4980</v>
      </c>
      <c r="M405" s="16"/>
      <c r="N405" s="16"/>
      <c r="O405" s="15">
        <f t="shared" si="37"/>
        <v>62250</v>
      </c>
      <c r="P405" s="15">
        <f t="shared" si="38"/>
        <v>697230</v>
      </c>
      <c r="Q405" s="15">
        <f t="shared" si="39"/>
        <v>1170270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76</v>
      </c>
      <c r="E406" s="15">
        <v>6500</v>
      </c>
      <c r="F406" s="15">
        <v>400</v>
      </c>
      <c r="G406" s="15">
        <v>400</v>
      </c>
      <c r="H406" s="15">
        <f t="shared" si="40"/>
        <v>7300</v>
      </c>
      <c r="I406" s="15">
        <f t="shared" si="41"/>
        <v>554800</v>
      </c>
      <c r="J406" s="16"/>
      <c r="K406" s="15"/>
      <c r="L406" s="15">
        <f t="shared" si="36"/>
        <v>1520</v>
      </c>
      <c r="M406" s="16"/>
      <c r="N406" s="16"/>
      <c r="O406" s="15">
        <f t="shared" si="37"/>
        <v>19000</v>
      </c>
      <c r="P406" s="15">
        <f t="shared" si="38"/>
        <v>20520</v>
      </c>
      <c r="Q406" s="15">
        <f t="shared" si="39"/>
        <v>534280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6500</v>
      </c>
      <c r="F407" s="15">
        <v>300</v>
      </c>
      <c r="G407" s="15">
        <v>400</v>
      </c>
      <c r="H407" s="15">
        <f t="shared" si="40"/>
        <v>7200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6500</v>
      </c>
      <c r="F408" s="15">
        <v>300</v>
      </c>
      <c r="G408" s="15">
        <v>400</v>
      </c>
      <c r="H408" s="15">
        <f t="shared" si="40"/>
        <v>7200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205</v>
      </c>
      <c r="E409" s="15">
        <v>6500</v>
      </c>
      <c r="F409" s="15">
        <v>400</v>
      </c>
      <c r="G409" s="15">
        <v>400</v>
      </c>
      <c r="H409" s="15">
        <f t="shared" si="40"/>
        <v>7300</v>
      </c>
      <c r="I409" s="15">
        <f t="shared" si="41"/>
        <v>1496500</v>
      </c>
      <c r="J409" s="16"/>
      <c r="K409" s="15">
        <v>420000</v>
      </c>
      <c r="L409" s="15">
        <f t="shared" si="36"/>
        <v>4100</v>
      </c>
      <c r="M409" s="16"/>
      <c r="N409" s="16"/>
      <c r="O409" s="15">
        <f t="shared" si="37"/>
        <v>51250</v>
      </c>
      <c r="P409" s="15">
        <f t="shared" si="38"/>
        <v>475350</v>
      </c>
      <c r="Q409" s="15">
        <f t="shared" si="39"/>
        <v>1021150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203</v>
      </c>
      <c r="E410" s="15">
        <v>6500</v>
      </c>
      <c r="F410" s="15">
        <v>500</v>
      </c>
      <c r="G410" s="15">
        <v>400</v>
      </c>
      <c r="H410" s="15">
        <f t="shared" si="40"/>
        <v>7400</v>
      </c>
      <c r="I410" s="15">
        <f t="shared" si="41"/>
        <v>1502200</v>
      </c>
      <c r="J410" s="16"/>
      <c r="K410" s="15">
        <v>630000</v>
      </c>
      <c r="L410" s="15">
        <f t="shared" si="36"/>
        <v>4060</v>
      </c>
      <c r="M410" s="16"/>
      <c r="N410" s="16"/>
      <c r="O410" s="15">
        <f t="shared" si="37"/>
        <v>50750</v>
      </c>
      <c r="P410" s="15">
        <f t="shared" si="38"/>
        <v>684810</v>
      </c>
      <c r="Q410" s="15">
        <f t="shared" si="39"/>
        <v>817390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6500</v>
      </c>
      <c r="F411" s="15">
        <v>300</v>
      </c>
      <c r="G411" s="15">
        <v>400</v>
      </c>
      <c r="H411" s="15">
        <f t="shared" si="40"/>
        <v>7200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6500</v>
      </c>
      <c r="F412" s="15">
        <v>300</v>
      </c>
      <c r="G412" s="15">
        <v>400</v>
      </c>
      <c r="H412" s="15">
        <f t="shared" si="40"/>
        <v>7200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6500</v>
      </c>
      <c r="F413" s="15">
        <v>300</v>
      </c>
      <c r="G413" s="15">
        <v>400</v>
      </c>
      <c r="H413" s="15">
        <f t="shared" si="40"/>
        <v>7200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6500</v>
      </c>
      <c r="F414" s="15">
        <v>400</v>
      </c>
      <c r="G414" s="15">
        <v>400</v>
      </c>
      <c r="H414" s="15">
        <f t="shared" si="40"/>
        <v>7300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6500</v>
      </c>
      <c r="F415" s="15">
        <v>300</v>
      </c>
      <c r="G415" s="15">
        <v>400</v>
      </c>
      <c r="H415" s="15">
        <f t="shared" si="40"/>
        <v>7200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6500</v>
      </c>
      <c r="F416" s="15">
        <v>400</v>
      </c>
      <c r="G416" s="15">
        <v>400</v>
      </c>
      <c r="H416" s="15">
        <f t="shared" si="40"/>
        <v>7300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6500</v>
      </c>
      <c r="F417" s="15">
        <v>300</v>
      </c>
      <c r="G417" s="15">
        <v>400</v>
      </c>
      <c r="H417" s="15">
        <f t="shared" si="40"/>
        <v>7200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6500</v>
      </c>
      <c r="F418" s="15">
        <v>300</v>
      </c>
      <c r="G418" s="15">
        <v>400</v>
      </c>
      <c r="H418" s="15">
        <f t="shared" si="40"/>
        <v>7200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418</v>
      </c>
      <c r="E419" s="15">
        <v>6500</v>
      </c>
      <c r="F419" s="15">
        <v>400</v>
      </c>
      <c r="G419" s="15">
        <v>400</v>
      </c>
      <c r="H419" s="15">
        <f t="shared" si="40"/>
        <v>7300</v>
      </c>
      <c r="I419" s="15">
        <f t="shared" si="41"/>
        <v>3051400</v>
      </c>
      <c r="J419" s="20"/>
      <c r="K419" s="20"/>
      <c r="L419" s="15">
        <f t="shared" si="36"/>
        <v>8360</v>
      </c>
      <c r="M419" s="16"/>
      <c r="N419" s="16"/>
      <c r="O419" s="15">
        <f t="shared" si="37"/>
        <v>104500</v>
      </c>
      <c r="P419" s="15">
        <f t="shared" si="38"/>
        <v>112860</v>
      </c>
      <c r="Q419" s="15">
        <f t="shared" si="39"/>
        <v>2938540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6500</v>
      </c>
      <c r="F420" s="15">
        <v>300</v>
      </c>
      <c r="G420" s="15">
        <v>400</v>
      </c>
      <c r="H420" s="15">
        <f t="shared" si="40"/>
        <v>7200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148</v>
      </c>
      <c r="E421" s="15">
        <v>6500</v>
      </c>
      <c r="F421" s="15">
        <v>500</v>
      </c>
      <c r="G421" s="15">
        <v>400</v>
      </c>
      <c r="H421" s="15">
        <f t="shared" si="40"/>
        <v>7400</v>
      </c>
      <c r="I421" s="15">
        <f t="shared" si="41"/>
        <v>1095200</v>
      </c>
      <c r="J421" s="16"/>
      <c r="K421" s="15"/>
      <c r="L421" s="15">
        <f t="shared" si="36"/>
        <v>2960</v>
      </c>
      <c r="M421" s="16"/>
      <c r="N421" s="16"/>
      <c r="O421" s="15">
        <f t="shared" si="37"/>
        <v>37000</v>
      </c>
      <c r="P421" s="15">
        <f t="shared" si="38"/>
        <v>39960</v>
      </c>
      <c r="Q421" s="15">
        <f t="shared" si="39"/>
        <v>1055240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6500</v>
      </c>
      <c r="F422" s="15">
        <v>400</v>
      </c>
      <c r="G422" s="15">
        <v>400</v>
      </c>
      <c r="H422" s="15">
        <f t="shared" si="40"/>
        <v>7300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6500</v>
      </c>
      <c r="F423" s="15">
        <v>300</v>
      </c>
      <c r="G423" s="15">
        <v>400</v>
      </c>
      <c r="H423" s="15">
        <f t="shared" si="40"/>
        <v>7200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6500</v>
      </c>
      <c r="F424" s="15">
        <v>400</v>
      </c>
      <c r="G424" s="15">
        <v>400</v>
      </c>
      <c r="H424" s="15">
        <f t="shared" si="40"/>
        <v>7300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425</v>
      </c>
      <c r="E425" s="15">
        <v>6500</v>
      </c>
      <c r="F425" s="15">
        <v>400</v>
      </c>
      <c r="G425" s="15">
        <v>400</v>
      </c>
      <c r="H425" s="15">
        <f t="shared" si="40"/>
        <v>7300</v>
      </c>
      <c r="I425" s="15">
        <f t="shared" si="41"/>
        <v>3102500</v>
      </c>
      <c r="J425" s="16"/>
      <c r="K425" s="15"/>
      <c r="L425" s="15">
        <f t="shared" si="36"/>
        <v>8500</v>
      </c>
      <c r="M425" s="16"/>
      <c r="N425" s="16"/>
      <c r="O425" s="15">
        <f t="shared" si="37"/>
        <v>106250</v>
      </c>
      <c r="P425" s="15">
        <f t="shared" si="38"/>
        <v>114750</v>
      </c>
      <c r="Q425" s="15">
        <f t="shared" si="39"/>
        <v>2987750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6500</v>
      </c>
      <c r="F426" s="15">
        <v>300</v>
      </c>
      <c r="G426" s="15">
        <v>400</v>
      </c>
      <c r="H426" s="15">
        <f t="shared" si="40"/>
        <v>7200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334</v>
      </c>
      <c r="E427" s="15">
        <v>6500</v>
      </c>
      <c r="F427" s="15">
        <v>400</v>
      </c>
      <c r="G427" s="15">
        <v>400</v>
      </c>
      <c r="H427" s="15">
        <f t="shared" si="40"/>
        <v>7300</v>
      </c>
      <c r="I427" s="15">
        <f t="shared" si="41"/>
        <v>2438200</v>
      </c>
      <c r="J427" s="16"/>
      <c r="K427" s="15"/>
      <c r="L427" s="15">
        <f t="shared" si="36"/>
        <v>6680</v>
      </c>
      <c r="M427" s="16"/>
      <c r="N427" s="16"/>
      <c r="O427" s="15">
        <f t="shared" si="37"/>
        <v>83500</v>
      </c>
      <c r="P427" s="15">
        <f t="shared" si="38"/>
        <v>90180</v>
      </c>
      <c r="Q427" s="15">
        <f t="shared" si="39"/>
        <v>2348020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6500</v>
      </c>
      <c r="F428" s="15">
        <v>300</v>
      </c>
      <c r="G428" s="15">
        <v>400</v>
      </c>
      <c r="H428" s="15">
        <f t="shared" si="40"/>
        <v>7200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6500</v>
      </c>
      <c r="F429" s="15">
        <v>400</v>
      </c>
      <c r="G429" s="15">
        <v>400</v>
      </c>
      <c r="H429" s="15">
        <f t="shared" si="40"/>
        <v>7300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424</v>
      </c>
      <c r="C430" s="13" t="s">
        <v>36</v>
      </c>
      <c r="D430" s="20"/>
      <c r="E430" s="15">
        <v>6500</v>
      </c>
      <c r="F430" s="15">
        <v>300</v>
      </c>
      <c r="G430" s="15">
        <v>400</v>
      </c>
      <c r="H430" s="15">
        <f t="shared" si="40"/>
        <v>7200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6500</v>
      </c>
      <c r="F431" s="15">
        <v>300</v>
      </c>
      <c r="G431" s="15">
        <v>400</v>
      </c>
      <c r="H431" s="15">
        <f t="shared" si="40"/>
        <v>7200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422</v>
      </c>
      <c r="C432" s="13" t="s">
        <v>54</v>
      </c>
      <c r="D432" s="20"/>
      <c r="E432" s="15">
        <v>6500</v>
      </c>
      <c r="F432" s="15">
        <v>400</v>
      </c>
      <c r="G432" s="15">
        <v>400</v>
      </c>
      <c r="H432" s="15">
        <f t="shared" si="40"/>
        <v>7300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6500</v>
      </c>
      <c r="F433" s="15">
        <v>300</v>
      </c>
      <c r="G433" s="15">
        <v>400</v>
      </c>
      <c r="H433" s="15">
        <f t="shared" si="40"/>
        <v>7200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179</v>
      </c>
      <c r="E434" s="15">
        <v>6500</v>
      </c>
      <c r="F434" s="15">
        <v>200</v>
      </c>
      <c r="G434" s="15">
        <v>400</v>
      </c>
      <c r="H434" s="15">
        <f t="shared" si="40"/>
        <v>7100</v>
      </c>
      <c r="I434" s="15">
        <f t="shared" si="41"/>
        <v>1270900</v>
      </c>
      <c r="J434" s="16"/>
      <c r="K434" s="15"/>
      <c r="L434" s="15">
        <f t="shared" si="36"/>
        <v>3580</v>
      </c>
      <c r="M434" s="16"/>
      <c r="N434" s="16"/>
      <c r="O434" s="15">
        <f t="shared" si="37"/>
        <v>44750</v>
      </c>
      <c r="P434" s="15">
        <f t="shared" si="38"/>
        <v>48330</v>
      </c>
      <c r="Q434" s="15">
        <f t="shared" si="39"/>
        <v>1222570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6500</v>
      </c>
      <c r="F435" s="15">
        <v>300</v>
      </c>
      <c r="G435" s="15">
        <v>400</v>
      </c>
      <c r="H435" s="15">
        <f t="shared" si="40"/>
        <v>7200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6500</v>
      </c>
      <c r="F436" s="15">
        <v>300</v>
      </c>
      <c r="G436" s="15">
        <v>400</v>
      </c>
      <c r="H436" s="15">
        <f t="shared" si="40"/>
        <v>7200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414</v>
      </c>
      <c r="E437" s="15">
        <v>6500</v>
      </c>
      <c r="F437" s="15">
        <v>200</v>
      </c>
      <c r="G437" s="15">
        <v>400</v>
      </c>
      <c r="H437" s="15">
        <f t="shared" si="40"/>
        <v>7100</v>
      </c>
      <c r="I437" s="15">
        <f t="shared" si="41"/>
        <v>2939400</v>
      </c>
      <c r="J437" s="16"/>
      <c r="K437" s="15">
        <v>840000</v>
      </c>
      <c r="L437" s="15">
        <f t="shared" si="36"/>
        <v>8280</v>
      </c>
      <c r="M437" s="16"/>
      <c r="N437" s="16"/>
      <c r="O437" s="15">
        <f t="shared" si="37"/>
        <v>103500</v>
      </c>
      <c r="P437" s="15">
        <f t="shared" si="38"/>
        <v>951780</v>
      </c>
      <c r="Q437" s="15">
        <f t="shared" si="39"/>
        <v>1987620</v>
      </c>
      <c r="R437" s="17">
        <v>1606</v>
      </c>
    </row>
    <row r="438" spans="1:18" ht="16.5" x14ac:dyDescent="0.25">
      <c r="A438" s="12">
        <v>1607</v>
      </c>
      <c r="B438" s="13" t="s">
        <v>408</v>
      </c>
      <c r="C438" s="13" t="s">
        <v>25</v>
      </c>
      <c r="D438" s="20"/>
      <c r="E438" s="15">
        <v>6500</v>
      </c>
      <c r="F438" s="15">
        <v>300</v>
      </c>
      <c r="G438" s="15">
        <v>400</v>
      </c>
      <c r="H438" s="15">
        <f t="shared" si="40"/>
        <v>7200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6500</v>
      </c>
      <c r="F439" s="15">
        <v>500</v>
      </c>
      <c r="G439" s="15">
        <v>400</v>
      </c>
      <c r="H439" s="15">
        <f t="shared" si="40"/>
        <v>7400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6500</v>
      </c>
      <c r="F440" s="15">
        <v>400</v>
      </c>
      <c r="G440" s="15">
        <v>400</v>
      </c>
      <c r="H440" s="15">
        <f t="shared" si="40"/>
        <v>7300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6500</v>
      </c>
      <c r="F441" s="15">
        <v>400</v>
      </c>
      <c r="G441" s="15">
        <v>400</v>
      </c>
      <c r="H441" s="15">
        <f t="shared" si="40"/>
        <v>7300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6500</v>
      </c>
      <c r="F442" s="15">
        <v>400</v>
      </c>
      <c r="G442" s="15">
        <v>400</v>
      </c>
      <c r="H442" s="15">
        <f t="shared" si="40"/>
        <v>7300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6500</v>
      </c>
      <c r="F443" s="15">
        <v>300</v>
      </c>
      <c r="G443" s="15">
        <v>400</v>
      </c>
      <c r="H443" s="15">
        <f t="shared" si="40"/>
        <v>7200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165</v>
      </c>
      <c r="E444" s="15">
        <v>6500</v>
      </c>
      <c r="F444" s="15">
        <v>600</v>
      </c>
      <c r="G444" s="15">
        <v>400</v>
      </c>
      <c r="H444" s="15">
        <f t="shared" si="40"/>
        <v>7500</v>
      </c>
      <c r="I444" s="15">
        <f t="shared" si="41"/>
        <v>1237500</v>
      </c>
      <c r="J444" s="16"/>
      <c r="K444" s="15">
        <v>630000</v>
      </c>
      <c r="L444" s="15">
        <f t="shared" si="36"/>
        <v>3300</v>
      </c>
      <c r="M444" s="16"/>
      <c r="N444" s="16"/>
      <c r="O444" s="15">
        <f t="shared" si="37"/>
        <v>41250</v>
      </c>
      <c r="P444" s="15">
        <f t="shared" si="38"/>
        <v>674550</v>
      </c>
      <c r="Q444" s="15">
        <f t="shared" si="39"/>
        <v>562950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6500</v>
      </c>
      <c r="F445" s="15">
        <v>400</v>
      </c>
      <c r="G445" s="15">
        <v>400</v>
      </c>
      <c r="H445" s="15">
        <f t="shared" si="40"/>
        <v>7300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409</v>
      </c>
      <c r="C446" s="13" t="s">
        <v>30</v>
      </c>
      <c r="D446" s="20"/>
      <c r="E446" s="15">
        <v>6500</v>
      </c>
      <c r="F446" s="15">
        <v>400</v>
      </c>
      <c r="G446" s="15">
        <v>400</v>
      </c>
      <c r="H446" s="15">
        <f t="shared" si="40"/>
        <v>7300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158</v>
      </c>
      <c r="E447" s="15">
        <v>6500</v>
      </c>
      <c r="F447" s="15">
        <v>500</v>
      </c>
      <c r="G447" s="15">
        <v>400</v>
      </c>
      <c r="H447" s="15">
        <f t="shared" si="40"/>
        <v>7400</v>
      </c>
      <c r="I447" s="15">
        <f t="shared" si="41"/>
        <v>1169200</v>
      </c>
      <c r="J447" s="16"/>
      <c r="K447" s="15">
        <v>210000</v>
      </c>
      <c r="L447" s="15">
        <f t="shared" si="36"/>
        <v>3160</v>
      </c>
      <c r="M447" s="16"/>
      <c r="N447" s="16"/>
      <c r="O447" s="15">
        <f t="shared" si="37"/>
        <v>39500</v>
      </c>
      <c r="P447" s="15">
        <f t="shared" si="38"/>
        <v>252660</v>
      </c>
      <c r="Q447" s="15">
        <f t="shared" si="39"/>
        <v>916540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6500</v>
      </c>
      <c r="F448" s="15">
        <v>300</v>
      </c>
      <c r="G448" s="15">
        <v>400</v>
      </c>
      <c r="H448" s="15">
        <f t="shared" si="40"/>
        <v>7200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276</v>
      </c>
      <c r="E449" s="15">
        <v>6500</v>
      </c>
      <c r="F449" s="15">
        <v>600</v>
      </c>
      <c r="G449" s="15">
        <v>400</v>
      </c>
      <c r="H449" s="15">
        <f t="shared" si="40"/>
        <v>7500</v>
      </c>
      <c r="I449" s="15">
        <f t="shared" si="41"/>
        <v>2070000</v>
      </c>
      <c r="J449" s="16"/>
      <c r="K449" s="15">
        <v>630000</v>
      </c>
      <c r="L449" s="15">
        <f t="shared" si="36"/>
        <v>5520</v>
      </c>
      <c r="M449" s="16"/>
      <c r="N449" s="16"/>
      <c r="O449" s="15">
        <f t="shared" si="37"/>
        <v>69000</v>
      </c>
      <c r="P449" s="15">
        <f t="shared" si="38"/>
        <v>704520</v>
      </c>
      <c r="Q449" s="15">
        <f t="shared" si="39"/>
        <v>1365480</v>
      </c>
      <c r="R449" s="17">
        <v>1618</v>
      </c>
    </row>
    <row r="450" spans="1:18" ht="16.5" x14ac:dyDescent="0.25">
      <c r="A450" s="12">
        <v>1619</v>
      </c>
      <c r="B450" s="13" t="s">
        <v>407</v>
      </c>
      <c r="C450" s="13" t="s">
        <v>30</v>
      </c>
      <c r="D450" s="20"/>
      <c r="E450" s="15">
        <v>6500</v>
      </c>
      <c r="F450" s="15">
        <v>300</v>
      </c>
      <c r="G450" s="15">
        <v>400</v>
      </c>
      <c r="H450" s="15">
        <f t="shared" si="40"/>
        <v>7200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450</v>
      </c>
      <c r="C451" s="13" t="s">
        <v>25</v>
      </c>
      <c r="D451" s="20">
        <v>154</v>
      </c>
      <c r="E451" s="15">
        <v>6500</v>
      </c>
      <c r="F451" s="15">
        <v>500</v>
      </c>
      <c r="G451" s="15">
        <v>400</v>
      </c>
      <c r="H451" s="15">
        <f t="shared" si="40"/>
        <v>7400</v>
      </c>
      <c r="I451" s="15">
        <f t="shared" si="41"/>
        <v>1139600</v>
      </c>
      <c r="J451" s="16"/>
      <c r="K451" s="15">
        <v>645000</v>
      </c>
      <c r="L451" s="15">
        <f t="shared" si="36"/>
        <v>3080</v>
      </c>
      <c r="M451" s="16"/>
      <c r="N451" s="16"/>
      <c r="O451" s="15">
        <f t="shared" si="37"/>
        <v>38500</v>
      </c>
      <c r="P451" s="15">
        <f t="shared" si="38"/>
        <v>686580</v>
      </c>
      <c r="Q451" s="15">
        <f t="shared" si="39"/>
        <v>453020</v>
      </c>
      <c r="R451" s="17">
        <v>1620</v>
      </c>
    </row>
    <row r="452" spans="1:18" ht="16.5" x14ac:dyDescent="0.25">
      <c r="A452" s="12">
        <v>1621</v>
      </c>
      <c r="B452" s="13" t="s">
        <v>406</v>
      </c>
      <c r="C452" s="13" t="s">
        <v>82</v>
      </c>
      <c r="D452" s="20">
        <v>135</v>
      </c>
      <c r="E452" s="15">
        <v>6500</v>
      </c>
      <c r="F452" s="15">
        <v>300</v>
      </c>
      <c r="G452" s="15">
        <v>400</v>
      </c>
      <c r="H452" s="15">
        <f t="shared" si="40"/>
        <v>7200</v>
      </c>
      <c r="I452" s="15">
        <f t="shared" si="41"/>
        <v>972000</v>
      </c>
      <c r="J452" s="16"/>
      <c r="K452" s="15"/>
      <c r="L452" s="15">
        <f t="shared" si="36"/>
        <v>2700</v>
      </c>
      <c r="M452" s="16"/>
      <c r="N452" s="16"/>
      <c r="O452" s="15">
        <f t="shared" si="37"/>
        <v>33750</v>
      </c>
      <c r="P452" s="15">
        <f t="shared" si="38"/>
        <v>36450</v>
      </c>
      <c r="Q452" s="15">
        <f t="shared" si="39"/>
        <v>935550</v>
      </c>
      <c r="R452" s="17">
        <v>1621</v>
      </c>
    </row>
    <row r="453" spans="1:18" ht="16.5" x14ac:dyDescent="0.25">
      <c r="A453" s="12">
        <v>1622</v>
      </c>
      <c r="B453" s="13" t="s">
        <v>410</v>
      </c>
      <c r="C453" s="13" t="s">
        <v>54</v>
      </c>
      <c r="D453" s="20"/>
      <c r="E453" s="15">
        <v>6500</v>
      </c>
      <c r="F453" s="15">
        <v>300</v>
      </c>
      <c r="G453" s="15">
        <v>400</v>
      </c>
      <c r="H453" s="15">
        <f t="shared" si="40"/>
        <v>7200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412</v>
      </c>
      <c r="C454" s="13" t="s">
        <v>82</v>
      </c>
      <c r="D454" s="20">
        <v>156</v>
      </c>
      <c r="E454" s="15">
        <v>6500</v>
      </c>
      <c r="F454" s="15">
        <v>400</v>
      </c>
      <c r="G454" s="15">
        <v>400</v>
      </c>
      <c r="H454" s="15">
        <f t="shared" ref="H454:H473" si="46">SUM(E454:G454)</f>
        <v>7300</v>
      </c>
      <c r="I454" s="15">
        <f t="shared" ref="I454:I475" si="47">H454*D454</f>
        <v>1138800</v>
      </c>
      <c r="J454" s="16"/>
      <c r="K454" s="15"/>
      <c r="L454" s="15">
        <f t="shared" si="42"/>
        <v>3120</v>
      </c>
      <c r="M454" s="16"/>
      <c r="N454" s="16"/>
      <c r="O454" s="15">
        <f t="shared" si="43"/>
        <v>39000</v>
      </c>
      <c r="P454" s="15">
        <f t="shared" si="44"/>
        <v>42120</v>
      </c>
      <c r="Q454" s="15">
        <f t="shared" si="45"/>
        <v>1096680</v>
      </c>
      <c r="R454" s="17">
        <v>1623</v>
      </c>
    </row>
    <row r="455" spans="1:18" ht="16.5" x14ac:dyDescent="0.25">
      <c r="A455" s="12">
        <v>1625</v>
      </c>
      <c r="B455" s="13" t="s">
        <v>413</v>
      </c>
      <c r="C455" s="13" t="s">
        <v>54</v>
      </c>
      <c r="D455" s="20"/>
      <c r="E455" s="15">
        <v>6500</v>
      </c>
      <c r="F455" s="15">
        <v>400</v>
      </c>
      <c r="G455" s="15">
        <v>400</v>
      </c>
      <c r="H455" s="15">
        <f t="shared" si="46"/>
        <v>7300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6500</v>
      </c>
      <c r="F456" s="15">
        <v>300</v>
      </c>
      <c r="G456" s="15">
        <v>400</v>
      </c>
      <c r="H456" s="15">
        <f t="shared" si="46"/>
        <v>7200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79</v>
      </c>
      <c r="E457" s="15">
        <v>6500</v>
      </c>
      <c r="F457" s="15">
        <v>500</v>
      </c>
      <c r="G457" s="15">
        <v>400</v>
      </c>
      <c r="H457" s="15">
        <f t="shared" si="46"/>
        <v>7400</v>
      </c>
      <c r="I457" s="15">
        <f t="shared" si="47"/>
        <v>584600</v>
      </c>
      <c r="J457" s="16"/>
      <c r="K457" s="15">
        <v>210000</v>
      </c>
      <c r="L457" s="15">
        <f t="shared" si="42"/>
        <v>1580</v>
      </c>
      <c r="M457" s="16"/>
      <c r="N457" s="16"/>
      <c r="O457" s="15">
        <f t="shared" si="43"/>
        <v>19750</v>
      </c>
      <c r="P457" s="15">
        <f t="shared" si="44"/>
        <v>231330</v>
      </c>
      <c r="Q457" s="15">
        <f t="shared" si="45"/>
        <v>353270</v>
      </c>
      <c r="R457" s="17">
        <v>1627</v>
      </c>
    </row>
    <row r="458" spans="1:18" ht="16.5" x14ac:dyDescent="0.25">
      <c r="A458" s="12">
        <v>1628</v>
      </c>
      <c r="B458" s="13" t="s">
        <v>415</v>
      </c>
      <c r="C458" s="13" t="s">
        <v>19</v>
      </c>
      <c r="D458" s="20"/>
      <c r="E458" s="15">
        <v>6500</v>
      </c>
      <c r="F458" s="15">
        <v>300</v>
      </c>
      <c r="G458" s="15">
        <v>400</v>
      </c>
      <c r="H458" s="15">
        <f t="shared" si="46"/>
        <v>7200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455</v>
      </c>
      <c r="C459" s="13" t="s">
        <v>30</v>
      </c>
      <c r="D459" s="20">
        <v>86</v>
      </c>
      <c r="E459" s="15">
        <v>6500</v>
      </c>
      <c r="F459" s="15">
        <v>600</v>
      </c>
      <c r="G459" s="15">
        <v>400</v>
      </c>
      <c r="H459" s="15">
        <f t="shared" si="46"/>
        <v>7500</v>
      </c>
      <c r="I459" s="15">
        <f t="shared" si="47"/>
        <v>645000</v>
      </c>
      <c r="J459" s="16"/>
      <c r="K459" s="15">
        <v>420000</v>
      </c>
      <c r="L459" s="15">
        <f t="shared" si="42"/>
        <v>1720</v>
      </c>
      <c r="M459" s="16"/>
      <c r="N459" s="16"/>
      <c r="O459" s="15">
        <f t="shared" si="43"/>
        <v>21500</v>
      </c>
      <c r="P459" s="15">
        <f t="shared" si="44"/>
        <v>443220</v>
      </c>
      <c r="Q459" s="15">
        <f t="shared" si="45"/>
        <v>201780</v>
      </c>
      <c r="R459" s="17"/>
    </row>
    <row r="460" spans="1:18" ht="16.5" x14ac:dyDescent="0.25">
      <c r="A460" s="12">
        <v>1635</v>
      </c>
      <c r="B460" s="13" t="s">
        <v>444</v>
      </c>
      <c r="C460" s="13" t="s">
        <v>43</v>
      </c>
      <c r="D460" s="20">
        <v>366</v>
      </c>
      <c r="E460" s="15">
        <v>6500</v>
      </c>
      <c r="F460" s="15">
        <v>600</v>
      </c>
      <c r="G460" s="15">
        <v>400</v>
      </c>
      <c r="H460" s="15">
        <f t="shared" si="46"/>
        <v>7500</v>
      </c>
      <c r="I460" s="15">
        <f t="shared" si="47"/>
        <v>2745000</v>
      </c>
      <c r="J460" s="16"/>
      <c r="K460" s="15"/>
      <c r="L460" s="15">
        <f t="shared" si="42"/>
        <v>7320</v>
      </c>
      <c r="M460" s="16"/>
      <c r="N460" s="16"/>
      <c r="O460" s="15">
        <f t="shared" si="43"/>
        <v>91500</v>
      </c>
      <c r="P460" s="15">
        <f t="shared" si="44"/>
        <v>98820</v>
      </c>
      <c r="Q460" s="15">
        <f t="shared" si="45"/>
        <v>2646180</v>
      </c>
      <c r="R460" s="17">
        <v>1629</v>
      </c>
    </row>
    <row r="461" spans="1:18" ht="16.5" x14ac:dyDescent="0.25">
      <c r="A461" s="12">
        <v>1652</v>
      </c>
      <c r="B461" s="13" t="s">
        <v>433</v>
      </c>
      <c r="C461" s="13" t="s">
        <v>25</v>
      </c>
      <c r="D461" s="20">
        <v>96</v>
      </c>
      <c r="E461" s="15">
        <v>6500</v>
      </c>
      <c r="F461" s="15">
        <v>400</v>
      </c>
      <c r="G461" s="15">
        <v>400</v>
      </c>
      <c r="H461" s="15">
        <f t="shared" si="46"/>
        <v>7300</v>
      </c>
      <c r="I461" s="15">
        <f t="shared" si="47"/>
        <v>700800</v>
      </c>
      <c r="J461" s="16"/>
      <c r="K461" s="15">
        <v>210000</v>
      </c>
      <c r="L461" s="15">
        <f t="shared" si="42"/>
        <v>1920</v>
      </c>
      <c r="M461" s="16"/>
      <c r="N461" s="16"/>
      <c r="O461" s="15">
        <f t="shared" si="43"/>
        <v>24000</v>
      </c>
      <c r="P461" s="15">
        <f t="shared" si="44"/>
        <v>235920</v>
      </c>
      <c r="Q461" s="15">
        <f t="shared" si="45"/>
        <v>464880</v>
      </c>
      <c r="R461" s="17"/>
    </row>
    <row r="462" spans="1:18" ht="16.5" x14ac:dyDescent="0.25">
      <c r="A462" s="12">
        <v>1653</v>
      </c>
      <c r="B462" s="13" t="s">
        <v>434</v>
      </c>
      <c r="C462" s="13" t="s">
        <v>25</v>
      </c>
      <c r="D462" s="20">
        <v>207</v>
      </c>
      <c r="E462" s="15">
        <v>6500</v>
      </c>
      <c r="F462" s="15">
        <v>200</v>
      </c>
      <c r="G462" s="15">
        <v>400</v>
      </c>
      <c r="H462" s="15">
        <f t="shared" si="46"/>
        <v>7100</v>
      </c>
      <c r="I462" s="15">
        <f t="shared" si="47"/>
        <v>1469700</v>
      </c>
      <c r="J462" s="16"/>
      <c r="K462" s="15">
        <v>420000</v>
      </c>
      <c r="L462" s="15">
        <f t="shared" si="42"/>
        <v>4140</v>
      </c>
      <c r="M462" s="16"/>
      <c r="N462" s="16"/>
      <c r="O462" s="15">
        <f t="shared" si="43"/>
        <v>51750</v>
      </c>
      <c r="P462" s="15">
        <f t="shared" si="44"/>
        <v>475890</v>
      </c>
      <c r="Q462" s="15">
        <f t="shared" si="45"/>
        <v>993810</v>
      </c>
      <c r="R462" s="17"/>
    </row>
    <row r="463" spans="1:18" ht="16.5" x14ac:dyDescent="0.25">
      <c r="A463" s="12">
        <v>1654</v>
      </c>
      <c r="B463" s="13" t="s">
        <v>435</v>
      </c>
      <c r="C463" s="13" t="s">
        <v>43</v>
      </c>
      <c r="D463" s="20">
        <v>137</v>
      </c>
      <c r="E463" s="15">
        <v>6500</v>
      </c>
      <c r="F463" s="15">
        <v>500</v>
      </c>
      <c r="G463" s="15">
        <v>400</v>
      </c>
      <c r="H463" s="15">
        <f t="shared" si="46"/>
        <v>7400</v>
      </c>
      <c r="I463" s="15">
        <f t="shared" si="47"/>
        <v>1013800</v>
      </c>
      <c r="J463" s="16"/>
      <c r="K463" s="15">
        <v>210000</v>
      </c>
      <c r="L463" s="15">
        <f t="shared" si="42"/>
        <v>2740</v>
      </c>
      <c r="M463" s="16"/>
      <c r="N463" s="16"/>
      <c r="O463" s="15">
        <f t="shared" si="43"/>
        <v>34250</v>
      </c>
      <c r="P463" s="15">
        <f t="shared" si="44"/>
        <v>246990</v>
      </c>
      <c r="Q463" s="15">
        <f t="shared" si="45"/>
        <v>766810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95</v>
      </c>
      <c r="E464" s="15">
        <v>6500</v>
      </c>
      <c r="F464" s="15">
        <v>200</v>
      </c>
      <c r="G464" s="15">
        <v>400</v>
      </c>
      <c r="H464" s="15">
        <f t="shared" si="46"/>
        <v>7100</v>
      </c>
      <c r="I464" s="15">
        <f t="shared" si="47"/>
        <v>674500</v>
      </c>
      <c r="J464" s="16"/>
      <c r="K464" s="15">
        <v>210000</v>
      </c>
      <c r="L464" s="15">
        <f t="shared" si="42"/>
        <v>1900</v>
      </c>
      <c r="M464" s="16"/>
      <c r="N464" s="16"/>
      <c r="O464" s="15">
        <f t="shared" si="43"/>
        <v>23750</v>
      </c>
      <c r="P464" s="15">
        <f t="shared" si="44"/>
        <v>235650</v>
      </c>
      <c r="Q464" s="15">
        <f t="shared" si="45"/>
        <v>438850</v>
      </c>
      <c r="R464" s="17"/>
    </row>
    <row r="465" spans="1:18" ht="16.5" x14ac:dyDescent="0.25">
      <c r="A465" s="12">
        <v>1656</v>
      </c>
      <c r="B465" s="13" t="s">
        <v>436</v>
      </c>
      <c r="C465" s="13" t="s">
        <v>82</v>
      </c>
      <c r="D465" s="20">
        <v>286</v>
      </c>
      <c r="E465" s="15">
        <v>6500</v>
      </c>
      <c r="F465" s="15">
        <v>400</v>
      </c>
      <c r="G465" s="15">
        <v>400</v>
      </c>
      <c r="H465" s="15">
        <f t="shared" si="46"/>
        <v>7300</v>
      </c>
      <c r="I465" s="15">
        <f t="shared" si="47"/>
        <v>2087800</v>
      </c>
      <c r="J465" s="16"/>
      <c r="K465" s="15">
        <v>420000</v>
      </c>
      <c r="L465" s="15">
        <f t="shared" si="42"/>
        <v>5720</v>
      </c>
      <c r="M465" s="16"/>
      <c r="N465" s="16"/>
      <c r="O465" s="15">
        <f t="shared" si="43"/>
        <v>71500</v>
      </c>
      <c r="P465" s="15">
        <f t="shared" si="44"/>
        <v>497220</v>
      </c>
      <c r="Q465" s="15">
        <f t="shared" si="45"/>
        <v>1590580</v>
      </c>
      <c r="R465" s="17"/>
    </row>
    <row r="466" spans="1:18" ht="16.5" x14ac:dyDescent="0.25">
      <c r="A466" s="12">
        <v>1657</v>
      </c>
      <c r="B466" s="13" t="s">
        <v>437</v>
      </c>
      <c r="C466" s="13" t="s">
        <v>82</v>
      </c>
      <c r="D466" s="20">
        <v>212</v>
      </c>
      <c r="E466" s="15">
        <v>6500</v>
      </c>
      <c r="F466" s="15">
        <v>500</v>
      </c>
      <c r="G466" s="15">
        <v>400</v>
      </c>
      <c r="H466" s="15">
        <f t="shared" si="46"/>
        <v>7400</v>
      </c>
      <c r="I466" s="15">
        <f t="shared" si="47"/>
        <v>1568800</v>
      </c>
      <c r="J466" s="16"/>
      <c r="K466" s="15"/>
      <c r="L466" s="15">
        <f t="shared" si="42"/>
        <v>4240</v>
      </c>
      <c r="M466" s="16"/>
      <c r="N466" s="16"/>
      <c r="O466" s="15">
        <f t="shared" si="43"/>
        <v>53000</v>
      </c>
      <c r="P466" s="15">
        <f t="shared" si="44"/>
        <v>57240</v>
      </c>
      <c r="Q466" s="15">
        <f t="shared" si="45"/>
        <v>1511560</v>
      </c>
      <c r="R466" s="17"/>
    </row>
    <row r="467" spans="1:18" ht="16.5" x14ac:dyDescent="0.25">
      <c r="A467" s="12">
        <v>1658</v>
      </c>
      <c r="B467" s="13" t="s">
        <v>438</v>
      </c>
      <c r="C467" s="13" t="s">
        <v>30</v>
      </c>
      <c r="D467" s="20"/>
      <c r="E467" s="15">
        <v>6500</v>
      </c>
      <c r="F467" s="15">
        <v>400</v>
      </c>
      <c r="G467" s="15">
        <v>400</v>
      </c>
      <c r="H467" s="15">
        <f t="shared" si="46"/>
        <v>7300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452</v>
      </c>
      <c r="C468" s="13" t="s">
        <v>30</v>
      </c>
      <c r="D468" s="20"/>
      <c r="E468" s="15">
        <v>6500</v>
      </c>
      <c r="F468" s="15">
        <v>400</v>
      </c>
      <c r="G468" s="15">
        <v>400</v>
      </c>
      <c r="H468" s="15">
        <f t="shared" si="46"/>
        <v>7300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440</v>
      </c>
      <c r="C469" s="13" t="s">
        <v>36</v>
      </c>
      <c r="D469" s="20"/>
      <c r="E469" s="15">
        <v>6500</v>
      </c>
      <c r="F469" s="15">
        <v>400</v>
      </c>
      <c r="G469" s="15">
        <v>400</v>
      </c>
      <c r="H469" s="15">
        <f t="shared" si="46"/>
        <v>7300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6500</v>
      </c>
      <c r="F470" s="15">
        <v>500</v>
      </c>
      <c r="G470" s="15">
        <v>400</v>
      </c>
      <c r="H470" s="15">
        <f t="shared" si="46"/>
        <v>7400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445</v>
      </c>
      <c r="C471" s="13" t="s">
        <v>82</v>
      </c>
      <c r="D471" s="20">
        <v>71</v>
      </c>
      <c r="E471" s="15">
        <v>6500</v>
      </c>
      <c r="F471" s="15">
        <v>300</v>
      </c>
      <c r="G471" s="15">
        <v>400</v>
      </c>
      <c r="H471" s="15">
        <f t="shared" si="46"/>
        <v>7200</v>
      </c>
      <c r="I471" s="15">
        <f t="shared" si="47"/>
        <v>511200</v>
      </c>
      <c r="J471" s="16"/>
      <c r="K471" s="15"/>
      <c r="L471" s="15">
        <f t="shared" si="42"/>
        <v>1420</v>
      </c>
      <c r="M471" s="16"/>
      <c r="N471" s="16"/>
      <c r="O471" s="15">
        <f t="shared" si="43"/>
        <v>17750</v>
      </c>
      <c r="P471" s="15">
        <f t="shared" si="44"/>
        <v>19170</v>
      </c>
      <c r="Q471" s="15">
        <f t="shared" si="45"/>
        <v>492030</v>
      </c>
      <c r="R471" s="17"/>
    </row>
    <row r="472" spans="1:18" ht="16.5" x14ac:dyDescent="0.25">
      <c r="A472" s="12">
        <v>1664</v>
      </c>
      <c r="B472" s="13" t="s">
        <v>446</v>
      </c>
      <c r="C472" s="13" t="s">
        <v>36</v>
      </c>
      <c r="D472" s="20"/>
      <c r="E472" s="15">
        <v>6500</v>
      </c>
      <c r="F472" s="15">
        <v>400</v>
      </c>
      <c r="G472" s="15">
        <v>400</v>
      </c>
      <c r="H472" s="15">
        <f t="shared" si="46"/>
        <v>7300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447</v>
      </c>
      <c r="C473" s="13" t="s">
        <v>82</v>
      </c>
      <c r="D473" s="20"/>
      <c r="E473" s="15">
        <v>6500</v>
      </c>
      <c r="F473" s="15">
        <v>400</v>
      </c>
      <c r="G473" s="15">
        <v>400</v>
      </c>
      <c r="H473" s="15">
        <f t="shared" si="46"/>
        <v>7300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85</v>
      </c>
      <c r="E474" s="15">
        <v>6500</v>
      </c>
      <c r="F474" s="15">
        <v>500</v>
      </c>
      <c r="G474" s="15">
        <v>400</v>
      </c>
      <c r="H474" s="15">
        <f t="shared" ref="H474" si="48">SUM(E474:G474)</f>
        <v>7400</v>
      </c>
      <c r="I474" s="15">
        <f t="shared" si="47"/>
        <v>629000</v>
      </c>
      <c r="J474" s="16"/>
      <c r="K474" s="15">
        <v>210000</v>
      </c>
      <c r="L474" s="15">
        <f t="shared" si="42"/>
        <v>1700</v>
      </c>
      <c r="M474" s="16"/>
      <c r="N474" s="16"/>
      <c r="O474" s="15">
        <f>250*D474</f>
        <v>21250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1048</v>
      </c>
      <c r="E475" s="15">
        <v>6500</v>
      </c>
      <c r="F475" s="15">
        <v>600</v>
      </c>
      <c r="G475" s="15">
        <v>400</v>
      </c>
      <c r="H475" s="15">
        <f t="shared" ref="H475" si="49">SUM(E475:G475)</f>
        <v>7500</v>
      </c>
      <c r="I475" s="15">
        <f t="shared" si="47"/>
        <v>7860000</v>
      </c>
      <c r="J475" s="16"/>
      <c r="K475" s="15"/>
      <c r="L475" s="15">
        <f t="shared" ref="L475" si="50">D475*20</f>
        <v>20960</v>
      </c>
      <c r="M475" s="16"/>
      <c r="N475" s="16"/>
      <c r="O475" s="15">
        <f t="shared" ref="O475" si="51">250*D475</f>
        <v>262000</v>
      </c>
      <c r="P475" s="15"/>
      <c r="Q475" s="15"/>
      <c r="R475" s="17"/>
    </row>
    <row r="476" spans="1:18" ht="16.5" x14ac:dyDescent="0.25">
      <c r="A476" s="12">
        <v>1669</v>
      </c>
      <c r="B476" s="13" t="s">
        <v>453</v>
      </c>
      <c r="C476" s="13" t="s">
        <v>36</v>
      </c>
      <c r="D476" s="20"/>
      <c r="E476" s="15">
        <v>6500</v>
      </c>
      <c r="F476" s="15">
        <v>400</v>
      </c>
      <c r="G476" s="15">
        <v>400</v>
      </c>
      <c r="H476" s="15">
        <f t="shared" ref="H476:H478" si="52">SUM(E476:G476)</f>
        <v>7300</v>
      </c>
      <c r="I476" s="15">
        <f t="shared" ref="I476:I478" si="53">H476*D476</f>
        <v>0</v>
      </c>
      <c r="J476" s="16"/>
      <c r="K476" s="15"/>
      <c r="L476" s="15">
        <f t="shared" ref="L476:L478" si="54">D476*20</f>
        <v>0</v>
      </c>
      <c r="M476" s="16"/>
      <c r="N476" s="16"/>
      <c r="O476" s="15">
        <f t="shared" ref="O476:O478" si="55">250*D476</f>
        <v>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>
        <v>244</v>
      </c>
      <c r="E477" s="15">
        <v>6500</v>
      </c>
      <c r="F477" s="15">
        <v>400</v>
      </c>
      <c r="G477" s="15">
        <v>400</v>
      </c>
      <c r="H477" s="15">
        <f t="shared" si="52"/>
        <v>7300</v>
      </c>
      <c r="I477" s="15">
        <f t="shared" si="53"/>
        <v>1781200</v>
      </c>
      <c r="J477" s="16"/>
      <c r="K477" s="15"/>
      <c r="L477" s="15">
        <f t="shared" si="54"/>
        <v>4880</v>
      </c>
      <c r="M477" s="16"/>
      <c r="N477" s="16"/>
      <c r="O477" s="15">
        <f t="shared" si="55"/>
        <v>61000</v>
      </c>
      <c r="P477" s="15"/>
      <c r="Q477" s="15"/>
      <c r="R477" s="17"/>
    </row>
    <row r="478" spans="1:18" ht="16.5" x14ac:dyDescent="0.25">
      <c r="A478" s="12">
        <v>1671</v>
      </c>
      <c r="B478" s="13" t="s">
        <v>457</v>
      </c>
      <c r="C478" s="13" t="s">
        <v>30</v>
      </c>
      <c r="D478" s="20">
        <v>235</v>
      </c>
      <c r="E478" s="15">
        <v>6500</v>
      </c>
      <c r="F478" s="15">
        <v>600</v>
      </c>
      <c r="G478" s="15">
        <v>400</v>
      </c>
      <c r="H478" s="15">
        <f t="shared" si="52"/>
        <v>7500</v>
      </c>
      <c r="I478" s="15">
        <f t="shared" si="53"/>
        <v>1762500</v>
      </c>
      <c r="J478" s="16"/>
      <c r="K478" s="15">
        <v>630000</v>
      </c>
      <c r="L478" s="15">
        <f t="shared" si="54"/>
        <v>4700</v>
      </c>
      <c r="M478" s="16"/>
      <c r="N478" s="16"/>
      <c r="O478" s="15">
        <f t="shared" si="55"/>
        <v>58750</v>
      </c>
      <c r="P478" s="15"/>
      <c r="Q478" s="15"/>
      <c r="R478" s="17"/>
    </row>
    <row r="479" spans="1:18" ht="16.5" x14ac:dyDescent="0.25">
      <c r="A479" s="12"/>
      <c r="B479" s="13"/>
      <c r="C479" s="13"/>
      <c r="D479" s="20"/>
      <c r="E479" s="15"/>
      <c r="F479" s="15"/>
      <c r="G479" s="15"/>
      <c r="H479" s="15"/>
      <c r="I479" s="15"/>
      <c r="J479" s="16"/>
      <c r="K479" s="15"/>
      <c r="L479" s="15"/>
      <c r="M479" s="16"/>
      <c r="N479" s="16"/>
      <c r="O479" s="15"/>
      <c r="P479" s="15"/>
      <c r="Q479" s="15"/>
      <c r="R479" s="17"/>
    </row>
    <row r="480" spans="1:18" ht="16.5" x14ac:dyDescent="0.25">
      <c r="A480" s="12"/>
      <c r="B480" s="13"/>
      <c r="C480" s="13"/>
      <c r="D480" s="20"/>
      <c r="E480" s="15"/>
      <c r="F480" s="15"/>
      <c r="G480" s="15"/>
      <c r="H480" s="15"/>
      <c r="I480" s="15"/>
      <c r="J480" s="16"/>
      <c r="K480" s="15"/>
      <c r="L480" s="15"/>
      <c r="M480" s="16"/>
      <c r="N480" s="16"/>
      <c r="O480" s="15"/>
      <c r="P480" s="15"/>
      <c r="Q480" s="15"/>
      <c r="R480" s="17"/>
    </row>
    <row r="481" spans="1:18" ht="16.5" x14ac:dyDescent="0.2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 x14ac:dyDescent="0.2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 x14ac:dyDescent="0.25">
      <c r="A483" s="12"/>
      <c r="B483" s="35" t="s">
        <v>390</v>
      </c>
      <c r="C483" s="35"/>
      <c r="D483" s="20">
        <f>SUM(D4:D482)</f>
        <v>28933</v>
      </c>
      <c r="E483" s="20">
        <f t="shared" ref="E483:R483" si="56">SUM(E4:E482)</f>
        <v>3087500</v>
      </c>
      <c r="F483" s="20">
        <f t="shared" si="56"/>
        <v>179000</v>
      </c>
      <c r="G483" s="20">
        <f t="shared" si="56"/>
        <v>190000</v>
      </c>
      <c r="H483" s="20">
        <f t="shared" si="56"/>
        <v>3456500</v>
      </c>
      <c r="I483" s="20">
        <f t="shared" si="56"/>
        <v>213939700</v>
      </c>
      <c r="J483" s="20">
        <f t="shared" si="56"/>
        <v>625000</v>
      </c>
      <c r="K483" s="20">
        <f t="shared" si="56"/>
        <v>49100000</v>
      </c>
      <c r="L483" s="20">
        <f t="shared" si="56"/>
        <v>578660</v>
      </c>
      <c r="M483" s="20">
        <f t="shared" si="56"/>
        <v>0</v>
      </c>
      <c r="N483" s="20">
        <f>SUM(N4:N482)</f>
        <v>0</v>
      </c>
      <c r="O483" s="20">
        <f t="shared" si="56"/>
        <v>7233250</v>
      </c>
      <c r="P483" s="20">
        <f t="shared" si="56"/>
        <v>56261670</v>
      </c>
      <c r="Q483" s="20">
        <f t="shared" si="56"/>
        <v>145645330</v>
      </c>
      <c r="R483" s="20">
        <f t="shared" si="56"/>
        <v>540127</v>
      </c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6.5" x14ac:dyDescent="0.25">
      <c r="A492" s="37"/>
      <c r="B492" s="38"/>
      <c r="C492" s="38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9"/>
    </row>
    <row r="493" spans="1:18" ht="16.5" x14ac:dyDescent="0.25">
      <c r="A493" s="37"/>
      <c r="B493" s="38"/>
      <c r="C493" s="38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9"/>
    </row>
    <row r="494" spans="1:18" ht="16.5" x14ac:dyDescent="0.25">
      <c r="A494" s="37"/>
      <c r="B494" s="38"/>
      <c r="C494" s="38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9"/>
    </row>
    <row r="495" spans="1:18" ht="16.5" x14ac:dyDescent="0.25">
      <c r="A495" s="37"/>
      <c r="B495" s="38"/>
      <c r="C495" s="38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9"/>
    </row>
    <row r="496" spans="1:18" ht="18" x14ac:dyDescent="0.25">
      <c r="A496" s="77" t="str">
        <f>A1</f>
        <v>PEMBAYARAN SETORAN SUSU  PADA PETERNAK BAGIAN TANGGAL :  21 S / D 31 JUNI 2026</v>
      </c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spans="1:18" ht="16.5" x14ac:dyDescent="0.2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 x14ac:dyDescent="0.25">
      <c r="A498" s="12">
        <v>0</v>
      </c>
      <c r="B498" s="13" t="s">
        <v>36</v>
      </c>
      <c r="C498" s="13">
        <v>0</v>
      </c>
      <c r="D498" s="40">
        <v>55</v>
      </c>
      <c r="E498" s="16">
        <v>7300</v>
      </c>
      <c r="F498" s="16"/>
      <c r="G498" s="16"/>
      <c r="H498" s="15">
        <f>SUM(E498:G498)</f>
        <v>7300</v>
      </c>
      <c r="I498" s="15">
        <f>D498*H498</f>
        <v>401500</v>
      </c>
      <c r="J498" s="20"/>
      <c r="K498" s="15"/>
      <c r="L498" s="15"/>
      <c r="M498" s="20"/>
      <c r="N498" s="20"/>
      <c r="O498" s="22"/>
      <c r="P498" s="15">
        <f>SUM(J498:O498)</f>
        <v>0</v>
      </c>
      <c r="Q498" s="15">
        <f>I498-P498</f>
        <v>401500</v>
      </c>
      <c r="R498" s="36"/>
    </row>
    <row r="499" spans="1:18" ht="16.5" x14ac:dyDescent="0.25">
      <c r="A499" s="12">
        <v>0</v>
      </c>
      <c r="B499" s="13" t="s">
        <v>25</v>
      </c>
      <c r="C499" s="13">
        <v>0</v>
      </c>
      <c r="D499" s="20">
        <v>165</v>
      </c>
      <c r="E499" s="16">
        <v>7300</v>
      </c>
      <c r="F499" s="16"/>
      <c r="G499" s="16"/>
      <c r="H499" s="15">
        <f t="shared" ref="H499:H506" si="57">SUM(E499:G499)</f>
        <v>7300</v>
      </c>
      <c r="I499" s="15">
        <f t="shared" ref="I499:I506" si="58">D499*H499</f>
        <v>1204500</v>
      </c>
      <c r="J499" s="20"/>
      <c r="K499" s="15"/>
      <c r="L499" s="15"/>
      <c r="M499" s="20"/>
      <c r="N499" s="20"/>
      <c r="O499" s="22"/>
      <c r="P499" s="15">
        <f t="shared" ref="P499:P506" si="59">SUM(J499:O499)</f>
        <v>0</v>
      </c>
      <c r="Q499" s="15">
        <f t="shared" ref="Q499:Q506" si="60">I499-P499</f>
        <v>1204500</v>
      </c>
      <c r="R499" s="36"/>
    </row>
    <row r="500" spans="1:18" ht="16.5" x14ac:dyDescent="0.25">
      <c r="A500" s="12">
        <v>0</v>
      </c>
      <c r="B500" s="13" t="s">
        <v>21</v>
      </c>
      <c r="C500" s="13">
        <v>0</v>
      </c>
      <c r="D500" s="20">
        <v>9</v>
      </c>
      <c r="E500" s="16">
        <v>7300</v>
      </c>
      <c r="F500" s="16"/>
      <c r="G500" s="16"/>
      <c r="H500" s="15">
        <f t="shared" si="57"/>
        <v>7300</v>
      </c>
      <c r="I500" s="15">
        <f t="shared" si="58"/>
        <v>65700</v>
      </c>
      <c r="J500" s="20"/>
      <c r="K500" s="15"/>
      <c r="L500" s="15"/>
      <c r="M500" s="20"/>
      <c r="N500" s="20"/>
      <c r="O500" s="22"/>
      <c r="P500" s="15">
        <f t="shared" si="59"/>
        <v>0</v>
      </c>
      <c r="Q500" s="15">
        <f t="shared" si="60"/>
        <v>65700</v>
      </c>
      <c r="R500" s="36"/>
    </row>
    <row r="501" spans="1:18" ht="16.5" x14ac:dyDescent="0.25">
      <c r="A501" s="12">
        <v>0</v>
      </c>
      <c r="B501" s="13" t="s">
        <v>47</v>
      </c>
      <c r="C501" s="13">
        <v>0</v>
      </c>
      <c r="D501" s="20">
        <v>70</v>
      </c>
      <c r="E501" s="16">
        <v>7300</v>
      </c>
      <c r="F501" s="16"/>
      <c r="G501" s="16"/>
      <c r="H501" s="15">
        <f t="shared" si="57"/>
        <v>7300</v>
      </c>
      <c r="I501" s="15">
        <f t="shared" si="58"/>
        <v>511000</v>
      </c>
      <c r="J501" s="20"/>
      <c r="K501" s="15"/>
      <c r="L501" s="15"/>
      <c r="M501" s="20"/>
      <c r="N501" s="20"/>
      <c r="O501" s="22"/>
      <c r="P501" s="15">
        <f t="shared" si="59"/>
        <v>0</v>
      </c>
      <c r="Q501" s="15">
        <f t="shared" si="60"/>
        <v>511000</v>
      </c>
      <c r="R501" s="36"/>
    </row>
    <row r="502" spans="1:18" ht="16.5" x14ac:dyDescent="0.25">
      <c r="A502" s="12">
        <v>0</v>
      </c>
      <c r="B502" s="13" t="s">
        <v>43</v>
      </c>
      <c r="C502" s="13">
        <v>0</v>
      </c>
      <c r="D502" s="20">
        <v>260</v>
      </c>
      <c r="E502" s="16">
        <v>7300</v>
      </c>
      <c r="F502" s="16"/>
      <c r="G502" s="16"/>
      <c r="H502" s="15">
        <f t="shared" si="57"/>
        <v>7300</v>
      </c>
      <c r="I502" s="15">
        <f t="shared" si="58"/>
        <v>1898000</v>
      </c>
      <c r="J502" s="20"/>
      <c r="K502" s="15"/>
      <c r="L502" s="15"/>
      <c r="M502" s="20"/>
      <c r="N502" s="20"/>
      <c r="O502" s="22"/>
      <c r="P502" s="15">
        <f t="shared" si="59"/>
        <v>0</v>
      </c>
      <c r="Q502" s="15">
        <f t="shared" si="60"/>
        <v>1898000</v>
      </c>
      <c r="R502" s="36"/>
    </row>
    <row r="503" spans="1:18" ht="16.5" x14ac:dyDescent="0.25">
      <c r="A503" s="12">
        <v>0</v>
      </c>
      <c r="B503" s="13" t="s">
        <v>30</v>
      </c>
      <c r="C503" s="13">
        <v>0</v>
      </c>
      <c r="D503" s="20">
        <v>230</v>
      </c>
      <c r="E503" s="16">
        <v>7300</v>
      </c>
      <c r="F503" s="16"/>
      <c r="G503" s="16"/>
      <c r="H503" s="15">
        <f t="shared" si="57"/>
        <v>7300</v>
      </c>
      <c r="I503" s="15">
        <f t="shared" si="58"/>
        <v>1679000</v>
      </c>
      <c r="J503" s="20"/>
      <c r="K503" s="15"/>
      <c r="L503" s="15"/>
      <c r="M503" s="20"/>
      <c r="N503" s="20"/>
      <c r="O503" s="22"/>
      <c r="P503" s="15">
        <f t="shared" si="59"/>
        <v>0</v>
      </c>
      <c r="Q503" s="15">
        <f t="shared" si="60"/>
        <v>1679000</v>
      </c>
      <c r="R503" s="36"/>
    </row>
    <row r="504" spans="1:18" ht="16.5" x14ac:dyDescent="0.25">
      <c r="A504" s="12">
        <v>0</v>
      </c>
      <c r="B504" s="13" t="s">
        <v>54</v>
      </c>
      <c r="C504" s="13">
        <v>0</v>
      </c>
      <c r="D504" s="20">
        <v>70</v>
      </c>
      <c r="E504" s="16">
        <v>7300</v>
      </c>
      <c r="F504" s="16"/>
      <c r="G504" s="16"/>
      <c r="H504" s="15">
        <f t="shared" si="57"/>
        <v>7300</v>
      </c>
      <c r="I504" s="15">
        <f t="shared" si="58"/>
        <v>511000</v>
      </c>
      <c r="J504" s="20"/>
      <c r="K504" s="15"/>
      <c r="L504" s="15"/>
      <c r="M504" s="20"/>
      <c r="N504" s="20"/>
      <c r="O504" s="22"/>
      <c r="P504" s="15">
        <f t="shared" si="59"/>
        <v>0</v>
      </c>
      <c r="Q504" s="15">
        <f t="shared" si="60"/>
        <v>511000</v>
      </c>
      <c r="R504" s="36"/>
    </row>
    <row r="505" spans="1:18" ht="16.5" x14ac:dyDescent="0.25">
      <c r="A505" s="12">
        <v>0</v>
      </c>
      <c r="B505" s="13" t="s">
        <v>392</v>
      </c>
      <c r="C505" s="13">
        <v>0</v>
      </c>
      <c r="D505" s="20">
        <v>20</v>
      </c>
      <c r="E505" s="16">
        <v>7300</v>
      </c>
      <c r="F505" s="16"/>
      <c r="G505" s="16"/>
      <c r="H505" s="15">
        <f t="shared" si="57"/>
        <v>7300</v>
      </c>
      <c r="I505" s="15">
        <f t="shared" si="58"/>
        <v>146000</v>
      </c>
      <c r="J505" s="20"/>
      <c r="K505" s="15"/>
      <c r="L505" s="15"/>
      <c r="M505" s="20"/>
      <c r="N505" s="20"/>
      <c r="O505" s="22"/>
      <c r="P505" s="15">
        <f t="shared" si="59"/>
        <v>0</v>
      </c>
      <c r="Q505" s="15">
        <f t="shared" si="60"/>
        <v>146000</v>
      </c>
      <c r="R505" s="36"/>
    </row>
    <row r="506" spans="1:18" ht="16.5" x14ac:dyDescent="0.25">
      <c r="A506" s="12">
        <v>0</v>
      </c>
      <c r="B506" s="41" t="s">
        <v>19</v>
      </c>
      <c r="C506" s="13">
        <v>0</v>
      </c>
      <c r="D506" s="20"/>
      <c r="E506" s="16">
        <v>7300</v>
      </c>
      <c r="F506" s="16"/>
      <c r="G506" s="16"/>
      <c r="H506" s="15">
        <f t="shared" si="57"/>
        <v>7300</v>
      </c>
      <c r="I506" s="15">
        <f t="shared" si="58"/>
        <v>0</v>
      </c>
      <c r="J506" s="20"/>
      <c r="K506" s="15"/>
      <c r="L506" s="15"/>
      <c r="M506" s="20"/>
      <c r="N506" s="20"/>
      <c r="O506" s="22"/>
      <c r="P506" s="15">
        <f t="shared" si="59"/>
        <v>0</v>
      </c>
      <c r="Q506" s="15">
        <f t="shared" si="60"/>
        <v>0</v>
      </c>
      <c r="R506" s="36"/>
    </row>
    <row r="507" spans="1:18" ht="16.5" x14ac:dyDescent="0.25">
      <c r="A507" s="12"/>
      <c r="B507" s="42"/>
      <c r="C507" s="43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 t="shared" ref="Q507" si="61">H507-P507</f>
        <v>0</v>
      </c>
      <c r="R507" s="36"/>
    </row>
    <row r="508" spans="1:18" ht="16.5" x14ac:dyDescent="0.25">
      <c r="A508" s="44"/>
      <c r="B508" s="68" t="s">
        <v>393</v>
      </c>
      <c r="C508" s="69"/>
      <c r="D508" s="22">
        <f>SUM(D498:D507)</f>
        <v>879</v>
      </c>
      <c r="E508" s="22">
        <f t="shared" ref="E508:Q508" si="62">SUM(E498:E507)</f>
        <v>65700</v>
      </c>
      <c r="F508" s="22">
        <f t="shared" ref="F508:G508" si="63">SUM(F498:F507)</f>
        <v>0</v>
      </c>
      <c r="G508" s="22">
        <f t="shared" si="63"/>
        <v>0</v>
      </c>
      <c r="H508" s="22">
        <f t="shared" si="62"/>
        <v>65700</v>
      </c>
      <c r="I508" s="22">
        <f t="shared" si="62"/>
        <v>6416700</v>
      </c>
      <c r="J508" s="22">
        <f t="shared" si="62"/>
        <v>0</v>
      </c>
      <c r="K508" s="22">
        <f t="shared" si="62"/>
        <v>0</v>
      </c>
      <c r="L508" s="22">
        <f t="shared" si="62"/>
        <v>0</v>
      </c>
      <c r="M508" s="22">
        <f t="shared" si="62"/>
        <v>0</v>
      </c>
      <c r="N508" s="22">
        <f t="shared" si="62"/>
        <v>0</v>
      </c>
      <c r="O508" s="22">
        <f t="shared" si="62"/>
        <v>0</v>
      </c>
      <c r="P508" s="22">
        <f t="shared" si="62"/>
        <v>0</v>
      </c>
      <c r="Q508" s="22">
        <f t="shared" si="62"/>
        <v>6416700</v>
      </c>
      <c r="R508" s="47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ht="16.5" x14ac:dyDescent="0.25">
      <c r="A513" s="48"/>
      <c r="B513" s="49"/>
      <c r="C513" s="49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1"/>
    </row>
    <row r="514" spans="1:18" ht="16.5" x14ac:dyDescent="0.25">
      <c r="A514" s="48"/>
      <c r="B514" s="49"/>
      <c r="C514" s="49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1"/>
    </row>
    <row r="515" spans="1:18" ht="16.5" x14ac:dyDescent="0.25">
      <c r="A515" s="48"/>
      <c r="B515" s="49"/>
      <c r="C515" s="49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1"/>
    </row>
    <row r="516" spans="1:18" ht="16.5" x14ac:dyDescent="0.25">
      <c r="A516" s="48"/>
      <c r="B516" s="49"/>
      <c r="C516" s="49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1"/>
    </row>
    <row r="517" spans="1:18" x14ac:dyDescent="0.2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3"/>
    </row>
    <row r="518" spans="1:18" ht="18" x14ac:dyDescent="0.25">
      <c r="A518" s="73" t="str">
        <f>A496</f>
        <v>PEMBAYARAN SETORAN SUSU  PADA PETERNAK BAGIAN TANGGAL :  21 S / D 31 JUNI 2026</v>
      </c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1:18" ht="16.5" x14ac:dyDescent="0.25">
      <c r="A519" s="5" t="s">
        <v>2</v>
      </c>
      <c r="B519" s="6" t="s">
        <v>3</v>
      </c>
      <c r="C519" s="6" t="s">
        <v>4</v>
      </c>
      <c r="D519" s="54" t="s">
        <v>5</v>
      </c>
      <c r="E519" s="55" t="s">
        <v>6</v>
      </c>
      <c r="F519" s="55" t="s">
        <v>427</v>
      </c>
      <c r="G519" s="55" t="s">
        <v>428</v>
      </c>
      <c r="H519" s="55" t="s">
        <v>429</v>
      </c>
      <c r="I519" s="55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 x14ac:dyDescent="0.3">
      <c r="A520" s="56"/>
      <c r="B520" s="57" t="s">
        <v>394</v>
      </c>
      <c r="C520" s="58" t="s">
        <v>461</v>
      </c>
      <c r="E520" s="16">
        <v>7200</v>
      </c>
      <c r="F520" s="16"/>
      <c r="G520" s="16"/>
      <c r="H520" s="15">
        <v>7000</v>
      </c>
      <c r="I520" s="15">
        <f>D520*H520</f>
        <v>0</v>
      </c>
      <c r="J520" s="15"/>
      <c r="K520" s="15"/>
      <c r="L520" s="15"/>
      <c r="M520" s="15"/>
      <c r="N520" s="15"/>
      <c r="O520" s="15"/>
      <c r="P520" s="15">
        <f>SUM(J520:O520)</f>
        <v>0</v>
      </c>
      <c r="Q520" s="15">
        <f>I520-P520</f>
        <v>0</v>
      </c>
      <c r="R520" s="59"/>
    </row>
    <row r="521" spans="1:18" ht="16.5" x14ac:dyDescent="0.3">
      <c r="A521" s="56"/>
      <c r="B521" s="57" t="s">
        <v>442</v>
      </c>
      <c r="C521" s="60" t="s">
        <v>443</v>
      </c>
      <c r="D521" s="61"/>
      <c r="E521" s="16">
        <v>8000</v>
      </c>
      <c r="F521" s="16"/>
      <c r="G521" s="16"/>
      <c r="H521" s="15">
        <f t="shared" ref="H521:H528" si="64">SUM(E521:G521)</f>
        <v>8000</v>
      </c>
      <c r="I521" s="15">
        <f>D521*H521</f>
        <v>0</v>
      </c>
      <c r="J521" s="15"/>
      <c r="K521" s="15"/>
      <c r="L521" s="15"/>
      <c r="M521" s="15"/>
      <c r="N521" s="15"/>
      <c r="O521" s="15"/>
      <c r="P521" s="15">
        <f t="shared" ref="P521:P528" si="65">SUM(J521:O521)</f>
        <v>0</v>
      </c>
      <c r="Q521" s="15">
        <f t="shared" ref="Q521:Q528" si="66">I521-P521</f>
        <v>0</v>
      </c>
      <c r="R521" s="59"/>
    </row>
    <row r="522" spans="1:18" ht="16.5" x14ac:dyDescent="0.3">
      <c r="A522" s="56"/>
      <c r="B522" s="57" t="s">
        <v>395</v>
      </c>
      <c r="C522" s="58" t="s">
        <v>470</v>
      </c>
      <c r="D522" s="62">
        <v>240</v>
      </c>
      <c r="E522" s="16">
        <v>8000</v>
      </c>
      <c r="F522" s="16"/>
      <c r="G522" s="16"/>
      <c r="H522" s="15">
        <f t="shared" si="64"/>
        <v>8000</v>
      </c>
      <c r="I522" s="15">
        <f t="shared" ref="I522:I528" si="67">D522*H522</f>
        <v>1920000</v>
      </c>
      <c r="J522" s="15"/>
      <c r="K522" s="15"/>
      <c r="L522" s="15"/>
      <c r="M522" s="15"/>
      <c r="N522" s="15"/>
      <c r="O522" s="15"/>
      <c r="P522" s="15">
        <f t="shared" si="65"/>
        <v>0</v>
      </c>
      <c r="Q522" s="15">
        <f t="shared" si="66"/>
        <v>1920000</v>
      </c>
      <c r="R522" s="59"/>
    </row>
    <row r="523" spans="1:18" ht="16.5" x14ac:dyDescent="0.3">
      <c r="A523" s="56"/>
      <c r="B523" s="57" t="s">
        <v>468</v>
      </c>
      <c r="C523" s="58" t="s">
        <v>414</v>
      </c>
      <c r="D523" s="61">
        <v>710</v>
      </c>
      <c r="E523" s="16">
        <v>7400</v>
      </c>
      <c r="F523" s="16"/>
      <c r="G523" s="16"/>
      <c r="H523" s="15">
        <f t="shared" si="64"/>
        <v>7400</v>
      </c>
      <c r="I523" s="15">
        <f t="shared" si="67"/>
        <v>5254000</v>
      </c>
      <c r="J523" s="15"/>
      <c r="K523" s="15"/>
      <c r="L523" s="15"/>
      <c r="M523" s="15"/>
      <c r="N523" s="15"/>
      <c r="O523" s="15"/>
      <c r="P523" s="15">
        <f t="shared" si="65"/>
        <v>0</v>
      </c>
      <c r="Q523" s="15">
        <f t="shared" si="66"/>
        <v>5254000</v>
      </c>
      <c r="R523" s="59"/>
    </row>
    <row r="524" spans="1:18" ht="16.5" x14ac:dyDescent="0.3">
      <c r="A524" s="56"/>
      <c r="B524" s="57" t="s">
        <v>463</v>
      </c>
      <c r="C524" s="58" t="s">
        <v>469</v>
      </c>
      <c r="D524" s="61">
        <v>540</v>
      </c>
      <c r="E524" s="16">
        <v>7400</v>
      </c>
      <c r="F524" s="16"/>
      <c r="G524" s="16"/>
      <c r="H524" s="15">
        <f t="shared" si="64"/>
        <v>7400</v>
      </c>
      <c r="I524" s="15">
        <f t="shared" si="67"/>
        <v>3996000</v>
      </c>
      <c r="J524" s="15"/>
      <c r="K524" s="15"/>
      <c r="L524" s="15"/>
      <c r="M524" s="15"/>
      <c r="N524" s="15"/>
      <c r="O524" s="15"/>
      <c r="P524" s="15">
        <f t="shared" si="65"/>
        <v>0</v>
      </c>
      <c r="Q524" s="15">
        <f t="shared" si="66"/>
        <v>3996000</v>
      </c>
      <c r="R524" s="59"/>
    </row>
    <row r="525" spans="1:18" ht="16.5" x14ac:dyDescent="0.3">
      <c r="A525" s="56"/>
      <c r="B525" s="60" t="s">
        <v>472</v>
      </c>
      <c r="C525" s="58" t="s">
        <v>471</v>
      </c>
      <c r="D525" s="61">
        <v>2742</v>
      </c>
      <c r="E525" s="16">
        <v>8000</v>
      </c>
      <c r="F525" s="16"/>
      <c r="G525" s="16"/>
      <c r="H525" s="15">
        <f t="shared" si="64"/>
        <v>8000</v>
      </c>
      <c r="I525" s="15">
        <f t="shared" si="67"/>
        <v>21936000</v>
      </c>
      <c r="J525" s="15"/>
      <c r="K525" s="15"/>
      <c r="L525" s="15"/>
      <c r="M525" s="15"/>
      <c r="N525" s="15"/>
      <c r="O525" s="15"/>
      <c r="P525" s="15">
        <f t="shared" si="65"/>
        <v>0</v>
      </c>
      <c r="Q525" s="15">
        <f t="shared" si="66"/>
        <v>21936000</v>
      </c>
      <c r="R525" s="59"/>
    </row>
    <row r="526" spans="1:18" ht="16.5" x14ac:dyDescent="0.3">
      <c r="A526" s="56"/>
      <c r="B526" s="58" t="s">
        <v>396</v>
      </c>
      <c r="C526" s="58" t="s">
        <v>462</v>
      </c>
      <c r="D526" s="61">
        <v>830</v>
      </c>
      <c r="E526" s="61">
        <v>7500</v>
      </c>
      <c r="F526" s="61"/>
      <c r="G526" s="61"/>
      <c r="H526" s="15">
        <f t="shared" si="64"/>
        <v>7500</v>
      </c>
      <c r="I526" s="15">
        <f t="shared" si="67"/>
        <v>6225000</v>
      </c>
      <c r="J526" s="15"/>
      <c r="K526" s="15"/>
      <c r="L526" s="15"/>
      <c r="M526" s="15"/>
      <c r="N526" s="15"/>
      <c r="O526" s="15"/>
      <c r="P526" s="15">
        <f t="shared" si="65"/>
        <v>0</v>
      </c>
      <c r="Q526" s="15">
        <f t="shared" si="66"/>
        <v>6225000</v>
      </c>
      <c r="R526" s="59"/>
    </row>
    <row r="527" spans="1:18" ht="16.5" x14ac:dyDescent="0.3">
      <c r="A527" s="56"/>
      <c r="B527" s="58" t="s">
        <v>464</v>
      </c>
      <c r="C527" s="58" t="s">
        <v>460</v>
      </c>
      <c r="D527" s="61"/>
      <c r="E527" s="61">
        <v>7500</v>
      </c>
      <c r="F527" s="61"/>
      <c r="G527" s="61"/>
      <c r="H527" s="15">
        <f t="shared" si="64"/>
        <v>7500</v>
      </c>
      <c r="I527" s="15">
        <f t="shared" si="67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65"/>
        <v>0</v>
      </c>
      <c r="Q527" s="15">
        <f t="shared" si="66"/>
        <v>0</v>
      </c>
      <c r="R527" s="59"/>
    </row>
    <row r="528" spans="1:18" ht="16.5" x14ac:dyDescent="0.3">
      <c r="A528" s="56"/>
      <c r="B528" s="58" t="s">
        <v>411</v>
      </c>
      <c r="C528" s="58"/>
      <c r="D528" s="61"/>
      <c r="E528" s="61"/>
      <c r="F528" s="61"/>
      <c r="G528" s="61"/>
      <c r="H528" s="15">
        <f t="shared" si="64"/>
        <v>0</v>
      </c>
      <c r="I528" s="15">
        <f t="shared" si="67"/>
        <v>0</v>
      </c>
      <c r="J528" s="15"/>
      <c r="K528" s="15"/>
      <c r="L528" s="15"/>
      <c r="M528" s="15"/>
      <c r="N528" s="15"/>
      <c r="O528" s="15"/>
      <c r="P528" s="15">
        <f t="shared" si="65"/>
        <v>0</v>
      </c>
      <c r="Q528" s="15">
        <f t="shared" si="66"/>
        <v>0</v>
      </c>
      <c r="R528" s="59"/>
    </row>
    <row r="529" spans="1:18" ht="16.5" x14ac:dyDescent="0.25">
      <c r="A529" s="74" t="s">
        <v>397</v>
      </c>
      <c r="B529" s="75"/>
      <c r="C529" s="76"/>
      <c r="D529" s="22">
        <f>SUM(D520:D528)</f>
        <v>5062</v>
      </c>
      <c r="E529" s="22">
        <f>SUM(E520:E528)</f>
        <v>61000</v>
      </c>
      <c r="F529" s="22">
        <f t="shared" ref="F529:G529" si="68">SUM(F520:F528)</f>
        <v>0</v>
      </c>
      <c r="G529" s="22">
        <f t="shared" si="68"/>
        <v>0</v>
      </c>
      <c r="H529" s="22">
        <f t="shared" ref="H529:Q529" si="69">SUM(H520:H528)</f>
        <v>60800</v>
      </c>
      <c r="I529" s="22">
        <f t="shared" si="69"/>
        <v>39331000</v>
      </c>
      <c r="J529" s="22">
        <f t="shared" si="69"/>
        <v>0</v>
      </c>
      <c r="K529" s="22">
        <f t="shared" si="69"/>
        <v>0</v>
      </c>
      <c r="L529" s="22">
        <f t="shared" si="69"/>
        <v>0</v>
      </c>
      <c r="M529" s="22">
        <f t="shared" si="69"/>
        <v>0</v>
      </c>
      <c r="N529" s="22">
        <f t="shared" si="69"/>
        <v>0</v>
      </c>
      <c r="O529" s="22">
        <f t="shared" si="69"/>
        <v>0</v>
      </c>
      <c r="P529" s="22">
        <f t="shared" si="69"/>
        <v>0</v>
      </c>
      <c r="Q529" s="22">
        <f t="shared" si="69"/>
        <v>39331000</v>
      </c>
      <c r="R529" s="47"/>
    </row>
    <row r="530" spans="1:18" ht="16.5" x14ac:dyDescent="0.25">
      <c r="A530" s="74" t="s">
        <v>398</v>
      </c>
      <c r="B530" s="75"/>
      <c r="C530" s="76"/>
      <c r="D530" s="22">
        <f>SUM(D508,D483,D529)</f>
        <v>34874</v>
      </c>
      <c r="E530" s="22">
        <f t="shared" ref="E530:Q530" si="70">SUM(E508,E483,E529)</f>
        <v>3214200</v>
      </c>
      <c r="F530" s="22">
        <f t="shared" si="70"/>
        <v>179000</v>
      </c>
      <c r="G530" s="22">
        <f t="shared" si="70"/>
        <v>190000</v>
      </c>
      <c r="H530" s="22">
        <f t="shared" si="70"/>
        <v>3583000</v>
      </c>
      <c r="I530" s="22">
        <f t="shared" si="70"/>
        <v>259687400</v>
      </c>
      <c r="J530" s="22">
        <f t="shared" si="70"/>
        <v>625000</v>
      </c>
      <c r="K530" s="22">
        <f t="shared" si="70"/>
        <v>49100000</v>
      </c>
      <c r="L530" s="22">
        <f t="shared" si="70"/>
        <v>578660</v>
      </c>
      <c r="M530" s="22">
        <f t="shared" si="70"/>
        <v>0</v>
      </c>
      <c r="N530" s="22">
        <f t="shared" si="70"/>
        <v>0</v>
      </c>
      <c r="O530" s="22">
        <f t="shared" si="70"/>
        <v>7233250</v>
      </c>
      <c r="P530" s="22">
        <f t="shared" si="70"/>
        <v>56261670</v>
      </c>
      <c r="Q530" s="22">
        <f t="shared" si="70"/>
        <v>191393030</v>
      </c>
      <c r="R530" s="47"/>
    </row>
    <row r="531" spans="1:18" x14ac:dyDescent="0.2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spans="1:1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63"/>
    </row>
    <row r="533" spans="1:1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6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4" t="s">
        <v>467</v>
      </c>
      <c r="N534" s="64"/>
      <c r="O534" s="64"/>
      <c r="P534" s="64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5" t="s">
        <v>399</v>
      </c>
      <c r="N535" s="65"/>
      <c r="O535" s="65"/>
      <c r="P535" s="65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400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6"/>
      <c r="N537" s="66"/>
      <c r="O537" s="66"/>
      <c r="P537" s="66"/>
      <c r="Q537" s="52"/>
      <c r="R537" s="53"/>
    </row>
    <row r="538" spans="1:18" ht="16.5" x14ac:dyDescent="0.3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66"/>
      <c r="N538" s="66"/>
      <c r="O538" s="66"/>
      <c r="P538" s="66"/>
      <c r="Q538" s="52"/>
      <c r="R538" s="53"/>
    </row>
    <row r="539" spans="1:18" ht="16.5" x14ac:dyDescent="0.3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66"/>
      <c r="N539" s="66"/>
      <c r="O539" s="66"/>
      <c r="P539" s="66"/>
      <c r="Q539" s="52"/>
      <c r="R539" s="53"/>
    </row>
    <row r="540" spans="1:18" ht="16.5" x14ac:dyDescent="0.3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64" t="s">
        <v>401</v>
      </c>
      <c r="N540" s="64"/>
      <c r="O540" s="64"/>
      <c r="P540" s="64"/>
      <c r="Q540" s="52"/>
      <c r="R540" s="53"/>
    </row>
    <row r="541" spans="1:18" ht="16.5" x14ac:dyDescent="0.3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64" t="s">
        <v>402</v>
      </c>
      <c r="N541" s="64"/>
      <c r="O541" s="64"/>
      <c r="P541" s="64"/>
      <c r="Q541" s="52"/>
      <c r="R541" s="5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  <row r="543" spans="1:1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63"/>
    </row>
    <row r="544" spans="1:1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63"/>
    </row>
    <row r="545" spans="1:1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63"/>
    </row>
    <row r="546" spans="1:1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63"/>
    </row>
  </sheetData>
  <mergeCells count="9">
    <mergeCell ref="A530:C530"/>
    <mergeCell ref="A529:C529"/>
    <mergeCell ref="A496:R496"/>
    <mergeCell ref="A518:R518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ismail - [2010]</cp:lastModifiedBy>
  <dcterms:created xsi:type="dcterms:W3CDTF">2016-09-20T21:29:33Z</dcterms:created>
  <dcterms:modified xsi:type="dcterms:W3CDTF">2026-07-11T02:50:00Z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