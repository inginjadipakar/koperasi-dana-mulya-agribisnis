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NA MULYA\TAX\PPN\2026\LOGISTIK\"/>
    </mc:Choice>
  </mc:AlternateContent>
  <xr:revisionPtr revIDLastSave="0" documentId="8_{55C73347-D97B-4CCA-980C-E1F5ABAAAEE6}" xr6:coauthVersionLast="45" xr6:coauthVersionMax="45" xr10:uidLastSave="{00000000-0000-0000-0000-000000000000}"/>
  <bookViews>
    <workbookView xWindow="-120" yWindow="-120" windowWidth="29040" windowHeight="15720" activeTab="5" xr2:uid="{19A27448-8208-4AF9-BAB4-6A0FCF5E9CCF}"/>
  </bookViews>
  <sheets>
    <sheet name="JAN" sheetId="2" r:id="rId1"/>
    <sheet name="FEB" sheetId="10" r:id="rId2"/>
    <sheet name="MAR" sheetId="11" r:id="rId3"/>
    <sheet name="APRIL" sheetId="12" r:id="rId4"/>
    <sheet name="MEI" sheetId="15" r:id="rId5"/>
    <sheet name="JUNI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1" i="13" l="1"/>
  <c r="J30" i="13"/>
  <c r="J29" i="13"/>
  <c r="J31" i="15"/>
  <c r="J30" i="15"/>
  <c r="L30" i="15" s="1"/>
  <c r="O30" i="15" s="1"/>
  <c r="Q30" i="15" s="1"/>
  <c r="D33" i="15"/>
  <c r="F32" i="15"/>
  <c r="L31" i="15"/>
  <c r="K31" i="15"/>
  <c r="F31" i="15"/>
  <c r="F30" i="15"/>
  <c r="M29" i="15"/>
  <c r="O29" i="15" s="1"/>
  <c r="Q29" i="15" s="1"/>
  <c r="L29" i="15"/>
  <c r="J29" i="15"/>
  <c r="F29" i="15"/>
  <c r="J28" i="15"/>
  <c r="L28" i="15" s="1"/>
  <c r="O28" i="15" s="1"/>
  <c r="Q28" i="15" s="1"/>
  <c r="F28" i="15"/>
  <c r="F33" i="15" s="1"/>
  <c r="M23" i="15"/>
  <c r="J23" i="15"/>
  <c r="G23" i="15"/>
  <c r="D23" i="15"/>
  <c r="P21" i="15"/>
  <c r="O21" i="15"/>
  <c r="L21" i="15"/>
  <c r="I21" i="15"/>
  <c r="Q21" i="15" s="1"/>
  <c r="F21" i="15"/>
  <c r="AD20" i="15"/>
  <c r="AA20" i="15"/>
  <c r="X20" i="15"/>
  <c r="P20" i="15"/>
  <c r="P23" i="15" s="1"/>
  <c r="O20" i="15"/>
  <c r="O23" i="15" s="1"/>
  <c r="Z11" i="15" s="1"/>
  <c r="AB11" i="15" s="1"/>
  <c r="L20" i="15"/>
  <c r="I20" i="15"/>
  <c r="Q20" i="15" s="1"/>
  <c r="F20" i="15"/>
  <c r="P19" i="15"/>
  <c r="M30" i="15" s="1"/>
  <c r="O19" i="15"/>
  <c r="L19" i="15"/>
  <c r="I19" i="15"/>
  <c r="Q19" i="15" s="1"/>
  <c r="F19" i="15"/>
  <c r="AG18" i="15"/>
  <c r="AF18" i="15"/>
  <c r="AE18" i="15"/>
  <c r="AB18" i="15"/>
  <c r="Y18" i="15"/>
  <c r="AH18" i="15" s="1"/>
  <c r="P18" i="15"/>
  <c r="O18" i="15"/>
  <c r="L18" i="15"/>
  <c r="I18" i="15"/>
  <c r="Q18" i="15" s="1"/>
  <c r="F18" i="15"/>
  <c r="AG17" i="15"/>
  <c r="AF17" i="15"/>
  <c r="AE17" i="15"/>
  <c r="AB17" i="15"/>
  <c r="Y17" i="15"/>
  <c r="AH17" i="15" s="1"/>
  <c r="P17" i="15"/>
  <c r="M28" i="15" s="1"/>
  <c r="O17" i="15"/>
  <c r="L17" i="15"/>
  <c r="L23" i="15" s="1"/>
  <c r="W11" i="15" s="1"/>
  <c r="I17" i="15"/>
  <c r="I23" i="15" s="1"/>
  <c r="F17" i="15"/>
  <c r="F23" i="15" s="1"/>
  <c r="AG16" i="15"/>
  <c r="AF16" i="15"/>
  <c r="AE16" i="15"/>
  <c r="AB16" i="15"/>
  <c r="Y16" i="15"/>
  <c r="AH16" i="15" s="1"/>
  <c r="AG15" i="15"/>
  <c r="AF15" i="15"/>
  <c r="AE15" i="15"/>
  <c r="AB15" i="15"/>
  <c r="AH15" i="15" s="1"/>
  <c r="Y15" i="15"/>
  <c r="AG14" i="15"/>
  <c r="AF14" i="15"/>
  <c r="AE14" i="15"/>
  <c r="AB14" i="15"/>
  <c r="Y14" i="15"/>
  <c r="AH14" i="15" s="1"/>
  <c r="AG13" i="15"/>
  <c r="AF13" i="15"/>
  <c r="AE13" i="15"/>
  <c r="AB13" i="15"/>
  <c r="AH13" i="15" s="1"/>
  <c r="Y13" i="15"/>
  <c r="AG12" i="15"/>
  <c r="AF12" i="15"/>
  <c r="AE12" i="15"/>
  <c r="AB12" i="15"/>
  <c r="Y12" i="15"/>
  <c r="AH12" i="15" s="1"/>
  <c r="K12" i="15"/>
  <c r="J12" i="15"/>
  <c r="AG11" i="15"/>
  <c r="M11" i="15"/>
  <c r="L11" i="15"/>
  <c r="I11" i="15"/>
  <c r="F11" i="15"/>
  <c r="N11" i="15" s="1"/>
  <c r="AG10" i="15"/>
  <c r="AE10" i="15"/>
  <c r="AB10" i="15"/>
  <c r="Z10" i="15"/>
  <c r="W10" i="15"/>
  <c r="AF10" i="15" s="1"/>
  <c r="M10" i="15"/>
  <c r="L10" i="15"/>
  <c r="I10" i="15"/>
  <c r="F10" i="15"/>
  <c r="N10" i="15" s="1"/>
  <c r="AG9" i="15"/>
  <c r="AE9" i="15"/>
  <c r="AB9" i="15"/>
  <c r="Z9" i="15"/>
  <c r="W9" i="15"/>
  <c r="AF9" i="15" s="1"/>
  <c r="M9" i="15"/>
  <c r="L9" i="15"/>
  <c r="I9" i="15"/>
  <c r="I12" i="15" s="1"/>
  <c r="F9" i="15"/>
  <c r="N9" i="15" s="1"/>
  <c r="AG8" i="15"/>
  <c r="AF8" i="15"/>
  <c r="AE8" i="15"/>
  <c r="Z8" i="15"/>
  <c r="AB8" i="15" s="1"/>
  <c r="Y8" i="15"/>
  <c r="W8" i="15"/>
  <c r="M8" i="15"/>
  <c r="L8" i="15"/>
  <c r="I8" i="15"/>
  <c r="F8" i="15"/>
  <c r="N8" i="15" s="1"/>
  <c r="AG7" i="15"/>
  <c r="AG20" i="15" s="1"/>
  <c r="AE7" i="15"/>
  <c r="Z7" i="15"/>
  <c r="AF7" i="15" s="1"/>
  <c r="Y7" i="15"/>
  <c r="W7" i="15"/>
  <c r="M7" i="15"/>
  <c r="L7" i="15"/>
  <c r="L12" i="15" s="1"/>
  <c r="AC11" i="15" s="1"/>
  <c r="I7" i="15"/>
  <c r="F7" i="15"/>
  <c r="F12" i="15" s="1"/>
  <c r="Y11" i="15" l="1"/>
  <c r="AF11" i="15"/>
  <c r="AE11" i="15"/>
  <c r="AE20" i="15" s="1"/>
  <c r="AC20" i="15"/>
  <c r="W20" i="15"/>
  <c r="AF20" i="15"/>
  <c r="M31" i="15"/>
  <c r="O31" i="15" s="1"/>
  <c r="Q31" i="15" s="1"/>
  <c r="Q32" i="15" s="1"/>
  <c r="AH8" i="15"/>
  <c r="Y10" i="15"/>
  <c r="AH10" i="15" s="1"/>
  <c r="Z20" i="15"/>
  <c r="Q17" i="15"/>
  <c r="Q23" i="15" s="1"/>
  <c r="N7" i="15"/>
  <c r="N12" i="15" s="1"/>
  <c r="AB7" i="15"/>
  <c r="Y9" i="15"/>
  <c r="AH9" i="15" s="1"/>
  <c r="AD20" i="13"/>
  <c r="AA20" i="13"/>
  <c r="X20" i="13"/>
  <c r="AG7" i="13"/>
  <c r="AG20" i="13" s="1"/>
  <c r="AE8" i="13"/>
  <c r="AE9" i="13"/>
  <c r="AE10" i="13"/>
  <c r="AE12" i="13"/>
  <c r="AE13" i="13"/>
  <c r="AE14" i="13"/>
  <c r="AE15" i="13"/>
  <c r="AE16" i="13"/>
  <c r="AE17" i="13"/>
  <c r="AE18" i="13"/>
  <c r="AB10" i="13"/>
  <c r="AB12" i="13"/>
  <c r="AB13" i="13"/>
  <c r="AB14" i="13"/>
  <c r="AB15" i="13"/>
  <c r="AB16" i="13"/>
  <c r="AB17" i="13"/>
  <c r="AB18" i="13"/>
  <c r="Y12" i="13"/>
  <c r="Y13" i="13"/>
  <c r="Y14" i="13"/>
  <c r="Y15" i="13"/>
  <c r="Y16" i="13"/>
  <c r="Y17" i="13"/>
  <c r="Y18" i="13"/>
  <c r="AF8" i="13"/>
  <c r="AG8" i="13"/>
  <c r="AG9" i="13"/>
  <c r="AF10" i="13"/>
  <c r="AG10" i="13"/>
  <c r="AG11" i="13"/>
  <c r="AF12" i="13"/>
  <c r="AG12" i="13"/>
  <c r="AF13" i="13"/>
  <c r="AG13" i="13"/>
  <c r="AF14" i="13"/>
  <c r="AG14" i="13"/>
  <c r="AF15" i="13"/>
  <c r="AG15" i="13"/>
  <c r="AF16" i="13"/>
  <c r="AG16" i="13"/>
  <c r="AF17" i="13"/>
  <c r="AG17" i="13"/>
  <c r="AF18" i="13"/>
  <c r="AG18" i="13"/>
  <c r="Z10" i="13"/>
  <c r="W10" i="13"/>
  <c r="Y10" i="13" s="1"/>
  <c r="AH10" i="13" s="1"/>
  <c r="Z9" i="13"/>
  <c r="AB9" i="13" s="1"/>
  <c r="W9" i="13"/>
  <c r="Y9" i="13" s="1"/>
  <c r="Z8" i="13"/>
  <c r="AB8" i="13" s="1"/>
  <c r="W8" i="13"/>
  <c r="Y8" i="13" s="1"/>
  <c r="Z7" i="13"/>
  <c r="AB7" i="13" s="1"/>
  <c r="W7" i="13"/>
  <c r="AF7" i="13" s="1"/>
  <c r="AE7" i="13"/>
  <c r="Y7" i="13"/>
  <c r="AH7" i="15" l="1"/>
  <c r="AB20" i="15"/>
  <c r="Y20" i="15"/>
  <c r="AH11" i="15"/>
  <c r="AH7" i="13"/>
  <c r="AH8" i="13"/>
  <c r="AF9" i="13"/>
  <c r="AH17" i="13"/>
  <c r="AH13" i="13"/>
  <c r="AH9" i="13"/>
  <c r="AH12" i="13"/>
  <c r="AH16" i="13"/>
  <c r="AH14" i="13"/>
  <c r="AH18" i="13"/>
  <c r="AH15" i="13"/>
  <c r="D33" i="13"/>
  <c r="F32" i="13"/>
  <c r="L31" i="13"/>
  <c r="K31" i="13"/>
  <c r="F31" i="13"/>
  <c r="L30" i="13"/>
  <c r="F30" i="13"/>
  <c r="L29" i="13"/>
  <c r="F29" i="13"/>
  <c r="J28" i="13"/>
  <c r="L28" i="13" s="1"/>
  <c r="O28" i="13" s="1"/>
  <c r="Q28" i="13" s="1"/>
  <c r="F28" i="13"/>
  <c r="M23" i="13"/>
  <c r="J23" i="13"/>
  <c r="G23" i="13"/>
  <c r="D23" i="13"/>
  <c r="P21" i="13"/>
  <c r="O21" i="13"/>
  <c r="L21" i="13"/>
  <c r="I21" i="13"/>
  <c r="F21" i="13"/>
  <c r="P20" i="13"/>
  <c r="O20" i="13"/>
  <c r="L20" i="13"/>
  <c r="I20" i="13"/>
  <c r="F20" i="13"/>
  <c r="P19" i="13"/>
  <c r="M30" i="13" s="1"/>
  <c r="O19" i="13"/>
  <c r="L19" i="13"/>
  <c r="I19" i="13"/>
  <c r="F19" i="13"/>
  <c r="P18" i="13"/>
  <c r="M29" i="13" s="1"/>
  <c r="O18" i="13"/>
  <c r="L18" i="13"/>
  <c r="I18" i="13"/>
  <c r="F18" i="13"/>
  <c r="P17" i="13"/>
  <c r="M28" i="13" s="1"/>
  <c r="O17" i="13"/>
  <c r="L17" i="13"/>
  <c r="I17" i="13"/>
  <c r="F17" i="13"/>
  <c r="K12" i="13"/>
  <c r="J12" i="13"/>
  <c r="M11" i="13"/>
  <c r="L11" i="13"/>
  <c r="I11" i="13"/>
  <c r="F11" i="13"/>
  <c r="N11" i="13" s="1"/>
  <c r="M10" i="13"/>
  <c r="L10" i="13"/>
  <c r="I10" i="13"/>
  <c r="F10" i="13"/>
  <c r="N10" i="13" s="1"/>
  <c r="M9" i="13"/>
  <c r="L9" i="13"/>
  <c r="I9" i="13"/>
  <c r="F9" i="13"/>
  <c r="N9" i="13" s="1"/>
  <c r="M8" i="13"/>
  <c r="L8" i="13"/>
  <c r="I8" i="13"/>
  <c r="F8" i="13"/>
  <c r="N8" i="13" s="1"/>
  <c r="M7" i="13"/>
  <c r="L7" i="13"/>
  <c r="L12" i="13" s="1"/>
  <c r="AC11" i="13" s="1"/>
  <c r="I7" i="13"/>
  <c r="F7" i="13"/>
  <c r="F12" i="13" s="1"/>
  <c r="L23" i="13" l="1"/>
  <c r="W11" i="13" s="1"/>
  <c r="AH20" i="15"/>
  <c r="AC20" i="13"/>
  <c r="AE11" i="13"/>
  <c r="AE20" i="13" s="1"/>
  <c r="W20" i="13"/>
  <c r="Y11" i="13"/>
  <c r="I12" i="13"/>
  <c r="Q17" i="13"/>
  <c r="O29" i="13"/>
  <c r="Q29" i="13" s="1"/>
  <c r="Q19" i="13"/>
  <c r="O30" i="13"/>
  <c r="Q30" i="13" s="1"/>
  <c r="O23" i="13"/>
  <c r="Z11" i="13" s="1"/>
  <c r="F33" i="13"/>
  <c r="M31" i="13"/>
  <c r="O31" i="13" s="1"/>
  <c r="Q31" i="13" s="1"/>
  <c r="Q21" i="13"/>
  <c r="Q20" i="13"/>
  <c r="F23" i="13"/>
  <c r="I23" i="13"/>
  <c r="Q18" i="13"/>
  <c r="P23" i="13"/>
  <c r="N7" i="13"/>
  <c r="N12" i="13" s="1"/>
  <c r="J28" i="12"/>
  <c r="J29" i="12"/>
  <c r="L29" i="12" s="1"/>
  <c r="J30" i="12"/>
  <c r="L30" i="12" s="1"/>
  <c r="J31" i="12"/>
  <c r="O28" i="11"/>
  <c r="D33" i="12"/>
  <c r="F32" i="12"/>
  <c r="K31" i="12"/>
  <c r="L31" i="12" s="1"/>
  <c r="F31" i="12"/>
  <c r="F30" i="12"/>
  <c r="F29" i="12"/>
  <c r="L28" i="12"/>
  <c r="F28" i="12"/>
  <c r="M23" i="12"/>
  <c r="J23" i="12"/>
  <c r="G23" i="12"/>
  <c r="D23" i="12"/>
  <c r="P22" i="12"/>
  <c r="O22" i="12"/>
  <c r="L22" i="12"/>
  <c r="I22" i="12"/>
  <c r="Q22" i="12" s="1"/>
  <c r="F22" i="12"/>
  <c r="P21" i="12"/>
  <c r="O21" i="12"/>
  <c r="L21" i="12"/>
  <c r="I21" i="12"/>
  <c r="F21" i="12"/>
  <c r="P20" i="12"/>
  <c r="M31" i="12" s="1"/>
  <c r="O20" i="12"/>
  <c r="L20" i="12"/>
  <c r="I20" i="12"/>
  <c r="F20" i="12"/>
  <c r="P19" i="12"/>
  <c r="M30" i="12" s="1"/>
  <c r="O19" i="12"/>
  <c r="L19" i="12"/>
  <c r="I19" i="12"/>
  <c r="F19" i="12"/>
  <c r="P18" i="12"/>
  <c r="M29" i="12" s="1"/>
  <c r="O18" i="12"/>
  <c r="L18" i="12"/>
  <c r="I18" i="12"/>
  <c r="I23" i="12" s="1"/>
  <c r="F18" i="12"/>
  <c r="P17" i="12"/>
  <c r="M28" i="12" s="1"/>
  <c r="O17" i="12"/>
  <c r="L17" i="12"/>
  <c r="L23" i="12" s="1"/>
  <c r="I17" i="12"/>
  <c r="F17" i="12"/>
  <c r="K12" i="12"/>
  <c r="J12" i="12"/>
  <c r="M11" i="12"/>
  <c r="L11" i="12"/>
  <c r="I11" i="12"/>
  <c r="F11" i="12"/>
  <c r="N11" i="12" s="1"/>
  <c r="M10" i="12"/>
  <c r="L10" i="12"/>
  <c r="I10" i="12"/>
  <c r="F10" i="12"/>
  <c r="N10" i="12" s="1"/>
  <c r="M9" i="12"/>
  <c r="L9" i="12"/>
  <c r="I9" i="12"/>
  <c r="F9" i="12"/>
  <c r="N9" i="12" s="1"/>
  <c r="M8" i="12"/>
  <c r="L8" i="12"/>
  <c r="I8" i="12"/>
  <c r="F8" i="12"/>
  <c r="N8" i="12" s="1"/>
  <c r="M7" i="12"/>
  <c r="L7" i="12"/>
  <c r="L12" i="12" s="1"/>
  <c r="I7" i="12"/>
  <c r="F7" i="12"/>
  <c r="F12" i="12" s="1"/>
  <c r="Y20" i="13" l="1"/>
  <c r="AB11" i="13"/>
  <c r="AB20" i="13" s="1"/>
  <c r="Z20" i="13"/>
  <c r="AF11" i="13"/>
  <c r="AF20" i="13" s="1"/>
  <c r="Q32" i="13"/>
  <c r="Q23" i="13"/>
  <c r="F33" i="12"/>
  <c r="O28" i="12"/>
  <c r="Q28" i="12" s="1"/>
  <c r="I12" i="12"/>
  <c r="Q17" i="12"/>
  <c r="O23" i="12"/>
  <c r="Q21" i="12"/>
  <c r="Q20" i="12"/>
  <c r="Q19" i="12"/>
  <c r="O30" i="12"/>
  <c r="Q30" i="12" s="1"/>
  <c r="F23" i="12"/>
  <c r="O29" i="12"/>
  <c r="Q29" i="12" s="1"/>
  <c r="O31" i="12"/>
  <c r="Q31" i="12" s="1"/>
  <c r="Q18" i="12"/>
  <c r="P23" i="12"/>
  <c r="N7" i="12"/>
  <c r="N12" i="12" s="1"/>
  <c r="M23" i="11"/>
  <c r="J23" i="11"/>
  <c r="G23" i="11"/>
  <c r="D23" i="11"/>
  <c r="J31" i="11"/>
  <c r="J30" i="11"/>
  <c r="J29" i="11"/>
  <c r="J28" i="11"/>
  <c r="P22" i="11"/>
  <c r="O22" i="11"/>
  <c r="L22" i="11"/>
  <c r="I22" i="11"/>
  <c r="F22" i="11"/>
  <c r="Q22" i="11" s="1"/>
  <c r="P20" i="2"/>
  <c r="M31" i="2"/>
  <c r="M31" i="10"/>
  <c r="F31" i="10"/>
  <c r="O23" i="10"/>
  <c r="M23" i="10"/>
  <c r="L23" i="10"/>
  <c r="J23" i="10"/>
  <c r="I23" i="10"/>
  <c r="G23" i="10"/>
  <c r="D23" i="10"/>
  <c r="P22" i="10"/>
  <c r="O22" i="10"/>
  <c r="L22" i="10"/>
  <c r="I22" i="10"/>
  <c r="Q22" i="10" s="1"/>
  <c r="F22" i="10"/>
  <c r="K31" i="10"/>
  <c r="L23" i="2"/>
  <c r="F49" i="2"/>
  <c r="F46" i="2"/>
  <c r="F32" i="2"/>
  <c r="P21" i="2"/>
  <c r="O21" i="2"/>
  <c r="L21" i="2"/>
  <c r="I21" i="2"/>
  <c r="F21" i="2"/>
  <c r="AH11" i="13" l="1"/>
  <c r="AH20" i="13" s="1"/>
  <c r="Q32" i="12"/>
  <c r="Q23" i="12"/>
  <c r="Q21" i="2"/>
  <c r="K28" i="10" l="1"/>
  <c r="P17" i="10"/>
  <c r="P21" i="10"/>
  <c r="P20" i="10"/>
  <c r="P19" i="10"/>
  <c r="P18" i="10"/>
  <c r="P23" i="10" s="1"/>
  <c r="Q19" i="10"/>
  <c r="Q17" i="10"/>
  <c r="K31" i="2"/>
  <c r="K30" i="2"/>
  <c r="K29" i="2"/>
  <c r="K28" i="2"/>
  <c r="P22" i="2"/>
  <c r="P19" i="2"/>
  <c r="P18" i="2"/>
  <c r="P17" i="2"/>
  <c r="K29" i="10" l="1"/>
  <c r="K30" i="10"/>
  <c r="D33" i="11"/>
  <c r="F32" i="11"/>
  <c r="K31" i="11"/>
  <c r="L31" i="11" s="1"/>
  <c r="F31" i="11"/>
  <c r="L30" i="11"/>
  <c r="F30" i="11"/>
  <c r="L29" i="11"/>
  <c r="F29" i="11"/>
  <c r="L28" i="11"/>
  <c r="F28" i="11"/>
  <c r="P21" i="11"/>
  <c r="O21" i="11"/>
  <c r="L21" i="11"/>
  <c r="I21" i="11"/>
  <c r="F21" i="11"/>
  <c r="P20" i="11"/>
  <c r="O20" i="11"/>
  <c r="O23" i="11" s="1"/>
  <c r="L20" i="11"/>
  <c r="L23" i="11" s="1"/>
  <c r="I20" i="11"/>
  <c r="I23" i="11" s="1"/>
  <c r="F20" i="11"/>
  <c r="F23" i="11" s="1"/>
  <c r="P19" i="11"/>
  <c r="O19" i="11"/>
  <c r="L19" i="11"/>
  <c r="I19" i="11"/>
  <c r="F19" i="11"/>
  <c r="P18" i="11"/>
  <c r="M29" i="11" s="1"/>
  <c r="O29" i="11" s="1"/>
  <c r="Q29" i="11" s="1"/>
  <c r="O18" i="11"/>
  <c r="L18" i="11"/>
  <c r="I18" i="11"/>
  <c r="F18" i="11"/>
  <c r="Q18" i="11" s="1"/>
  <c r="P17" i="11"/>
  <c r="M28" i="11" s="1"/>
  <c r="O17" i="11"/>
  <c r="L17" i="11"/>
  <c r="I17" i="11"/>
  <c r="F17" i="11"/>
  <c r="L12" i="11"/>
  <c r="K12" i="11"/>
  <c r="J12" i="11"/>
  <c r="I12" i="11"/>
  <c r="F12" i="11"/>
  <c r="N11" i="11"/>
  <c r="M11" i="11"/>
  <c r="L11" i="11"/>
  <c r="I11" i="11"/>
  <c r="F11" i="11"/>
  <c r="N10" i="11"/>
  <c r="M10" i="11"/>
  <c r="L10" i="11"/>
  <c r="I10" i="11"/>
  <c r="F10" i="11"/>
  <c r="N9" i="11"/>
  <c r="M9" i="11"/>
  <c r="L9" i="11"/>
  <c r="I9" i="11"/>
  <c r="F9" i="11"/>
  <c r="N8" i="11"/>
  <c r="M8" i="11"/>
  <c r="L8" i="11"/>
  <c r="I8" i="11"/>
  <c r="F8" i="11"/>
  <c r="N7" i="11"/>
  <c r="N12" i="11" s="1"/>
  <c r="M7" i="11"/>
  <c r="L7" i="11"/>
  <c r="I7" i="11"/>
  <c r="F7" i="11"/>
  <c r="D33" i="10"/>
  <c r="F32" i="10"/>
  <c r="F30" i="10"/>
  <c r="F29" i="10"/>
  <c r="F28" i="10"/>
  <c r="O21" i="10"/>
  <c r="L21" i="10"/>
  <c r="I21" i="10"/>
  <c r="F21" i="10"/>
  <c r="Q21" i="10" s="1"/>
  <c r="O20" i="10"/>
  <c r="L20" i="10"/>
  <c r="I20" i="10"/>
  <c r="F20" i="10"/>
  <c r="M30" i="10"/>
  <c r="O19" i="10"/>
  <c r="L19" i="10"/>
  <c r="I19" i="10"/>
  <c r="F19" i="10"/>
  <c r="O18" i="10"/>
  <c r="L18" i="10"/>
  <c r="I18" i="10"/>
  <c r="F18" i="10"/>
  <c r="Q18" i="10" s="1"/>
  <c r="M28" i="10"/>
  <c r="O17" i="10"/>
  <c r="L17" i="10"/>
  <c r="I17" i="10"/>
  <c r="F17" i="10"/>
  <c r="K12" i="10"/>
  <c r="J12" i="10"/>
  <c r="M11" i="10"/>
  <c r="L11" i="10"/>
  <c r="I11" i="10"/>
  <c r="F11" i="10"/>
  <c r="N11" i="10" s="1"/>
  <c r="M10" i="10"/>
  <c r="L10" i="10"/>
  <c r="L12" i="10" s="1"/>
  <c r="I10" i="10"/>
  <c r="F10" i="10"/>
  <c r="N10" i="10" s="1"/>
  <c r="M9" i="10"/>
  <c r="L9" i="10"/>
  <c r="I9" i="10"/>
  <c r="F9" i="10"/>
  <c r="N9" i="10" s="1"/>
  <c r="M8" i="10"/>
  <c r="L8" i="10"/>
  <c r="I8" i="10"/>
  <c r="F8" i="10"/>
  <c r="F12" i="10" s="1"/>
  <c r="M7" i="10"/>
  <c r="L7" i="10"/>
  <c r="I7" i="10"/>
  <c r="I12" i="10" s="1"/>
  <c r="F7" i="10"/>
  <c r="N7" i="10" s="1"/>
  <c r="G23" i="2"/>
  <c r="O20" i="2"/>
  <c r="O22" i="2"/>
  <c r="M31" i="11" l="1"/>
  <c r="P23" i="11"/>
  <c r="Q28" i="11"/>
  <c r="Q21" i="11"/>
  <c r="Q17" i="11"/>
  <c r="O31" i="11"/>
  <c r="Q31" i="11" s="1"/>
  <c r="F23" i="10"/>
  <c r="Q20" i="10"/>
  <c r="Q23" i="10" s="1"/>
  <c r="F33" i="11"/>
  <c r="Q20" i="11"/>
  <c r="Q23" i="11" s="1"/>
  <c r="M30" i="11"/>
  <c r="O30" i="11" s="1"/>
  <c r="Q30" i="11" s="1"/>
  <c r="Q19" i="11"/>
  <c r="F33" i="10"/>
  <c r="N8" i="10"/>
  <c r="N12" i="10" s="1"/>
  <c r="M29" i="10"/>
  <c r="Q32" i="11" l="1"/>
  <c r="L30" i="2"/>
  <c r="L29" i="2"/>
  <c r="L28" i="2"/>
  <c r="M23" i="2"/>
  <c r="J23" i="2"/>
  <c r="D23" i="2"/>
  <c r="O19" i="2"/>
  <c r="O18" i="2"/>
  <c r="O17" i="2"/>
  <c r="L22" i="2"/>
  <c r="F22" i="2"/>
  <c r="I22" i="2"/>
  <c r="L20" i="2"/>
  <c r="F20" i="2"/>
  <c r="I20" i="2"/>
  <c r="M30" i="2"/>
  <c r="O30" i="2" s="1"/>
  <c r="L19" i="2"/>
  <c r="F19" i="2"/>
  <c r="I19" i="2"/>
  <c r="I23" i="2" s="1"/>
  <c r="M29" i="2"/>
  <c r="O29" i="2" s="1"/>
  <c r="L18" i="2"/>
  <c r="F18" i="2"/>
  <c r="I18" i="2"/>
  <c r="L17" i="2"/>
  <c r="F17" i="2"/>
  <c r="I17" i="2"/>
  <c r="Q22" i="2" l="1"/>
  <c r="Q17" i="2"/>
  <c r="Q20" i="2"/>
  <c r="Q18" i="2"/>
  <c r="F23" i="2"/>
  <c r="Q19" i="2"/>
  <c r="P23" i="2"/>
  <c r="J30" i="10"/>
  <c r="L30" i="10" s="1"/>
  <c r="O30" i="10" s="1"/>
  <c r="Q30" i="10" s="1"/>
  <c r="L31" i="2"/>
  <c r="M28" i="2"/>
  <c r="O28" i="2" s="1"/>
  <c r="O23" i="2"/>
  <c r="F31" i="2"/>
  <c r="J28" i="10" l="1"/>
  <c r="Q28" i="2"/>
  <c r="Q23" i="2"/>
  <c r="O31" i="2"/>
  <c r="J31" i="10" s="1"/>
  <c r="L31" i="10" s="1"/>
  <c r="O31" i="10" s="1"/>
  <c r="Q31" i="10" s="1"/>
  <c r="Q29" i="2"/>
  <c r="J29" i="10"/>
  <c r="L29" i="10" s="1"/>
  <c r="O29" i="10" s="1"/>
  <c r="Q29" i="10" s="1"/>
  <c r="Q30" i="2"/>
  <c r="Q31" i="2" l="1"/>
  <c r="L28" i="10"/>
  <c r="O28" i="10" s="1"/>
  <c r="Q28" i="10" s="1"/>
  <c r="Q32" i="2"/>
  <c r="Q32" i="10" l="1"/>
  <c r="M8" i="2" l="1"/>
  <c r="M9" i="2"/>
  <c r="M10" i="2"/>
  <c r="M11" i="2"/>
  <c r="M7" i="2"/>
  <c r="D33" i="2"/>
  <c r="F30" i="2"/>
  <c r="F29" i="2"/>
  <c r="F28" i="2"/>
  <c r="K12" i="2"/>
  <c r="J12" i="2"/>
  <c r="L11" i="2"/>
  <c r="I11" i="2"/>
  <c r="F11" i="2"/>
  <c r="L10" i="2"/>
  <c r="I10" i="2"/>
  <c r="F10" i="2"/>
  <c r="L9" i="2"/>
  <c r="I9" i="2"/>
  <c r="F9" i="2"/>
  <c r="L8" i="2"/>
  <c r="I8" i="2"/>
  <c r="F8" i="2"/>
  <c r="L7" i="2"/>
  <c r="I7" i="2"/>
  <c r="F7" i="2"/>
  <c r="F33" i="2" l="1"/>
  <c r="N9" i="2"/>
  <c r="N7" i="2"/>
  <c r="N10" i="2"/>
  <c r="N11" i="2"/>
  <c r="N8" i="2"/>
  <c r="L12" i="2"/>
  <c r="I12" i="2"/>
  <c r="F12" i="2"/>
  <c r="N12" i="2" l="1"/>
</calcChain>
</file>

<file path=xl/sharedStrings.xml><?xml version="1.0" encoding="utf-8"?>
<sst xmlns="http://schemas.openxmlformats.org/spreadsheetml/2006/main" count="601" uniqueCount="80">
  <si>
    <t>NO</t>
  </si>
  <si>
    <t>PEMBELIAN</t>
  </si>
  <si>
    <t>JUMLAH</t>
  </si>
  <si>
    <t>PENJUALAN</t>
  </si>
  <si>
    <t>KG</t>
  </si>
  <si>
    <t>RP</t>
  </si>
  <si>
    <t>DCP</t>
  </si>
  <si>
    <t>TOTAL</t>
  </si>
  <si>
    <t>TUNAI</t>
  </si>
  <si>
    <t>JUMLAH TOTAL</t>
  </si>
  <si>
    <t>Manager</t>
  </si>
  <si>
    <t>Kabag. Logistik</t>
  </si>
  <si>
    <t>Drh. M. Ilham S.</t>
  </si>
  <si>
    <t>Krisdianto</t>
  </si>
  <si>
    <t xml:space="preserve"> </t>
  </si>
  <si>
    <t>MIX FEED A20</t>
  </si>
  <si>
    <t>HARGA</t>
  </si>
  <si>
    <t>MILK CAN</t>
  </si>
  <si>
    <t>UNIT</t>
  </si>
  <si>
    <t>TIMBA PERAH</t>
  </si>
  <si>
    <t>SARINGAN MILK CAN</t>
  </si>
  <si>
    <t>BRANGUS SAPI</t>
  </si>
  <si>
    <t xml:space="preserve">ALAT CELUP </t>
  </si>
  <si>
    <t>MIX FEED A20 NESTLE</t>
  </si>
  <si>
    <t>MAGNESIUM</t>
  </si>
  <si>
    <t>STOK AWAL</t>
  </si>
  <si>
    <t>LAPORAN  LOGISTIK</t>
  </si>
  <si>
    <t>I. PERALATAN  DAN PERLENGKAPAN  TERNAK</t>
  </si>
  <si>
    <t>STOK  AKHIR</t>
  </si>
  <si>
    <t>MF. A18 AGGT SUB</t>
  </si>
  <si>
    <t>MIX FEED A20 TUNAI</t>
  </si>
  <si>
    <t>MF A20 SUB</t>
  </si>
  <si>
    <t>MF A20 NON SUB</t>
  </si>
  <si>
    <t>Pacet, 15 Pebruari 2026</t>
  </si>
  <si>
    <t>PROGRAM BUNTING</t>
  </si>
  <si>
    <t>POTONGAN RUTIN (I&amp;II)</t>
  </si>
  <si>
    <t>PIUTANG (III)</t>
  </si>
  <si>
    <t>SIAP JUAL</t>
  </si>
  <si>
    <t>NAMA ALAT</t>
  </si>
  <si>
    <t>IV. STOK MAKANAN TERNAK</t>
  </si>
  <si>
    <t>NAMA PAKAN</t>
  </si>
  <si>
    <t xml:space="preserve">MIX FEED A18 </t>
  </si>
  <si>
    <t>II. PENJUALAN MAKANAN TERNAK</t>
  </si>
  <si>
    <t>III. PEMBELIAN MAKANAN TERNAK</t>
  </si>
  <si>
    <t xml:space="preserve">SUSUT </t>
  </si>
  <si>
    <t>JUMLAH (RP)</t>
  </si>
  <si>
    <t>JANUARI 2026</t>
  </si>
  <si>
    <t>FEBRUARI 2026</t>
  </si>
  <si>
    <t>MARET 2026</t>
  </si>
  <si>
    <t>STOK AKHIR</t>
  </si>
  <si>
    <t>Pacet, 15 Maret 2026</t>
  </si>
  <si>
    <t>Pacet, 15 April 2026</t>
  </si>
  <si>
    <t>MF A20 NON ANGG</t>
  </si>
  <si>
    <t>V.  PENJUALAN BELUM TERTAGIH</t>
  </si>
  <si>
    <t>Pacet, 15 Mei 2026</t>
  </si>
  <si>
    <t>MF A20 RATIO</t>
  </si>
  <si>
    <t>MF A20 NON RATIO</t>
  </si>
  <si>
    <t>Pacet, 16 JUNI 2026</t>
  </si>
  <si>
    <t>KETERANGAN</t>
  </si>
  <si>
    <t>PERALATAN</t>
  </si>
  <si>
    <t>JANUARI</t>
  </si>
  <si>
    <t>PEBRUARI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</si>
  <si>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</si>
  <si>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</si>
  <si>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</si>
  <si>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</si>
  <si>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</si>
  <si>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</si>
  <si>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</si>
  <si>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</si>
  <si>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</si>
  <si>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</si>
  <si>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V. PIUTANG</t>
  </si>
  <si>
    <t>PERIODE III</t>
  </si>
  <si>
    <t>PIUTANG</t>
  </si>
  <si>
    <t>BAYAR</t>
  </si>
  <si>
    <t>SISA PIUTANG</t>
  </si>
  <si>
    <t>PROGRAM / BUNTING</t>
  </si>
  <si>
    <t>Pacet, 16 JULI 2026</t>
  </si>
  <si>
    <t>ADA PEMBELIAN DCP 8JUTA TAPI TIDAK MASUK LAPORAN LOGISTIK KRN PEMBELINYA DARI MANAJER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</si>
</sst>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  <numFmt numFmtId="166" formatCode="#,##0_ ;[Red]\-#,##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6" xfId="0" applyFont="1" applyBorder="1" applyAlignment="1">
      <alignment horizontal="center" vertical="center"/>
    </xf>
    <xf numFmtId="164" fontId="3" fillId="0" borderId="17" xfId="0" applyNumberFormat="1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164" fontId="3" fillId="0" borderId="19" xfId="0" applyNumberFormat="1" applyFont="1" applyBorder="1" applyAlignment="1">
      <alignment vertical="center"/>
    </xf>
    <xf numFmtId="164" fontId="5" fillId="0" borderId="22" xfId="0" applyNumberFormat="1" applyFont="1" applyBorder="1" applyAlignment="1">
      <alignment vertical="center"/>
    </xf>
    <xf numFmtId="164" fontId="5" fillId="0" borderId="23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164" fontId="3" fillId="0" borderId="18" xfId="0" applyNumberFormat="1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38" xfId="0" applyFont="1" applyBorder="1" applyAlignment="1">
      <alignment horizontal="center" vertical="center"/>
    </xf>
    <xf numFmtId="164" fontId="3" fillId="0" borderId="26" xfId="0" applyNumberFormat="1" applyFont="1" applyBorder="1" applyAlignment="1">
      <alignment vertical="center"/>
    </xf>
    <xf numFmtId="164" fontId="3" fillId="0" borderId="27" xfId="0" applyNumberFormat="1" applyFont="1" applyBorder="1" applyAlignment="1">
      <alignment vertical="center"/>
    </xf>
    <xf numFmtId="164" fontId="5" fillId="0" borderId="42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64" fontId="3" fillId="0" borderId="25" xfId="0" applyNumberFormat="1" applyFont="1" applyBorder="1" applyAlignment="1">
      <alignment vertical="center"/>
    </xf>
    <xf numFmtId="164" fontId="5" fillId="0" borderId="33" xfId="0" applyNumberFormat="1" applyFont="1" applyBorder="1" applyAlignment="1">
      <alignment horizontal="center" vertical="center"/>
    </xf>
    <xf numFmtId="164" fontId="5" fillId="0" borderId="32" xfId="0" applyNumberFormat="1" applyFont="1" applyBorder="1" applyAlignment="1">
      <alignment horizontal="center" vertical="center"/>
    </xf>
    <xf numFmtId="164" fontId="5" fillId="0" borderId="41" xfId="0" applyNumberFormat="1" applyFont="1" applyBorder="1" applyAlignment="1">
      <alignment horizontal="center" vertical="center"/>
    </xf>
    <xf numFmtId="164" fontId="5" fillId="0" borderId="33" xfId="0" applyNumberFormat="1" applyFont="1" applyBorder="1" applyAlignment="1">
      <alignment vertical="center"/>
    </xf>
    <xf numFmtId="164" fontId="5" fillId="0" borderId="32" xfId="0" applyNumberFormat="1" applyFont="1" applyBorder="1" applyAlignment="1">
      <alignment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48" xfId="0" applyFont="1" applyBorder="1" applyAlignment="1">
      <alignment vertical="center"/>
    </xf>
    <xf numFmtId="164" fontId="5" fillId="0" borderId="20" xfId="0" applyNumberFormat="1" applyFont="1" applyBorder="1" applyAlignment="1">
      <alignment vertical="center"/>
    </xf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164" fontId="0" fillId="0" borderId="27" xfId="0" applyNumberFormat="1" applyFont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3" fillId="0" borderId="13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0" fillId="0" borderId="48" xfId="0" applyFont="1" applyBorder="1" applyAlignment="1">
      <alignment vertical="center"/>
    </xf>
    <xf numFmtId="0" fontId="5" fillId="0" borderId="31" xfId="0" applyFont="1" applyBorder="1" applyAlignment="1">
      <alignment horizontal="center" vertical="center" wrapText="1"/>
    </xf>
    <xf numFmtId="165" fontId="3" fillId="0" borderId="35" xfId="0" applyNumberFormat="1" applyFont="1" applyBorder="1" applyAlignment="1">
      <alignment vertical="center"/>
    </xf>
    <xf numFmtId="165" fontId="3" fillId="0" borderId="36" xfId="0" applyNumberFormat="1" applyFont="1" applyBorder="1" applyAlignment="1">
      <alignment vertical="center"/>
    </xf>
    <xf numFmtId="165" fontId="5" fillId="0" borderId="48" xfId="0" applyNumberFormat="1" applyFont="1" applyBorder="1" applyAlignment="1">
      <alignment vertical="center"/>
    </xf>
    <xf numFmtId="165" fontId="3" fillId="0" borderId="48" xfId="0" applyNumberFormat="1" applyFont="1" applyBorder="1" applyAlignment="1">
      <alignment vertical="center"/>
    </xf>
    <xf numFmtId="165" fontId="3" fillId="0" borderId="48" xfId="1" applyNumberFormat="1" applyFont="1" applyBorder="1" applyAlignment="1">
      <alignment vertical="center"/>
    </xf>
    <xf numFmtId="164" fontId="3" fillId="0" borderId="35" xfId="0" applyNumberFormat="1" applyFont="1" applyBorder="1" applyAlignment="1">
      <alignment vertical="center"/>
    </xf>
    <xf numFmtId="164" fontId="3" fillId="0" borderId="36" xfId="0" applyNumberFormat="1" applyFont="1" applyBorder="1" applyAlignment="1">
      <alignment vertical="center"/>
    </xf>
    <xf numFmtId="164" fontId="3" fillId="0" borderId="48" xfId="0" applyNumberFormat="1" applyFont="1" applyBorder="1" applyAlignment="1">
      <alignment vertical="center"/>
    </xf>
    <xf numFmtId="165" fontId="3" fillId="0" borderId="35" xfId="1" applyNumberFormat="1" applyFont="1" applyBorder="1" applyAlignment="1">
      <alignment vertical="center"/>
    </xf>
    <xf numFmtId="165" fontId="3" fillId="0" borderId="36" xfId="1" applyNumberFormat="1" applyFont="1" applyBorder="1" applyAlignment="1">
      <alignment vertical="center"/>
    </xf>
    <xf numFmtId="0" fontId="5" fillId="0" borderId="29" xfId="0" applyFont="1" applyBorder="1" applyAlignment="1">
      <alignment horizontal="right" vertical="center"/>
    </xf>
    <xf numFmtId="165" fontId="5" fillId="0" borderId="29" xfId="0" applyNumberFormat="1" applyFont="1" applyBorder="1" applyAlignment="1">
      <alignment horizontal="right" vertical="center"/>
    </xf>
    <xf numFmtId="165" fontId="5" fillId="0" borderId="36" xfId="0" applyNumberFormat="1" applyFont="1" applyBorder="1" applyAlignment="1">
      <alignment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165" fontId="5" fillId="0" borderId="39" xfId="0" applyNumberFormat="1" applyFont="1" applyBorder="1" applyAlignment="1">
      <alignment vertical="center"/>
    </xf>
    <xf numFmtId="164" fontId="5" fillId="0" borderId="39" xfId="0" applyNumberFormat="1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0" borderId="41" xfId="0" applyFont="1" applyBorder="1" applyAlignment="1">
      <alignment horizontal="center" vertical="center"/>
    </xf>
    <xf numFmtId="0" fontId="5" fillId="0" borderId="29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29" xfId="0" applyFont="1" applyBorder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166" fontId="3" fillId="0" borderId="35" xfId="0" applyNumberFormat="1" applyFont="1" applyBorder="1" applyAlignment="1">
      <alignment vertical="center"/>
    </xf>
    <xf numFmtId="166" fontId="3" fillId="0" borderId="36" xfId="0" applyNumberFormat="1" applyFont="1" applyBorder="1" applyAlignment="1">
      <alignment vertical="center"/>
    </xf>
    <xf numFmtId="166" fontId="3" fillId="0" borderId="48" xfId="0" applyNumberFormat="1" applyFont="1" applyBorder="1" applyAlignment="1">
      <alignment vertical="center"/>
    </xf>
    <xf numFmtId="166" fontId="5" fillId="0" borderId="35" xfId="0" applyNumberFormat="1" applyFont="1" applyBorder="1" applyAlignment="1">
      <alignment vertical="center"/>
    </xf>
    <xf numFmtId="166" fontId="5" fillId="0" borderId="36" xfId="0" applyNumberFormat="1" applyFont="1" applyBorder="1" applyAlignment="1">
      <alignment vertical="center"/>
    </xf>
    <xf numFmtId="166" fontId="5" fillId="0" borderId="48" xfId="0" applyNumberFormat="1" applyFont="1" applyBorder="1" applyAlignment="1">
      <alignment vertical="center"/>
    </xf>
    <xf numFmtId="43" fontId="3" fillId="0" borderId="0" xfId="1" applyFont="1" applyAlignment="1">
      <alignment vertical="center"/>
    </xf>
    <xf numFmtId="43" fontId="5" fillId="0" borderId="0" xfId="1" applyFont="1" applyAlignment="1">
      <alignment vertical="center"/>
    </xf>
    <xf numFmtId="43" fontId="4" fillId="0" borderId="0" xfId="1" applyFont="1" applyAlignment="1">
      <alignment vertical="center"/>
    </xf>
    <xf numFmtId="0" fontId="3" fillId="0" borderId="30" xfId="0" applyFont="1" applyBorder="1" applyAlignment="1">
      <alignment vertical="center"/>
    </xf>
    <xf numFmtId="164" fontId="3" fillId="0" borderId="23" xfId="0" applyNumberFormat="1" applyFont="1" applyBorder="1" applyAlignment="1">
      <alignment vertical="center"/>
    </xf>
    <xf numFmtId="164" fontId="3" fillId="0" borderId="22" xfId="0" applyNumberFormat="1" applyFont="1" applyBorder="1" applyAlignment="1">
      <alignment vertical="center"/>
    </xf>
    <xf numFmtId="164" fontId="3" fillId="0" borderId="42" xfId="0" applyNumberFormat="1" applyFont="1" applyBorder="1" applyAlignment="1">
      <alignment vertical="center"/>
    </xf>
    <xf numFmtId="164" fontId="3" fillId="0" borderId="21" xfId="0" applyNumberFormat="1" applyFont="1" applyBorder="1" applyAlignment="1">
      <alignment vertical="center"/>
    </xf>
    <xf numFmtId="164" fontId="3" fillId="0" borderId="20" xfId="0" applyNumberFormat="1" applyFont="1" applyBorder="1" applyAlignment="1">
      <alignment vertical="center"/>
    </xf>
    <xf numFmtId="43" fontId="3" fillId="0" borderId="0" xfId="1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43" fontId="3" fillId="0" borderId="7" xfId="1" applyFont="1" applyBorder="1" applyAlignment="1">
      <alignment horizontal="center" vertical="center"/>
    </xf>
    <xf numFmtId="43" fontId="3" fillId="0" borderId="7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29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6" fillId="0" borderId="0" xfId="0" applyNumberFormat="1" applyFont="1" applyBorder="1" applyAlignment="1">
      <alignment vertical="center"/>
    </xf>
    <xf numFmtId="165" fontId="3" fillId="0" borderId="0" xfId="1" applyNumberFormat="1" applyFont="1" applyBorder="1" applyAlignment="1">
      <alignment horizontal="center" vertical="center"/>
    </xf>
    <xf numFmtId="165" fontId="3" fillId="0" borderId="0" xfId="1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29" xfId="0" applyFont="1" applyBorder="1" applyAlignment="1">
      <alignment horizontal="right" vertical="center"/>
    </xf>
    <xf numFmtId="43" fontId="3" fillId="0" borderId="0" xfId="1" applyFont="1" applyBorder="1" applyAlignment="1">
      <alignment horizontal="center" vertical="center"/>
    </xf>
    <xf numFmtId="43" fontId="3" fillId="0" borderId="0" xfId="0" applyNumberFormat="1" applyFont="1" applyBorder="1" applyAlignment="1">
      <alignment horizontal="center" vertical="center"/>
    </xf>
    <xf numFmtId="165" fontId="3" fillId="0" borderId="7" xfId="1" applyNumberFormat="1" applyFont="1" applyBorder="1" applyAlignment="1">
      <alignment vertical="center"/>
    </xf>
    <xf numFmtId="165" fontId="3" fillId="0" borderId="7" xfId="1" applyNumberFormat="1" applyFont="1" applyBorder="1" applyAlignment="1">
      <alignment horizontal="center" vertical="center"/>
    </xf>
    <xf numFmtId="165" fontId="3" fillId="0" borderId="2" xfId="1" applyNumberFormat="1" applyFont="1" applyBorder="1" applyAlignment="1">
      <alignment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18" xfId="1" applyNumberFormat="1" applyFont="1" applyBorder="1" applyAlignment="1">
      <alignment vertical="center"/>
    </xf>
    <xf numFmtId="165" fontId="3" fillId="0" borderId="19" xfId="1" applyNumberFormat="1" applyFont="1" applyBorder="1" applyAlignment="1">
      <alignment horizontal="center" vertical="center"/>
    </xf>
    <xf numFmtId="165" fontId="3" fillId="0" borderId="38" xfId="1" applyNumberFormat="1" applyFont="1" applyBorder="1" applyAlignment="1">
      <alignment vertical="center"/>
    </xf>
    <xf numFmtId="165" fontId="3" fillId="0" borderId="26" xfId="1" applyNumberFormat="1" applyFont="1" applyBorder="1" applyAlignment="1">
      <alignment horizontal="center" vertical="center"/>
    </xf>
    <xf numFmtId="165" fontId="3" fillId="0" borderId="27" xfId="1" applyNumberFormat="1" applyFont="1" applyBorder="1" applyAlignment="1">
      <alignment horizontal="center" vertical="center"/>
    </xf>
    <xf numFmtId="165" fontId="3" fillId="0" borderId="25" xfId="1" applyNumberFormat="1" applyFont="1" applyBorder="1" applyAlignment="1">
      <alignment horizontal="center" vertical="center"/>
    </xf>
    <xf numFmtId="165" fontId="3" fillId="0" borderId="25" xfId="1" applyNumberFormat="1" applyFont="1" applyBorder="1" applyAlignment="1">
      <alignment vertical="center"/>
    </xf>
    <xf numFmtId="165" fontId="3" fillId="0" borderId="26" xfId="1" applyNumberFormat="1" applyFont="1" applyBorder="1" applyAlignment="1">
      <alignment vertical="center"/>
    </xf>
    <xf numFmtId="165" fontId="3" fillId="0" borderId="16" xfId="1" applyNumberFormat="1" applyFont="1" applyBorder="1" applyAlignment="1">
      <alignment vertical="center"/>
    </xf>
    <xf numFmtId="165" fontId="3" fillId="0" borderId="6" xfId="1" applyNumberFormat="1" applyFont="1" applyBorder="1" applyAlignment="1">
      <alignment horizontal="center" vertical="center"/>
    </xf>
    <xf numFmtId="165" fontId="3" fillId="0" borderId="17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28" xfId="0" applyFont="1" applyBorder="1" applyAlignment="1">
      <alignment horizontal="right" vertical="center"/>
    </xf>
    <xf numFmtId="0" fontId="5" fillId="0" borderId="29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164" fontId="5" fillId="0" borderId="21" xfId="0" applyNumberFormat="1" applyFont="1" applyBorder="1" applyAlignment="1">
      <alignment horizontal="center" vertical="center"/>
    </xf>
    <xf numFmtId="164" fontId="5" fillId="0" borderId="30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37B3-067C-4329-B56E-4BA57DAF8FE6}">
  <dimension ref="A1:T5052"/>
  <sheetViews>
    <sheetView workbookViewId="0">
      <selection activeCell="F30" sqref="F30"/>
    </sheetView>
  </sheetViews>
  <sheetFormatPr defaultRowHeight="16.5" customHeight="1" x14ac:dyDescent="0.25"/>
  <cols>
    <col min="1" max="1" width="3.85546875" style="1" customWidth="1"/>
    <col min="2" max="2" width="4.140625" style="1" bestFit="1" customWidth="1"/>
    <col min="3" max="3" width="19.85546875" style="1" bestFit="1" customWidth="1"/>
    <col min="4" max="4" width="8.7109375" style="1" bestFit="1" customWidth="1"/>
    <col min="5" max="5" width="9.85546875" style="2" bestFit="1" customWidth="1"/>
    <col min="6" max="6" width="15.7109375" style="2" bestFit="1" customWidth="1"/>
    <col min="7" max="7" width="8.7109375" style="2" bestFit="1" customWidth="1"/>
    <col min="8" max="8" width="10.5703125" style="2" customWidth="1"/>
    <col min="9" max="9" width="15.140625" style="1" bestFit="1" customWidth="1"/>
    <col min="10" max="10" width="8.7109375" style="1" bestFit="1" customWidth="1"/>
    <col min="11" max="11" width="12.28515625" style="1" customWidth="1"/>
    <col min="12" max="12" width="13.140625" style="1" customWidth="1"/>
    <col min="13" max="13" width="13" style="1" customWidth="1"/>
    <col min="14" max="14" width="7.5703125" style="1" bestFit="1" customWidth="1"/>
    <col min="15" max="15" width="11.5703125" style="1" bestFit="1" customWidth="1"/>
    <col min="16" max="16" width="8.7109375" style="1" bestFit="1" customWidth="1"/>
    <col min="17" max="17" width="14" style="1" bestFit="1" customWidth="1"/>
    <col min="18" max="18" width="13.5703125" style="1" customWidth="1"/>
    <col min="19" max="19" width="8.7109375" style="1" bestFit="1" customWidth="1"/>
    <col min="20" max="20" width="23.140625" style="1" bestFit="1" customWidth="1"/>
    <col min="21" max="16384" width="9.140625" style="1"/>
  </cols>
  <sheetData>
    <row r="1" spans="1:18" s="24" customFormat="1" ht="16.5" customHeight="1" x14ac:dyDescent="0.25">
      <c r="A1" s="176" t="s">
        <v>26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86"/>
    </row>
    <row r="2" spans="1:18" s="24" customFormat="1" ht="24" customHeight="1" x14ac:dyDescent="0.25">
      <c r="A2" s="176" t="s">
        <v>46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86"/>
    </row>
    <row r="3" spans="1:18" ht="8.25" customHeight="1" x14ac:dyDescent="0.25"/>
    <row r="4" spans="1:18" s="12" customFormat="1" ht="21.75" thickBot="1" x14ac:dyDescent="0.3">
      <c r="A4" s="12" t="s">
        <v>27</v>
      </c>
      <c r="L4" s="13"/>
      <c r="M4" s="13"/>
      <c r="N4" s="13"/>
      <c r="O4" s="13"/>
      <c r="P4" s="13"/>
      <c r="Q4" s="13"/>
      <c r="R4" s="13"/>
    </row>
    <row r="5" spans="1:18" s="15" customFormat="1" ht="16.5" customHeight="1" x14ac:dyDescent="0.25">
      <c r="B5" s="194" t="s">
        <v>0</v>
      </c>
      <c r="C5" s="162" t="s">
        <v>38</v>
      </c>
      <c r="D5" s="160" t="s">
        <v>25</v>
      </c>
      <c r="E5" s="161"/>
      <c r="F5" s="162"/>
      <c r="G5" s="160" t="s">
        <v>1</v>
      </c>
      <c r="H5" s="161"/>
      <c r="I5" s="162"/>
      <c r="J5" s="160" t="s">
        <v>3</v>
      </c>
      <c r="K5" s="161"/>
      <c r="L5" s="162"/>
      <c r="M5" s="192" t="s">
        <v>28</v>
      </c>
      <c r="N5" s="192"/>
      <c r="O5" s="193"/>
    </row>
    <row r="6" spans="1:18" s="15" customFormat="1" ht="16.5" customHeight="1" thickBot="1" x14ac:dyDescent="0.3">
      <c r="B6" s="195"/>
      <c r="C6" s="163"/>
      <c r="D6" s="29" t="s">
        <v>18</v>
      </c>
      <c r="E6" s="14" t="s">
        <v>16</v>
      </c>
      <c r="F6" s="43" t="s">
        <v>5</v>
      </c>
      <c r="G6" s="29" t="s">
        <v>18</v>
      </c>
      <c r="H6" s="14" t="s">
        <v>16</v>
      </c>
      <c r="I6" s="43" t="s">
        <v>5</v>
      </c>
      <c r="J6" s="29" t="s">
        <v>18</v>
      </c>
      <c r="K6" s="14" t="s">
        <v>16</v>
      </c>
      <c r="L6" s="43" t="s">
        <v>5</v>
      </c>
      <c r="M6" s="29" t="s">
        <v>18</v>
      </c>
      <c r="N6" s="169" t="s">
        <v>5</v>
      </c>
      <c r="O6" s="170"/>
    </row>
    <row r="7" spans="1:18" ht="16.5" customHeight="1" thickTop="1" x14ac:dyDescent="0.25">
      <c r="B7" s="16">
        <v>1</v>
      </c>
      <c r="C7" s="40" t="s">
        <v>17</v>
      </c>
      <c r="D7" s="6">
        <v>6</v>
      </c>
      <c r="E7" s="4">
        <v>650000</v>
      </c>
      <c r="F7" s="17">
        <f>D7*E7</f>
        <v>3900000</v>
      </c>
      <c r="G7" s="6"/>
      <c r="H7" s="4"/>
      <c r="I7" s="17">
        <f>G7*H7</f>
        <v>0</v>
      </c>
      <c r="J7" s="6"/>
      <c r="K7" s="4"/>
      <c r="L7" s="17">
        <f>J7*K7</f>
        <v>0</v>
      </c>
      <c r="M7" s="6">
        <f>D7+G7-J7</f>
        <v>6</v>
      </c>
      <c r="N7" s="190">
        <f>F7+I7-L7</f>
        <v>3900000</v>
      </c>
      <c r="O7" s="191"/>
    </row>
    <row r="8" spans="1:18" ht="16.5" customHeight="1" x14ac:dyDescent="0.25">
      <c r="B8" s="18">
        <v>2</v>
      </c>
      <c r="C8" s="41" t="s">
        <v>20</v>
      </c>
      <c r="D8" s="9">
        <v>24</v>
      </c>
      <c r="E8" s="7">
        <v>130000</v>
      </c>
      <c r="F8" s="19">
        <f t="shared" ref="F8:F11" si="0">D8*E8</f>
        <v>3120000</v>
      </c>
      <c r="G8" s="9"/>
      <c r="H8" s="7"/>
      <c r="I8" s="19">
        <f t="shared" ref="I8:I11" si="1">G8*H8</f>
        <v>0</v>
      </c>
      <c r="J8" s="9"/>
      <c r="K8" s="7"/>
      <c r="L8" s="19">
        <f>J8*K8</f>
        <v>0</v>
      </c>
      <c r="M8" s="6">
        <f t="shared" ref="M8:M11" si="2">D8+G8-J8</f>
        <v>24</v>
      </c>
      <c r="N8" s="164">
        <f t="shared" ref="N8:N11" si="3">F8+I8-L8</f>
        <v>3120000</v>
      </c>
      <c r="O8" s="165"/>
    </row>
    <row r="9" spans="1:18" ht="16.5" customHeight="1" x14ac:dyDescent="0.25">
      <c r="B9" s="18">
        <v>3</v>
      </c>
      <c r="C9" s="27" t="s">
        <v>19</v>
      </c>
      <c r="D9" s="9">
        <v>32</v>
      </c>
      <c r="E9" s="7">
        <v>125000</v>
      </c>
      <c r="F9" s="19">
        <f t="shared" si="0"/>
        <v>4000000</v>
      </c>
      <c r="G9" s="9"/>
      <c r="H9" s="7"/>
      <c r="I9" s="19">
        <f t="shared" si="1"/>
        <v>0</v>
      </c>
      <c r="J9" s="9"/>
      <c r="K9" s="7"/>
      <c r="L9" s="19">
        <f t="shared" ref="L9:L11" si="4">J9*K9</f>
        <v>0</v>
      </c>
      <c r="M9" s="6">
        <f t="shared" si="2"/>
        <v>32</v>
      </c>
      <c r="N9" s="164">
        <f>F9+I9-L9</f>
        <v>4000000</v>
      </c>
      <c r="O9" s="165"/>
    </row>
    <row r="10" spans="1:18" ht="16.5" customHeight="1" x14ac:dyDescent="0.25">
      <c r="B10" s="18">
        <v>4</v>
      </c>
      <c r="C10" s="27" t="s">
        <v>21</v>
      </c>
      <c r="D10" s="9">
        <v>85</v>
      </c>
      <c r="E10" s="7">
        <v>15000</v>
      </c>
      <c r="F10" s="19">
        <f t="shared" si="0"/>
        <v>1275000</v>
      </c>
      <c r="G10" s="9"/>
      <c r="H10" s="7"/>
      <c r="I10" s="19">
        <f t="shared" si="1"/>
        <v>0</v>
      </c>
      <c r="J10" s="9"/>
      <c r="K10" s="7"/>
      <c r="L10" s="19">
        <f t="shared" si="4"/>
        <v>0</v>
      </c>
      <c r="M10" s="6">
        <f t="shared" si="2"/>
        <v>85</v>
      </c>
      <c r="N10" s="164">
        <f t="shared" si="3"/>
        <v>1275000</v>
      </c>
      <c r="O10" s="165"/>
    </row>
    <row r="11" spans="1:18" ht="16.5" customHeight="1" thickBot="1" x14ac:dyDescent="0.3">
      <c r="B11" s="33">
        <v>5</v>
      </c>
      <c r="C11" s="42" t="s">
        <v>22</v>
      </c>
      <c r="D11" s="44">
        <v>175</v>
      </c>
      <c r="E11" s="34">
        <v>50000</v>
      </c>
      <c r="F11" s="35">
        <f t="shared" si="0"/>
        <v>8750000</v>
      </c>
      <c r="G11" s="44"/>
      <c r="H11" s="34"/>
      <c r="I11" s="35">
        <f t="shared" si="1"/>
        <v>0</v>
      </c>
      <c r="J11" s="44"/>
      <c r="K11" s="34"/>
      <c r="L11" s="35">
        <f t="shared" si="4"/>
        <v>0</v>
      </c>
      <c r="M11" s="44">
        <f t="shared" si="2"/>
        <v>175</v>
      </c>
      <c r="N11" s="186">
        <f t="shared" si="3"/>
        <v>8750000</v>
      </c>
      <c r="O11" s="187"/>
    </row>
    <row r="12" spans="1:18" s="15" customFormat="1" ht="16.5" customHeight="1" thickBot="1" x14ac:dyDescent="0.3">
      <c r="B12" s="172" t="s">
        <v>7</v>
      </c>
      <c r="C12" s="173"/>
      <c r="D12" s="45"/>
      <c r="E12" s="46"/>
      <c r="F12" s="47">
        <f>SUM(F7:F11)</f>
        <v>21045000</v>
      </c>
      <c r="G12" s="48"/>
      <c r="H12" s="49"/>
      <c r="I12" s="47">
        <f>SUM(I7:I11)</f>
        <v>0</v>
      </c>
      <c r="J12" s="45">
        <f>SUM(J7:J11)</f>
        <v>0</v>
      </c>
      <c r="K12" s="46">
        <f>SUM(K7:K11)</f>
        <v>0</v>
      </c>
      <c r="L12" s="47">
        <f>SUM(L7:L11)</f>
        <v>0</v>
      </c>
      <c r="M12" s="21"/>
      <c r="N12" s="188">
        <f>SUM(N7:N11)</f>
        <v>21045000</v>
      </c>
      <c r="O12" s="189"/>
    </row>
    <row r="13" spans="1:18" ht="14.25" customHeight="1" x14ac:dyDescent="0.25"/>
    <row r="14" spans="1:18" ht="21.75" thickBot="1" x14ac:dyDescent="0.3">
      <c r="A14" s="12" t="s">
        <v>42</v>
      </c>
      <c r="D14" s="2"/>
      <c r="H14" s="1"/>
    </row>
    <row r="15" spans="1:18" s="37" customFormat="1" ht="13.5" customHeight="1" x14ac:dyDescent="0.25">
      <c r="B15" s="184" t="s">
        <v>0</v>
      </c>
      <c r="C15" s="182" t="s">
        <v>40</v>
      </c>
      <c r="D15" s="179" t="s">
        <v>8</v>
      </c>
      <c r="E15" s="180"/>
      <c r="F15" s="181"/>
      <c r="G15" s="179" t="s">
        <v>35</v>
      </c>
      <c r="H15" s="180"/>
      <c r="I15" s="181"/>
      <c r="J15" s="179" t="s">
        <v>36</v>
      </c>
      <c r="K15" s="180"/>
      <c r="L15" s="181"/>
      <c r="M15" s="179" t="s">
        <v>34</v>
      </c>
      <c r="N15" s="180"/>
      <c r="O15" s="181"/>
      <c r="P15" s="179" t="s">
        <v>2</v>
      </c>
      <c r="Q15" s="181"/>
    </row>
    <row r="16" spans="1:18" s="37" customFormat="1" ht="13.5" customHeight="1" thickBot="1" x14ac:dyDescent="0.3">
      <c r="B16" s="185"/>
      <c r="C16" s="183"/>
      <c r="D16" s="56" t="s">
        <v>4</v>
      </c>
      <c r="E16" s="57" t="s">
        <v>16</v>
      </c>
      <c r="F16" s="58" t="s">
        <v>5</v>
      </c>
      <c r="G16" s="56" t="s">
        <v>4</v>
      </c>
      <c r="H16" s="57" t="s">
        <v>16</v>
      </c>
      <c r="I16" s="59" t="s">
        <v>5</v>
      </c>
      <c r="J16" s="56" t="s">
        <v>4</v>
      </c>
      <c r="K16" s="57" t="s">
        <v>16</v>
      </c>
      <c r="L16" s="58" t="s">
        <v>5</v>
      </c>
      <c r="M16" s="56" t="s">
        <v>4</v>
      </c>
      <c r="N16" s="57" t="s">
        <v>16</v>
      </c>
      <c r="O16" s="58" t="s">
        <v>5</v>
      </c>
      <c r="P16" s="56" t="s">
        <v>4</v>
      </c>
      <c r="Q16" s="60" t="s">
        <v>5</v>
      </c>
    </row>
    <row r="17" spans="1:20" ht="16.5" customHeight="1" x14ac:dyDescent="0.25">
      <c r="B17" s="50">
        <v>1</v>
      </c>
      <c r="C17" s="52" t="s">
        <v>29</v>
      </c>
      <c r="D17" s="6"/>
      <c r="E17" s="4"/>
      <c r="F17" s="17">
        <f>D17*E17</f>
        <v>0</v>
      </c>
      <c r="G17" s="6">
        <v>4150</v>
      </c>
      <c r="H17" s="4">
        <v>3900</v>
      </c>
      <c r="I17" s="17">
        <f>G17*H17</f>
        <v>16185000</v>
      </c>
      <c r="J17" s="6">
        <v>2250</v>
      </c>
      <c r="K17" s="4">
        <v>3900</v>
      </c>
      <c r="L17" s="5">
        <f>J17*K17</f>
        <v>8775000</v>
      </c>
      <c r="M17" s="61"/>
      <c r="N17" s="62"/>
      <c r="O17" s="63">
        <f>M17*N17</f>
        <v>0</v>
      </c>
      <c r="P17" s="6">
        <f t="shared" ref="P17:P22" si="5">G17+D17+J17+M17</f>
        <v>6400</v>
      </c>
      <c r="Q17" s="17">
        <f t="shared" ref="Q17:Q22" si="6">I17+F17+L17+O17</f>
        <v>24960000</v>
      </c>
    </row>
    <row r="18" spans="1:20" ht="16.5" customHeight="1" x14ac:dyDescent="0.25">
      <c r="B18" s="50">
        <v>2</v>
      </c>
      <c r="C18" s="53" t="s">
        <v>24</v>
      </c>
      <c r="D18" s="9">
        <v>7</v>
      </c>
      <c r="E18" s="7">
        <v>30000</v>
      </c>
      <c r="F18" s="19">
        <f>D18*E18</f>
        <v>210000</v>
      </c>
      <c r="G18" s="9">
        <v>8</v>
      </c>
      <c r="H18" s="7">
        <v>30000</v>
      </c>
      <c r="I18" s="19">
        <f>G18*H18</f>
        <v>240000</v>
      </c>
      <c r="J18" s="9"/>
      <c r="K18" s="7"/>
      <c r="L18" s="11">
        <f>J18*K18</f>
        <v>0</v>
      </c>
      <c r="M18" s="26"/>
      <c r="N18" s="7"/>
      <c r="O18" s="19">
        <f>M18*N18</f>
        <v>0</v>
      </c>
      <c r="P18" s="9">
        <f t="shared" si="5"/>
        <v>15</v>
      </c>
      <c r="Q18" s="19">
        <f t="shared" si="6"/>
        <v>450000</v>
      </c>
    </row>
    <row r="19" spans="1:20" ht="16.5" customHeight="1" x14ac:dyDescent="0.25">
      <c r="B19" s="50">
        <v>3</v>
      </c>
      <c r="C19" s="53" t="s">
        <v>6</v>
      </c>
      <c r="D19" s="9">
        <v>15</v>
      </c>
      <c r="E19" s="7">
        <v>25000</v>
      </c>
      <c r="F19" s="19">
        <f>D19*E19</f>
        <v>375000</v>
      </c>
      <c r="G19" s="9"/>
      <c r="H19" s="7">
        <v>25000</v>
      </c>
      <c r="I19" s="19">
        <f>G19*H19</f>
        <v>0</v>
      </c>
      <c r="J19" s="9"/>
      <c r="K19" s="7"/>
      <c r="L19" s="11">
        <f>J19*K19</f>
        <v>0</v>
      </c>
      <c r="M19" s="26"/>
      <c r="N19" s="7"/>
      <c r="O19" s="19">
        <f t="shared" ref="O19" si="7">M19*N19</f>
        <v>0</v>
      </c>
      <c r="P19" s="9">
        <f t="shared" si="5"/>
        <v>15</v>
      </c>
      <c r="Q19" s="19">
        <f t="shared" si="6"/>
        <v>375000</v>
      </c>
    </row>
    <row r="20" spans="1:20" ht="16.5" customHeight="1" x14ac:dyDescent="0.25">
      <c r="B20" s="50">
        <v>4</v>
      </c>
      <c r="C20" s="53" t="s">
        <v>31</v>
      </c>
      <c r="D20" s="9">
        <v>23500</v>
      </c>
      <c r="E20" s="7">
        <v>4000</v>
      </c>
      <c r="F20" s="19">
        <f>D20*E20</f>
        <v>94000000</v>
      </c>
      <c r="G20" s="9">
        <v>20850</v>
      </c>
      <c r="H20" s="7">
        <v>4000</v>
      </c>
      <c r="I20" s="19">
        <f>G20*H20</f>
        <v>83400000</v>
      </c>
      <c r="J20" s="9">
        <v>11150</v>
      </c>
      <c r="K20" s="7">
        <v>4000</v>
      </c>
      <c r="L20" s="11">
        <f>J20*K20</f>
        <v>44600000</v>
      </c>
      <c r="M20" s="26">
        <v>500</v>
      </c>
      <c r="N20" s="7">
        <v>4000</v>
      </c>
      <c r="O20" s="19">
        <f>M20*N20</f>
        <v>2000000</v>
      </c>
      <c r="P20" s="9">
        <f t="shared" si="5"/>
        <v>56000</v>
      </c>
      <c r="Q20" s="19">
        <f t="shared" si="6"/>
        <v>224000000</v>
      </c>
      <c r="T20" s="106"/>
    </row>
    <row r="21" spans="1:20" ht="16.5" customHeight="1" x14ac:dyDescent="0.25">
      <c r="B21" s="81">
        <v>5</v>
      </c>
      <c r="C21" s="53" t="s">
        <v>32</v>
      </c>
      <c r="D21" s="9">
        <v>2150</v>
      </c>
      <c r="E21" s="7">
        <v>4200</v>
      </c>
      <c r="F21" s="19">
        <f t="shared" ref="F21" si="8">D21*E21</f>
        <v>9030000</v>
      </c>
      <c r="G21" s="9"/>
      <c r="H21" s="7"/>
      <c r="I21" s="19">
        <f t="shared" ref="I21" si="9">G21*H21</f>
        <v>0</v>
      </c>
      <c r="J21" s="9"/>
      <c r="K21" s="7"/>
      <c r="L21" s="11">
        <f t="shared" ref="L21" si="10">J21*K21</f>
        <v>0</v>
      </c>
      <c r="M21" s="26"/>
      <c r="N21" s="7"/>
      <c r="O21" s="19">
        <f>M21*N21</f>
        <v>0</v>
      </c>
      <c r="P21" s="9">
        <f t="shared" si="5"/>
        <v>2150</v>
      </c>
      <c r="Q21" s="19">
        <f t="shared" si="6"/>
        <v>9030000</v>
      </c>
      <c r="T21" s="106"/>
    </row>
    <row r="22" spans="1:20" ht="16.5" customHeight="1" thickBot="1" x14ac:dyDescent="0.3">
      <c r="B22" s="51">
        <v>6</v>
      </c>
      <c r="C22" s="109" t="s">
        <v>52</v>
      </c>
      <c r="D22" s="110">
        <v>950</v>
      </c>
      <c r="E22" s="111">
        <v>4400</v>
      </c>
      <c r="F22" s="112">
        <f t="shared" ref="F22" si="11">D22*E22</f>
        <v>4180000</v>
      </c>
      <c r="G22" s="110"/>
      <c r="H22" s="111"/>
      <c r="I22" s="112">
        <f t="shared" ref="I22" si="12">G22*H22</f>
        <v>0</v>
      </c>
      <c r="J22" s="110"/>
      <c r="K22" s="111"/>
      <c r="L22" s="113">
        <f t="shared" ref="L22" si="13">J22*K22</f>
        <v>0</v>
      </c>
      <c r="M22" s="114"/>
      <c r="N22" s="111"/>
      <c r="O22" s="35">
        <f>M22*N22</f>
        <v>0</v>
      </c>
      <c r="P22" s="110">
        <f t="shared" si="5"/>
        <v>950</v>
      </c>
      <c r="Q22" s="112">
        <f t="shared" si="6"/>
        <v>4180000</v>
      </c>
      <c r="T22" s="106"/>
    </row>
    <row r="23" spans="1:20" s="15" customFormat="1" ht="16.5" customHeight="1" thickBot="1" x14ac:dyDescent="0.3">
      <c r="B23" s="177" t="s">
        <v>9</v>
      </c>
      <c r="C23" s="178"/>
      <c r="D23" s="55">
        <f>SUM(D17:D22)</f>
        <v>26622</v>
      </c>
      <c r="E23" s="20"/>
      <c r="F23" s="55">
        <f>SUM(F17:F22)</f>
        <v>107795000</v>
      </c>
      <c r="G23" s="55">
        <f>SUM(G17:G22)</f>
        <v>25008</v>
      </c>
      <c r="H23" s="20"/>
      <c r="I23" s="55">
        <f>SUM(I17:I22)</f>
        <v>99825000</v>
      </c>
      <c r="J23" s="55">
        <f>SUM(J17:J22)</f>
        <v>13400</v>
      </c>
      <c r="K23" s="20"/>
      <c r="L23" s="55">
        <f>SUM(L17:L22)</f>
        <v>53375000</v>
      </c>
      <c r="M23" s="55">
        <f>SUM(M17:M22)</f>
        <v>500</v>
      </c>
      <c r="N23" s="20"/>
      <c r="O23" s="55">
        <f>SUM(O17:O22)</f>
        <v>2000000</v>
      </c>
      <c r="P23" s="55">
        <f>SUM(P17:P22)</f>
        <v>65530</v>
      </c>
      <c r="Q23" s="84">
        <f>SUM(Q17:Q22)</f>
        <v>262995000</v>
      </c>
      <c r="T23" s="107"/>
    </row>
    <row r="24" spans="1:20" s="15" customFormat="1" ht="16.5" customHeight="1" x14ac:dyDescent="0.25">
      <c r="B24" s="25"/>
      <c r="C24" s="2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T24" s="107"/>
    </row>
    <row r="25" spans="1:20" s="15" customFormat="1" ht="16.5" customHeight="1" x14ac:dyDescent="0.25">
      <c r="B25" s="25"/>
      <c r="C25" s="2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T25" s="107"/>
    </row>
    <row r="26" spans="1:20" s="12" customFormat="1" ht="21.75" thickBot="1" x14ac:dyDescent="0.3">
      <c r="A26" s="12" t="s">
        <v>43</v>
      </c>
      <c r="E26" s="13"/>
      <c r="F26" s="13"/>
      <c r="G26" s="13"/>
      <c r="H26" s="12" t="s">
        <v>39</v>
      </c>
      <c r="L26" s="13"/>
      <c r="M26" s="13"/>
      <c r="N26" s="13"/>
      <c r="O26" s="13"/>
      <c r="T26" s="108"/>
    </row>
    <row r="27" spans="1:20" s="64" customFormat="1" ht="32.25" thickBot="1" x14ac:dyDescent="0.3">
      <c r="B27" s="38" t="s">
        <v>0</v>
      </c>
      <c r="C27" s="39" t="s">
        <v>40</v>
      </c>
      <c r="D27" s="39" t="s">
        <v>4</v>
      </c>
      <c r="E27" s="39" t="s">
        <v>16</v>
      </c>
      <c r="F27" s="87" t="s">
        <v>5</v>
      </c>
      <c r="H27" s="65" t="s">
        <v>0</v>
      </c>
      <c r="I27" s="30" t="s">
        <v>40</v>
      </c>
      <c r="J27" s="67" t="s">
        <v>25</v>
      </c>
      <c r="K27" s="67" t="s">
        <v>1</v>
      </c>
      <c r="L27" s="67" t="s">
        <v>37</v>
      </c>
      <c r="M27" s="67" t="s">
        <v>3</v>
      </c>
      <c r="N27" s="67" t="s">
        <v>44</v>
      </c>
      <c r="O27" s="67" t="s">
        <v>49</v>
      </c>
      <c r="P27" s="30" t="s">
        <v>16</v>
      </c>
      <c r="Q27" s="67" t="s">
        <v>45</v>
      </c>
    </row>
    <row r="28" spans="1:20" ht="16.5" customHeight="1" x14ac:dyDescent="0.25">
      <c r="B28" s="16">
        <v>1</v>
      </c>
      <c r="C28" s="32" t="s">
        <v>29</v>
      </c>
      <c r="D28" s="4">
        <v>0</v>
      </c>
      <c r="E28" s="4"/>
      <c r="F28" s="17">
        <f>D28*E28</f>
        <v>0</v>
      </c>
      <c r="G28" s="1"/>
      <c r="H28" s="50">
        <v>1</v>
      </c>
      <c r="I28" s="52" t="s">
        <v>41</v>
      </c>
      <c r="J28" s="68">
        <v>7850</v>
      </c>
      <c r="K28" s="68">
        <f>D28</f>
        <v>0</v>
      </c>
      <c r="L28" s="68">
        <f>SUM(J28:K28)</f>
        <v>7850</v>
      </c>
      <c r="M28" s="73">
        <f>P17</f>
        <v>6400</v>
      </c>
      <c r="N28" s="52">
        <v>100</v>
      </c>
      <c r="O28" s="100">
        <f>L28-M28-N28</f>
        <v>1350</v>
      </c>
      <c r="P28" s="76">
        <v>3900</v>
      </c>
      <c r="Q28" s="103">
        <f>O28*P28</f>
        <v>5265000</v>
      </c>
    </row>
    <row r="29" spans="1:20" ht="16.5" customHeight="1" x14ac:dyDescent="0.25">
      <c r="B29" s="18">
        <v>2</v>
      </c>
      <c r="C29" s="10" t="s">
        <v>24</v>
      </c>
      <c r="D29" s="7">
        <v>56</v>
      </c>
      <c r="E29" s="7">
        <v>25000</v>
      </c>
      <c r="F29" s="19">
        <f>D29*E29</f>
        <v>1400000</v>
      </c>
      <c r="G29" s="1"/>
      <c r="H29" s="81">
        <v>2</v>
      </c>
      <c r="I29" s="53" t="s">
        <v>24</v>
      </c>
      <c r="J29" s="69">
        <v>0</v>
      </c>
      <c r="K29" s="69">
        <f>D29</f>
        <v>56</v>
      </c>
      <c r="L29" s="69">
        <f>SUM(J29:K29)</f>
        <v>56</v>
      </c>
      <c r="M29" s="74">
        <f>P18</f>
        <v>15</v>
      </c>
      <c r="N29" s="53">
        <v>0</v>
      </c>
      <c r="O29" s="101">
        <f>L29-M29-N29</f>
        <v>41</v>
      </c>
      <c r="P29" s="77">
        <v>30000</v>
      </c>
      <c r="Q29" s="104">
        <f t="shared" ref="Q29:Q30" si="14">O29*P29</f>
        <v>1230000</v>
      </c>
    </row>
    <row r="30" spans="1:20" ht="16.5" customHeight="1" x14ac:dyDescent="0.25">
      <c r="B30" s="18">
        <v>3</v>
      </c>
      <c r="C30" s="10" t="s">
        <v>6</v>
      </c>
      <c r="D30" s="7">
        <v>300</v>
      </c>
      <c r="E30" s="7">
        <v>22000</v>
      </c>
      <c r="F30" s="19">
        <f>D30*E30</f>
        <v>6600000</v>
      </c>
      <c r="G30" s="1"/>
      <c r="H30" s="81">
        <v>3</v>
      </c>
      <c r="I30" s="53" t="s">
        <v>6</v>
      </c>
      <c r="J30" s="69">
        <v>18</v>
      </c>
      <c r="K30" s="69">
        <f>D30</f>
        <v>300</v>
      </c>
      <c r="L30" s="69">
        <f>SUM(J30:K30)</f>
        <v>318</v>
      </c>
      <c r="M30" s="74">
        <f>P19</f>
        <v>15</v>
      </c>
      <c r="N30" s="53">
        <v>0</v>
      </c>
      <c r="O30" s="101">
        <f>L30-M30-N30</f>
        <v>303</v>
      </c>
      <c r="P30" s="77">
        <v>25000</v>
      </c>
      <c r="Q30" s="104">
        <f t="shared" si="14"/>
        <v>7575000</v>
      </c>
    </row>
    <row r="31" spans="1:20" ht="16.5" customHeight="1" thickBot="1" x14ac:dyDescent="0.3">
      <c r="B31" s="18">
        <v>4</v>
      </c>
      <c r="C31" s="31" t="s">
        <v>30</v>
      </c>
      <c r="D31" s="7">
        <v>32000</v>
      </c>
      <c r="E31" s="7">
        <v>4200</v>
      </c>
      <c r="F31" s="19">
        <f>D31*E31</f>
        <v>134400000</v>
      </c>
      <c r="G31" s="1"/>
      <c r="H31" s="82">
        <v>4</v>
      </c>
      <c r="I31" s="66" t="s">
        <v>15</v>
      </c>
      <c r="J31" s="71">
        <v>36500</v>
      </c>
      <c r="K31" s="71">
        <f>D31+D32</f>
        <v>72000</v>
      </c>
      <c r="L31" s="72">
        <f>SUM(J31:K31)</f>
        <v>108500</v>
      </c>
      <c r="M31" s="75">
        <f>P20+P22+P21</f>
        <v>59100</v>
      </c>
      <c r="N31" s="54">
        <v>350</v>
      </c>
      <c r="O31" s="102">
        <f>L31-M31-N31</f>
        <v>49050</v>
      </c>
      <c r="P31" s="72">
        <v>4000</v>
      </c>
      <c r="Q31" s="105">
        <f>O31*P31</f>
        <v>196200000</v>
      </c>
    </row>
    <row r="32" spans="1:20" ht="16.5" customHeight="1" thickBot="1" x14ac:dyDescent="0.3">
      <c r="B32" s="18">
        <v>5</v>
      </c>
      <c r="C32" s="31" t="s">
        <v>23</v>
      </c>
      <c r="D32" s="7">
        <v>40000</v>
      </c>
      <c r="E32" s="7">
        <v>3960</v>
      </c>
      <c r="F32" s="19">
        <f>D32*E32</f>
        <v>158400000</v>
      </c>
      <c r="G32" s="1"/>
      <c r="H32" s="174"/>
      <c r="I32" s="175"/>
      <c r="J32" s="78"/>
      <c r="K32" s="79"/>
      <c r="L32" s="78"/>
      <c r="M32" s="78"/>
      <c r="N32" s="78"/>
      <c r="O32" s="78" t="s">
        <v>2</v>
      </c>
      <c r="P32" s="78"/>
      <c r="Q32" s="83">
        <f>SUM(Q28:Q31)</f>
        <v>210270000</v>
      </c>
    </row>
    <row r="33" spans="1:13" s="15" customFormat="1" ht="16.5" customHeight="1" thickBot="1" x14ac:dyDescent="0.3">
      <c r="B33" s="166" t="s">
        <v>9</v>
      </c>
      <c r="C33" s="167"/>
      <c r="D33" s="20">
        <f>SUM(D28:D32)</f>
        <v>72356</v>
      </c>
      <c r="E33" s="20"/>
      <c r="F33" s="36">
        <f>SUM(F28:F32)</f>
        <v>300800000</v>
      </c>
    </row>
    <row r="34" spans="1:13" ht="16.5" customHeight="1" x14ac:dyDescent="0.25">
      <c r="D34" s="2"/>
      <c r="H34" s="1"/>
    </row>
    <row r="35" spans="1:13" ht="16.5" customHeight="1" x14ac:dyDescent="0.25">
      <c r="B35" s="8"/>
      <c r="C35" s="8"/>
      <c r="D35" s="2"/>
      <c r="E35" s="8"/>
      <c r="F35" s="8"/>
      <c r="G35" s="8"/>
      <c r="H35" s="8"/>
      <c r="I35" s="8"/>
      <c r="J35" s="8"/>
      <c r="K35" s="8" t="s">
        <v>33</v>
      </c>
      <c r="L35" s="8"/>
      <c r="M35" s="8"/>
    </row>
    <row r="36" spans="1:13" ht="16.5" customHeight="1" x14ac:dyDescent="0.25">
      <c r="D36" s="2"/>
      <c r="E36" s="8"/>
      <c r="F36" s="168" t="s">
        <v>10</v>
      </c>
      <c r="G36" s="168"/>
      <c r="H36" s="8"/>
      <c r="I36" s="8"/>
      <c r="J36" s="8" t="s">
        <v>14</v>
      </c>
      <c r="K36" s="168" t="s">
        <v>11</v>
      </c>
      <c r="L36" s="168"/>
      <c r="M36" s="8"/>
    </row>
    <row r="37" spans="1:13" ht="16.5" customHeight="1" x14ac:dyDescent="0.25">
      <c r="D37" s="2"/>
      <c r="E37" s="3"/>
      <c r="F37" s="3"/>
      <c r="G37" s="3"/>
      <c r="H37" s="8"/>
      <c r="I37" s="8"/>
      <c r="J37" s="8"/>
      <c r="K37" s="3"/>
      <c r="L37" s="3"/>
      <c r="M37" s="3"/>
    </row>
    <row r="38" spans="1:13" ht="16.5" customHeight="1" x14ac:dyDescent="0.25">
      <c r="D38" s="2"/>
      <c r="E38" s="8"/>
      <c r="F38" s="8"/>
      <c r="G38" s="8"/>
      <c r="H38" s="8"/>
      <c r="I38" s="8"/>
      <c r="J38" s="8"/>
      <c r="K38" s="8"/>
      <c r="L38" s="8"/>
      <c r="M38" s="23"/>
    </row>
    <row r="39" spans="1:13" ht="16.5" customHeight="1" x14ac:dyDescent="0.25">
      <c r="D39" s="2"/>
      <c r="E39" s="22"/>
      <c r="F39" s="22"/>
      <c r="G39" s="22"/>
      <c r="H39" s="8"/>
      <c r="I39" s="8"/>
      <c r="J39" s="8"/>
      <c r="K39" s="8"/>
      <c r="L39" s="8"/>
      <c r="M39" s="23"/>
    </row>
    <row r="40" spans="1:13" ht="16.5" customHeight="1" x14ac:dyDescent="0.25">
      <c r="D40" s="2"/>
      <c r="E40" s="8"/>
      <c r="F40" s="171" t="s">
        <v>12</v>
      </c>
      <c r="G40" s="171"/>
      <c r="H40" s="8"/>
      <c r="I40" s="8"/>
      <c r="J40" s="8"/>
      <c r="K40" s="171" t="s">
        <v>13</v>
      </c>
      <c r="L40" s="171"/>
      <c r="M40" s="8"/>
    </row>
    <row r="41" spans="1:13" ht="16.5" customHeight="1" x14ac:dyDescent="0.25">
      <c r="E41" s="3"/>
      <c r="F41" s="8"/>
      <c r="G41" s="8"/>
      <c r="H41" s="8"/>
      <c r="I41" s="8"/>
      <c r="J41" s="8"/>
      <c r="K41" s="8"/>
      <c r="L41" s="8"/>
      <c r="M41" s="8"/>
    </row>
    <row r="42" spans="1:13" ht="16.5" customHeight="1" x14ac:dyDescent="0.25">
      <c r="E42" s="3"/>
      <c r="F42" s="3"/>
      <c r="G42" s="3"/>
      <c r="H42" s="3"/>
      <c r="I42" s="8"/>
      <c r="J42" s="8"/>
      <c r="K42" s="8"/>
      <c r="L42" s="8"/>
      <c r="M42" s="8"/>
    </row>
    <row r="44" spans="1:13" ht="16.5" customHeight="1" x14ac:dyDescent="0.25">
      <c r="A44" s="15" t="s">
        <v>53</v>
      </c>
    </row>
    <row r="45" spans="1:13" ht="16.5" customHeight="1" x14ac:dyDescent="0.25">
      <c r="B45" s="116" t="s">
        <v>0</v>
      </c>
      <c r="C45" s="117" t="s">
        <v>40</v>
      </c>
      <c r="D45" s="10" t="s">
        <v>4</v>
      </c>
      <c r="E45" s="118" t="s">
        <v>16</v>
      </c>
      <c r="F45" s="118" t="s">
        <v>2</v>
      </c>
    </row>
    <row r="46" spans="1:13" ht="16.5" customHeight="1" x14ac:dyDescent="0.25">
      <c r="B46" s="118">
        <v>1</v>
      </c>
      <c r="C46" s="10" t="s">
        <v>29</v>
      </c>
      <c r="D46" s="10">
        <v>2600</v>
      </c>
      <c r="E46" s="118">
        <v>3900</v>
      </c>
      <c r="F46" s="119">
        <f>D46*E46</f>
        <v>10140000</v>
      </c>
    </row>
    <row r="47" spans="1:13" ht="16.5" customHeight="1" x14ac:dyDescent="0.25">
      <c r="B47" s="118">
        <v>2</v>
      </c>
      <c r="C47" s="10" t="s">
        <v>31</v>
      </c>
      <c r="D47" s="10"/>
      <c r="E47" s="118"/>
      <c r="F47" s="118"/>
    </row>
    <row r="48" spans="1:13" ht="16.5" customHeight="1" x14ac:dyDescent="0.25">
      <c r="B48" s="118"/>
      <c r="C48" s="10"/>
      <c r="D48" s="10"/>
      <c r="E48" s="118"/>
      <c r="F48" s="118"/>
    </row>
    <row r="49" spans="2:6" ht="16.5" customHeight="1" x14ac:dyDescent="0.25">
      <c r="B49" s="118"/>
      <c r="C49" s="10" t="s">
        <v>2</v>
      </c>
      <c r="D49" s="10"/>
      <c r="E49" s="118"/>
      <c r="F49" s="120">
        <f>SUM(F46:F48)</f>
        <v>10140000</v>
      </c>
    </row>
    <row r="5052" spans="7:7" ht="16.5" customHeight="1" x14ac:dyDescent="0.25">
      <c r="G5052" s="2">
        <v>9</v>
      </c>
    </row>
  </sheetData>
  <mergeCells count="30">
    <mergeCell ref="A1:Q1"/>
    <mergeCell ref="A2:Q2"/>
    <mergeCell ref="B23:C23"/>
    <mergeCell ref="D15:F15"/>
    <mergeCell ref="G15:I15"/>
    <mergeCell ref="J15:L15"/>
    <mergeCell ref="M15:O15"/>
    <mergeCell ref="P15:Q15"/>
    <mergeCell ref="C15:C16"/>
    <mergeCell ref="B15:B16"/>
    <mergeCell ref="N10:O10"/>
    <mergeCell ref="N11:O11"/>
    <mergeCell ref="N12:O12"/>
    <mergeCell ref="N7:O7"/>
    <mergeCell ref="M5:O5"/>
    <mergeCell ref="B5:B6"/>
    <mergeCell ref="N9:O9"/>
    <mergeCell ref="B33:C33"/>
    <mergeCell ref="K36:L36"/>
    <mergeCell ref="N6:O6"/>
    <mergeCell ref="K40:L40"/>
    <mergeCell ref="F36:G36"/>
    <mergeCell ref="F40:G40"/>
    <mergeCell ref="B12:C12"/>
    <mergeCell ref="H32:I32"/>
    <mergeCell ref="D5:F5"/>
    <mergeCell ref="G5:I5"/>
    <mergeCell ref="J5:L5"/>
    <mergeCell ref="C5:C6"/>
    <mergeCell ref="N8:O8"/>
  </mergeCells>
  <printOptions horizontalCentered="1" verticalCentered="1"/>
  <pageMargins left="0" right="0" top="0" bottom="0" header="0" footer="0"/>
  <pageSetup paperSize="10000" scale="8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289A-4638-47EE-94ED-A34984F8FD34}">
  <dimension ref="A1:T5055"/>
  <sheetViews>
    <sheetView topLeftCell="A9" workbookViewId="0">
      <selection activeCell="R40" sqref="R40"/>
    </sheetView>
  </sheetViews>
  <sheetFormatPr defaultRowHeight="16.5" customHeight="1" x14ac:dyDescent="0.25"/>
  <cols>
    <col min="1" max="1" width="3.85546875" style="1" customWidth="1"/>
    <col min="2" max="2" width="4.140625" style="1" bestFit="1" customWidth="1"/>
    <col min="3" max="3" width="19.85546875" style="1" bestFit="1" customWidth="1"/>
    <col min="4" max="4" width="8.7109375" style="1" bestFit="1" customWidth="1"/>
    <col min="5" max="5" width="9.85546875" style="2" bestFit="1" customWidth="1"/>
    <col min="6" max="6" width="15.7109375" style="2" bestFit="1" customWidth="1"/>
    <col min="7" max="7" width="8.7109375" style="2" bestFit="1" customWidth="1"/>
    <col min="8" max="8" width="9.140625" style="2" customWidth="1"/>
    <col min="9" max="9" width="15.140625" style="1" bestFit="1" customWidth="1"/>
    <col min="10" max="10" width="8.7109375" style="1" bestFit="1" customWidth="1"/>
    <col min="11" max="11" width="13.7109375" style="1" customWidth="1"/>
    <col min="12" max="12" width="14" style="1" bestFit="1" customWidth="1"/>
    <col min="13" max="13" width="12.28515625" style="1" customWidth="1"/>
    <col min="14" max="14" width="7.5703125" style="1" bestFit="1" customWidth="1"/>
    <col min="15" max="15" width="11.5703125" style="1" bestFit="1" customWidth="1"/>
    <col min="16" max="16" width="8.7109375" style="1" bestFit="1" customWidth="1"/>
    <col min="17" max="17" width="14" style="1" bestFit="1" customWidth="1"/>
    <col min="18" max="18" width="13.5703125" style="1" customWidth="1"/>
    <col min="19" max="19" width="8.7109375" style="1" bestFit="1" customWidth="1"/>
    <col min="20" max="20" width="14" style="1" bestFit="1" customWidth="1"/>
    <col min="21" max="16384" width="9.140625" style="1"/>
  </cols>
  <sheetData>
    <row r="1" spans="1:18" s="24" customFormat="1" ht="16.5" customHeight="1" x14ac:dyDescent="0.25">
      <c r="A1" s="176" t="s">
        <v>26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86"/>
    </row>
    <row r="2" spans="1:18" s="24" customFormat="1" ht="24" customHeight="1" x14ac:dyDescent="0.25">
      <c r="A2" s="176" t="s">
        <v>47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86"/>
    </row>
    <row r="3" spans="1:18" ht="8.25" customHeight="1" x14ac:dyDescent="0.25"/>
    <row r="4" spans="1:18" s="12" customFormat="1" ht="21.75" thickBot="1" x14ac:dyDescent="0.3">
      <c r="A4" s="12" t="s">
        <v>27</v>
      </c>
      <c r="L4" s="13"/>
      <c r="M4" s="13"/>
      <c r="N4" s="13"/>
      <c r="O4" s="13"/>
      <c r="P4" s="13"/>
      <c r="Q4" s="13"/>
      <c r="R4" s="13"/>
    </row>
    <row r="5" spans="1:18" s="15" customFormat="1" ht="16.5" customHeight="1" x14ac:dyDescent="0.25">
      <c r="B5" s="194" t="s">
        <v>0</v>
      </c>
      <c r="C5" s="162" t="s">
        <v>38</v>
      </c>
      <c r="D5" s="160" t="s">
        <v>25</v>
      </c>
      <c r="E5" s="161"/>
      <c r="F5" s="162"/>
      <c r="G5" s="160" t="s">
        <v>1</v>
      </c>
      <c r="H5" s="161"/>
      <c r="I5" s="162"/>
      <c r="J5" s="160" t="s">
        <v>3</v>
      </c>
      <c r="K5" s="161"/>
      <c r="L5" s="162"/>
      <c r="M5" s="192" t="s">
        <v>28</v>
      </c>
      <c r="N5" s="192"/>
      <c r="O5" s="193"/>
    </row>
    <row r="6" spans="1:18" s="15" customFormat="1" ht="16.5" customHeight="1" thickBot="1" x14ac:dyDescent="0.3">
      <c r="B6" s="195"/>
      <c r="C6" s="163"/>
      <c r="D6" s="94" t="s">
        <v>18</v>
      </c>
      <c r="E6" s="14" t="s">
        <v>16</v>
      </c>
      <c r="F6" s="92" t="s">
        <v>5</v>
      </c>
      <c r="G6" s="94" t="s">
        <v>18</v>
      </c>
      <c r="H6" s="14" t="s">
        <v>16</v>
      </c>
      <c r="I6" s="92" t="s">
        <v>5</v>
      </c>
      <c r="J6" s="94" t="s">
        <v>18</v>
      </c>
      <c r="K6" s="14" t="s">
        <v>16</v>
      </c>
      <c r="L6" s="92" t="s">
        <v>5</v>
      </c>
      <c r="M6" s="94" t="s">
        <v>18</v>
      </c>
      <c r="N6" s="169" t="s">
        <v>5</v>
      </c>
      <c r="O6" s="170"/>
    </row>
    <row r="7" spans="1:18" ht="16.5" customHeight="1" thickTop="1" x14ac:dyDescent="0.25">
      <c r="B7" s="16">
        <v>1</v>
      </c>
      <c r="C7" s="40" t="s">
        <v>17</v>
      </c>
      <c r="D7" s="6">
        <v>6</v>
      </c>
      <c r="E7" s="4">
        <v>650000</v>
      </c>
      <c r="F7" s="17">
        <f>D7*E7</f>
        <v>3900000</v>
      </c>
      <c r="G7" s="6"/>
      <c r="H7" s="4"/>
      <c r="I7" s="17">
        <f>G7*H7</f>
        <v>0</v>
      </c>
      <c r="J7" s="6"/>
      <c r="K7" s="4"/>
      <c r="L7" s="17">
        <f>J7*K7</f>
        <v>0</v>
      </c>
      <c r="M7" s="6">
        <f>D7+G7-J7</f>
        <v>6</v>
      </c>
      <c r="N7" s="190">
        <f>F7+I7-L7</f>
        <v>3900000</v>
      </c>
      <c r="O7" s="191"/>
    </row>
    <row r="8" spans="1:18" ht="16.5" customHeight="1" x14ac:dyDescent="0.25">
      <c r="B8" s="18">
        <v>2</v>
      </c>
      <c r="C8" s="41" t="s">
        <v>20</v>
      </c>
      <c r="D8" s="9">
        <v>24</v>
      </c>
      <c r="E8" s="7">
        <v>130000</v>
      </c>
      <c r="F8" s="19">
        <f t="shared" ref="F8:F11" si="0">D8*E8</f>
        <v>3120000</v>
      </c>
      <c r="G8" s="9"/>
      <c r="H8" s="7"/>
      <c r="I8" s="19">
        <f t="shared" ref="I8:I11" si="1">G8*H8</f>
        <v>0</v>
      </c>
      <c r="J8" s="9"/>
      <c r="K8" s="7"/>
      <c r="L8" s="19">
        <f>J8*K8</f>
        <v>0</v>
      </c>
      <c r="M8" s="6">
        <f t="shared" ref="M8:M11" si="2">D8+G8-J8</f>
        <v>24</v>
      </c>
      <c r="N8" s="164">
        <f t="shared" ref="N8:N11" si="3">F8+I8-L8</f>
        <v>3120000</v>
      </c>
      <c r="O8" s="165"/>
    </row>
    <row r="9" spans="1:18" ht="16.5" customHeight="1" x14ac:dyDescent="0.25">
      <c r="B9" s="18">
        <v>3</v>
      </c>
      <c r="C9" s="27" t="s">
        <v>19</v>
      </c>
      <c r="D9" s="9">
        <v>32</v>
      </c>
      <c r="E9" s="7">
        <v>125000</v>
      </c>
      <c r="F9" s="19">
        <f t="shared" si="0"/>
        <v>4000000</v>
      </c>
      <c r="G9" s="9"/>
      <c r="H9" s="7"/>
      <c r="I9" s="19">
        <f t="shared" si="1"/>
        <v>0</v>
      </c>
      <c r="J9" s="9"/>
      <c r="K9" s="7"/>
      <c r="L9" s="19">
        <f t="shared" ref="L9:L11" si="4">J9*K9</f>
        <v>0</v>
      </c>
      <c r="M9" s="6">
        <f t="shared" si="2"/>
        <v>32</v>
      </c>
      <c r="N9" s="164">
        <f>F9+I9-L9</f>
        <v>4000000</v>
      </c>
      <c r="O9" s="165"/>
    </row>
    <row r="10" spans="1:18" ht="16.5" customHeight="1" x14ac:dyDescent="0.25">
      <c r="B10" s="18">
        <v>4</v>
      </c>
      <c r="C10" s="27" t="s">
        <v>21</v>
      </c>
      <c r="D10" s="9">
        <v>85</v>
      </c>
      <c r="E10" s="7">
        <v>15000</v>
      </c>
      <c r="F10" s="19">
        <f t="shared" si="0"/>
        <v>1275000</v>
      </c>
      <c r="G10" s="9"/>
      <c r="H10" s="7"/>
      <c r="I10" s="19">
        <f t="shared" si="1"/>
        <v>0</v>
      </c>
      <c r="J10" s="9"/>
      <c r="K10" s="7"/>
      <c r="L10" s="19">
        <f t="shared" si="4"/>
        <v>0</v>
      </c>
      <c r="M10" s="6">
        <f t="shared" si="2"/>
        <v>85</v>
      </c>
      <c r="N10" s="164">
        <f t="shared" si="3"/>
        <v>1275000</v>
      </c>
      <c r="O10" s="165"/>
    </row>
    <row r="11" spans="1:18" ht="16.5" customHeight="1" thickBot="1" x14ac:dyDescent="0.3">
      <c r="B11" s="33">
        <v>5</v>
      </c>
      <c r="C11" s="42" t="s">
        <v>22</v>
      </c>
      <c r="D11" s="44">
        <v>175</v>
      </c>
      <c r="E11" s="34">
        <v>50000</v>
      </c>
      <c r="F11" s="35">
        <f t="shared" si="0"/>
        <v>8750000</v>
      </c>
      <c r="G11" s="44"/>
      <c r="H11" s="34"/>
      <c r="I11" s="35">
        <f t="shared" si="1"/>
        <v>0</v>
      </c>
      <c r="J11" s="44"/>
      <c r="K11" s="34"/>
      <c r="L11" s="35">
        <f t="shared" si="4"/>
        <v>0</v>
      </c>
      <c r="M11" s="44">
        <f t="shared" si="2"/>
        <v>175</v>
      </c>
      <c r="N11" s="186">
        <f t="shared" si="3"/>
        <v>8750000</v>
      </c>
      <c r="O11" s="187"/>
    </row>
    <row r="12" spans="1:18" s="15" customFormat="1" ht="16.5" customHeight="1" thickBot="1" x14ac:dyDescent="0.3">
      <c r="B12" s="172" t="s">
        <v>7</v>
      </c>
      <c r="C12" s="173"/>
      <c r="D12" s="45"/>
      <c r="E12" s="46"/>
      <c r="F12" s="47">
        <f>SUM(F7:F11)</f>
        <v>21045000</v>
      </c>
      <c r="G12" s="48"/>
      <c r="H12" s="49"/>
      <c r="I12" s="47">
        <f>SUM(I7:I11)</f>
        <v>0</v>
      </c>
      <c r="J12" s="45">
        <f>SUM(J7:J11)</f>
        <v>0</v>
      </c>
      <c r="K12" s="46">
        <f>SUM(K7:K11)</f>
        <v>0</v>
      </c>
      <c r="L12" s="47">
        <f>SUM(L7:L11)</f>
        <v>0</v>
      </c>
      <c r="M12" s="21"/>
      <c r="N12" s="188">
        <f>SUM(N7:N11)</f>
        <v>21045000</v>
      </c>
      <c r="O12" s="189"/>
    </row>
    <row r="13" spans="1:18" ht="14.25" customHeight="1" x14ac:dyDescent="0.25"/>
    <row r="14" spans="1:18" ht="21.75" thickBot="1" x14ac:dyDescent="0.3">
      <c r="A14" s="12" t="s">
        <v>42</v>
      </c>
      <c r="D14" s="2"/>
      <c r="H14" s="1"/>
    </row>
    <row r="15" spans="1:18" s="37" customFormat="1" ht="13.5" customHeight="1" x14ac:dyDescent="0.25">
      <c r="B15" s="184" t="s">
        <v>0</v>
      </c>
      <c r="C15" s="182" t="s">
        <v>40</v>
      </c>
      <c r="D15" s="179" t="s">
        <v>8</v>
      </c>
      <c r="E15" s="180"/>
      <c r="F15" s="181"/>
      <c r="G15" s="179" t="s">
        <v>35</v>
      </c>
      <c r="H15" s="180"/>
      <c r="I15" s="181"/>
      <c r="J15" s="179" t="s">
        <v>36</v>
      </c>
      <c r="K15" s="180"/>
      <c r="L15" s="181"/>
      <c r="M15" s="179" t="s">
        <v>34</v>
      </c>
      <c r="N15" s="180"/>
      <c r="O15" s="181"/>
      <c r="P15" s="179" t="s">
        <v>2</v>
      </c>
      <c r="Q15" s="181"/>
    </row>
    <row r="16" spans="1:18" s="37" customFormat="1" ht="13.5" customHeight="1" thickBot="1" x14ac:dyDescent="0.3">
      <c r="B16" s="185"/>
      <c r="C16" s="183"/>
      <c r="D16" s="56" t="s">
        <v>4</v>
      </c>
      <c r="E16" s="57" t="s">
        <v>16</v>
      </c>
      <c r="F16" s="58" t="s">
        <v>5</v>
      </c>
      <c r="G16" s="56" t="s">
        <v>4</v>
      </c>
      <c r="H16" s="57" t="s">
        <v>16</v>
      </c>
      <c r="I16" s="59" t="s">
        <v>5</v>
      </c>
      <c r="J16" s="56" t="s">
        <v>4</v>
      </c>
      <c r="K16" s="57" t="s">
        <v>16</v>
      </c>
      <c r="L16" s="58" t="s">
        <v>5</v>
      </c>
      <c r="M16" s="56" t="s">
        <v>4</v>
      </c>
      <c r="N16" s="57" t="s">
        <v>16</v>
      </c>
      <c r="O16" s="58" t="s">
        <v>5</v>
      </c>
      <c r="P16" s="56" t="s">
        <v>4</v>
      </c>
      <c r="Q16" s="60" t="s">
        <v>5</v>
      </c>
    </row>
    <row r="17" spans="1:20" ht="16.5" customHeight="1" x14ac:dyDescent="0.25">
      <c r="B17" s="50">
        <v>1</v>
      </c>
      <c r="C17" s="52" t="s">
        <v>29</v>
      </c>
      <c r="D17" s="6"/>
      <c r="E17" s="4"/>
      <c r="F17" s="17">
        <f>D17*E17</f>
        <v>0</v>
      </c>
      <c r="G17" s="6">
        <v>1350</v>
      </c>
      <c r="H17" s="4">
        <v>3900</v>
      </c>
      <c r="I17" s="17">
        <f>G17*H17</f>
        <v>5265000</v>
      </c>
      <c r="J17" s="6"/>
      <c r="K17" s="4">
        <v>3900</v>
      </c>
      <c r="L17" s="5">
        <f>J17*K17</f>
        <v>0</v>
      </c>
      <c r="M17" s="61"/>
      <c r="N17" s="62"/>
      <c r="O17" s="63">
        <f>M17*N17</f>
        <v>0</v>
      </c>
      <c r="P17" s="6">
        <f>G17+D17+J17+M17</f>
        <v>1350</v>
      </c>
      <c r="Q17" s="17">
        <f t="shared" ref="Q17:Q22" si="5">I17+F17+L17+O17</f>
        <v>5265000</v>
      </c>
    </row>
    <row r="18" spans="1:20" ht="16.5" customHeight="1" x14ac:dyDescent="0.25">
      <c r="B18" s="50">
        <v>2</v>
      </c>
      <c r="C18" s="53" t="s">
        <v>24</v>
      </c>
      <c r="D18" s="9">
        <v>6</v>
      </c>
      <c r="E18" s="7">
        <v>30000</v>
      </c>
      <c r="F18" s="19">
        <f>D18*E18</f>
        <v>180000</v>
      </c>
      <c r="G18" s="9"/>
      <c r="H18" s="7">
        <v>30000</v>
      </c>
      <c r="I18" s="19">
        <f>G18*H18</f>
        <v>0</v>
      </c>
      <c r="J18" s="9"/>
      <c r="K18" s="7"/>
      <c r="L18" s="11">
        <f>J18*K18</f>
        <v>0</v>
      </c>
      <c r="M18" s="26"/>
      <c r="N18" s="7"/>
      <c r="O18" s="19">
        <f>M18*N18</f>
        <v>0</v>
      </c>
      <c r="P18" s="9">
        <f t="shared" ref="P18:P21" si="6">G18+D18+J18+M18</f>
        <v>6</v>
      </c>
      <c r="Q18" s="19">
        <f t="shared" si="5"/>
        <v>180000</v>
      </c>
    </row>
    <row r="19" spans="1:20" ht="16.5" customHeight="1" x14ac:dyDescent="0.25">
      <c r="B19" s="50">
        <v>3</v>
      </c>
      <c r="C19" s="53" t="s">
        <v>6</v>
      </c>
      <c r="D19" s="9">
        <v>60</v>
      </c>
      <c r="E19" s="7">
        <v>25000</v>
      </c>
      <c r="F19" s="19">
        <f>D19*E19</f>
        <v>1500000</v>
      </c>
      <c r="G19" s="9">
        <v>6</v>
      </c>
      <c r="H19" s="7">
        <v>25000</v>
      </c>
      <c r="I19" s="19">
        <f>G19*H19</f>
        <v>150000</v>
      </c>
      <c r="J19" s="9">
        <v>6</v>
      </c>
      <c r="K19" s="7"/>
      <c r="L19" s="11">
        <f>J19*K19</f>
        <v>0</v>
      </c>
      <c r="M19" s="26"/>
      <c r="N19" s="7"/>
      <c r="O19" s="19">
        <f t="shared" ref="O19" si="7">M19*N19</f>
        <v>0</v>
      </c>
      <c r="P19" s="9">
        <f t="shared" si="6"/>
        <v>72</v>
      </c>
      <c r="Q19" s="19">
        <f t="shared" si="5"/>
        <v>1650000</v>
      </c>
    </row>
    <row r="20" spans="1:20" ht="16.5" customHeight="1" x14ac:dyDescent="0.25">
      <c r="B20" s="50">
        <v>4</v>
      </c>
      <c r="C20" s="53" t="s">
        <v>31</v>
      </c>
      <c r="D20" s="9">
        <v>17400</v>
      </c>
      <c r="E20" s="7">
        <v>4100</v>
      </c>
      <c r="F20" s="19">
        <f>D20*E20</f>
        <v>71340000</v>
      </c>
      <c r="G20" s="9">
        <v>25450</v>
      </c>
      <c r="H20" s="7">
        <v>4100</v>
      </c>
      <c r="I20" s="19">
        <f>G20*H20</f>
        <v>104345000</v>
      </c>
      <c r="J20" s="9">
        <v>13600</v>
      </c>
      <c r="K20" s="7">
        <v>4100</v>
      </c>
      <c r="L20" s="11">
        <f>J20*K20</f>
        <v>55760000</v>
      </c>
      <c r="M20" s="26">
        <v>400</v>
      </c>
      <c r="N20" s="7">
        <v>4100</v>
      </c>
      <c r="O20" s="19">
        <f>M20*N20</f>
        <v>1640000</v>
      </c>
      <c r="P20" s="9">
        <f t="shared" si="6"/>
        <v>56850</v>
      </c>
      <c r="Q20" s="19">
        <f t="shared" si="5"/>
        <v>233085000</v>
      </c>
    </row>
    <row r="21" spans="1:20" ht="16.5" customHeight="1" x14ac:dyDescent="0.25">
      <c r="B21" s="81">
        <v>5</v>
      </c>
      <c r="C21" s="53" t="s">
        <v>32</v>
      </c>
      <c r="D21" s="9">
        <v>2050</v>
      </c>
      <c r="E21" s="7">
        <v>4200</v>
      </c>
      <c r="F21" s="19">
        <f t="shared" ref="F21:F22" si="8">D21*E21</f>
        <v>8610000</v>
      </c>
      <c r="G21" s="9"/>
      <c r="H21" s="7"/>
      <c r="I21" s="19">
        <f t="shared" ref="I21:I22" si="9">G21*H21</f>
        <v>0</v>
      </c>
      <c r="J21" s="9"/>
      <c r="K21" s="7"/>
      <c r="L21" s="11">
        <f t="shared" ref="L21:L22" si="10">J21*K21</f>
        <v>0</v>
      </c>
      <c r="M21" s="26"/>
      <c r="N21" s="7"/>
      <c r="O21" s="19">
        <f>M21*N21</f>
        <v>0</v>
      </c>
      <c r="P21" s="9">
        <f t="shared" si="6"/>
        <v>2050</v>
      </c>
      <c r="Q21" s="19">
        <f t="shared" si="5"/>
        <v>8610000</v>
      </c>
    </row>
    <row r="22" spans="1:20" ht="16.5" customHeight="1" thickBot="1" x14ac:dyDescent="0.3">
      <c r="B22" s="51">
        <v>6</v>
      </c>
      <c r="C22" s="109" t="s">
        <v>52</v>
      </c>
      <c r="D22" s="110">
        <v>900</v>
      </c>
      <c r="E22" s="111">
        <v>4400</v>
      </c>
      <c r="F22" s="112">
        <f t="shared" si="8"/>
        <v>3960000</v>
      </c>
      <c r="G22" s="110"/>
      <c r="H22" s="111"/>
      <c r="I22" s="112">
        <f t="shared" si="9"/>
        <v>0</v>
      </c>
      <c r="J22" s="110"/>
      <c r="K22" s="111"/>
      <c r="L22" s="113">
        <f t="shared" si="10"/>
        <v>0</v>
      </c>
      <c r="M22" s="114"/>
      <c r="N22" s="111"/>
      <c r="O22" s="35">
        <f>M22*N22</f>
        <v>0</v>
      </c>
      <c r="P22" s="110">
        <f>G22+D22+J22+M22</f>
        <v>900</v>
      </c>
      <c r="Q22" s="112">
        <f t="shared" si="5"/>
        <v>3960000</v>
      </c>
      <c r="T22" s="106"/>
    </row>
    <row r="23" spans="1:20" s="15" customFormat="1" ht="16.5" customHeight="1" thickBot="1" x14ac:dyDescent="0.3">
      <c r="B23" s="177" t="s">
        <v>9</v>
      </c>
      <c r="C23" s="178"/>
      <c r="D23" s="55">
        <f>SUM(D17:D22)</f>
        <v>20416</v>
      </c>
      <c r="E23" s="20"/>
      <c r="F23" s="55">
        <f>SUM(F17:F22)</f>
        <v>85590000</v>
      </c>
      <c r="G23" s="55">
        <f>SUM(G17:G22)</f>
        <v>26806</v>
      </c>
      <c r="H23" s="20"/>
      <c r="I23" s="55">
        <f>SUM(I17:I22)</f>
        <v>109760000</v>
      </c>
      <c r="J23" s="55">
        <f>SUM(J17:J22)</f>
        <v>13606</v>
      </c>
      <c r="K23" s="20"/>
      <c r="L23" s="55">
        <f>SUM(L17:L22)</f>
        <v>55760000</v>
      </c>
      <c r="M23" s="55">
        <f>SUM(M17:M22)</f>
        <v>400</v>
      </c>
      <c r="N23" s="20"/>
      <c r="O23" s="55">
        <f>SUM(O17:O22)</f>
        <v>1640000</v>
      </c>
      <c r="P23" s="55">
        <f>SUM(P17:P22)</f>
        <v>61228</v>
      </c>
      <c r="Q23" s="55">
        <f>SUM(Q17:Q22)</f>
        <v>252750000</v>
      </c>
    </row>
    <row r="24" spans="1:20" s="15" customFormat="1" ht="16.5" customHeight="1" x14ac:dyDescent="0.25">
      <c r="B24" s="25"/>
      <c r="C24" s="2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</row>
    <row r="25" spans="1:20" s="15" customFormat="1" ht="16.5" customHeight="1" x14ac:dyDescent="0.25">
      <c r="B25" s="25"/>
      <c r="C25" s="2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</row>
    <row r="26" spans="1:20" s="12" customFormat="1" ht="21.75" thickBot="1" x14ac:dyDescent="0.3">
      <c r="A26" s="12" t="s">
        <v>43</v>
      </c>
      <c r="E26" s="13"/>
      <c r="F26" s="13"/>
      <c r="G26" s="13"/>
      <c r="H26" s="12" t="s">
        <v>39</v>
      </c>
      <c r="L26" s="13"/>
      <c r="M26" s="13"/>
      <c r="N26" s="13"/>
      <c r="O26" s="13"/>
    </row>
    <row r="27" spans="1:20" s="64" customFormat="1" ht="32.25" thickBot="1" x14ac:dyDescent="0.3">
      <c r="B27" s="90" t="s">
        <v>0</v>
      </c>
      <c r="C27" s="39" t="s">
        <v>40</v>
      </c>
      <c r="D27" s="39" t="s">
        <v>4</v>
      </c>
      <c r="E27" s="39" t="s">
        <v>16</v>
      </c>
      <c r="F27" s="91" t="s">
        <v>5</v>
      </c>
      <c r="H27" s="65" t="s">
        <v>0</v>
      </c>
      <c r="I27" s="93" t="s">
        <v>40</v>
      </c>
      <c r="J27" s="67" t="s">
        <v>25</v>
      </c>
      <c r="K27" s="67" t="s">
        <v>1</v>
      </c>
      <c r="L27" s="67" t="s">
        <v>37</v>
      </c>
      <c r="M27" s="67" t="s">
        <v>3</v>
      </c>
      <c r="N27" s="67" t="s">
        <v>44</v>
      </c>
      <c r="O27" s="67" t="s">
        <v>49</v>
      </c>
      <c r="P27" s="93" t="s">
        <v>16</v>
      </c>
      <c r="Q27" s="67" t="s">
        <v>45</v>
      </c>
    </row>
    <row r="28" spans="1:20" ht="16.5" customHeight="1" x14ac:dyDescent="0.25">
      <c r="B28" s="16">
        <v>1</v>
      </c>
      <c r="C28" s="32" t="s">
        <v>29</v>
      </c>
      <c r="D28" s="4">
        <v>0</v>
      </c>
      <c r="E28" s="4"/>
      <c r="F28" s="17">
        <f>D28*E28</f>
        <v>0</v>
      </c>
      <c r="G28" s="1"/>
      <c r="H28" s="50">
        <v>1</v>
      </c>
      <c r="I28" s="52" t="s">
        <v>41</v>
      </c>
      <c r="J28" s="100">
        <f>JAN!O28</f>
        <v>1350</v>
      </c>
      <c r="K28" s="68">
        <f>D28</f>
        <v>0</v>
      </c>
      <c r="L28" s="68">
        <f>SUM(J28:K28)</f>
        <v>1350</v>
      </c>
      <c r="M28" s="73">
        <f>P17</f>
        <v>1350</v>
      </c>
      <c r="N28" s="52"/>
      <c r="O28" s="100">
        <f>L28-M28-N28</f>
        <v>0</v>
      </c>
      <c r="P28" s="76">
        <v>3900</v>
      </c>
      <c r="Q28" s="100">
        <f>O28*P28</f>
        <v>0</v>
      </c>
    </row>
    <row r="29" spans="1:20" ht="16.5" customHeight="1" x14ac:dyDescent="0.25">
      <c r="B29" s="18">
        <v>2</v>
      </c>
      <c r="C29" s="10" t="s">
        <v>24</v>
      </c>
      <c r="D29" s="7">
        <v>0</v>
      </c>
      <c r="E29" s="7">
        <v>25000</v>
      </c>
      <c r="F29" s="19">
        <f>D29*E29</f>
        <v>0</v>
      </c>
      <c r="G29" s="1"/>
      <c r="H29" s="81">
        <v>2</v>
      </c>
      <c r="I29" s="53" t="s">
        <v>24</v>
      </c>
      <c r="J29" s="101">
        <f>JAN!O29</f>
        <v>41</v>
      </c>
      <c r="K29" s="69">
        <f>D29</f>
        <v>0</v>
      </c>
      <c r="L29" s="69">
        <f>SUM(J29:K29)</f>
        <v>41</v>
      </c>
      <c r="M29" s="74">
        <f>P18</f>
        <v>6</v>
      </c>
      <c r="N29" s="53">
        <v>0</v>
      </c>
      <c r="O29" s="101">
        <f>L29-M29-N29</f>
        <v>35</v>
      </c>
      <c r="P29" s="77">
        <v>30000</v>
      </c>
      <c r="Q29" s="104">
        <f t="shared" ref="Q29:Q30" si="11">O29*P29</f>
        <v>1050000</v>
      </c>
    </row>
    <row r="30" spans="1:20" ht="16.5" customHeight="1" x14ac:dyDescent="0.25">
      <c r="B30" s="18">
        <v>3</v>
      </c>
      <c r="C30" s="10" t="s">
        <v>6</v>
      </c>
      <c r="D30" s="7"/>
      <c r="E30" s="7">
        <v>22000</v>
      </c>
      <c r="F30" s="19">
        <f>D30*E30</f>
        <v>0</v>
      </c>
      <c r="G30" s="1"/>
      <c r="H30" s="81">
        <v>3</v>
      </c>
      <c r="I30" s="53" t="s">
        <v>6</v>
      </c>
      <c r="J30" s="101">
        <f>JAN!O30</f>
        <v>303</v>
      </c>
      <c r="K30" s="69">
        <f>D30</f>
        <v>0</v>
      </c>
      <c r="L30" s="69">
        <f>SUM(J30:K30)</f>
        <v>303</v>
      </c>
      <c r="M30" s="74">
        <f>P19</f>
        <v>72</v>
      </c>
      <c r="N30" s="53">
        <v>0</v>
      </c>
      <c r="O30" s="101">
        <f>L30-M30-N30</f>
        <v>231</v>
      </c>
      <c r="P30" s="77">
        <v>25000</v>
      </c>
      <c r="Q30" s="104">
        <f t="shared" si="11"/>
        <v>5775000</v>
      </c>
    </row>
    <row r="31" spans="1:20" ht="16.5" customHeight="1" thickBot="1" x14ac:dyDescent="0.3">
      <c r="B31" s="18">
        <v>4</v>
      </c>
      <c r="C31" s="31" t="s">
        <v>30</v>
      </c>
      <c r="D31" s="7">
        <v>16000</v>
      </c>
      <c r="E31" s="7">
        <v>4350</v>
      </c>
      <c r="F31" s="19">
        <f>D31*E31</f>
        <v>69600000</v>
      </c>
      <c r="G31" s="1"/>
      <c r="H31" s="82">
        <v>4</v>
      </c>
      <c r="I31" s="66" t="s">
        <v>15</v>
      </c>
      <c r="J31" s="102">
        <f>JAN!O31</f>
        <v>49050</v>
      </c>
      <c r="K31" s="71">
        <f>D31+D32</f>
        <v>64000</v>
      </c>
      <c r="L31" s="72">
        <f>SUM(J31:K31)</f>
        <v>113050</v>
      </c>
      <c r="M31" s="75">
        <f>P20+P21+P22</f>
        <v>59800</v>
      </c>
      <c r="N31" s="54">
        <v>100</v>
      </c>
      <c r="O31" s="102">
        <f>L31-M31-N31</f>
        <v>53150</v>
      </c>
      <c r="P31" s="72">
        <v>4000</v>
      </c>
      <c r="Q31" s="105">
        <f>O31*P31</f>
        <v>212600000</v>
      </c>
    </row>
    <row r="32" spans="1:20" ht="16.5" customHeight="1" thickBot="1" x14ac:dyDescent="0.3">
      <c r="B32" s="18">
        <v>5</v>
      </c>
      <c r="C32" s="31" t="s">
        <v>23</v>
      </c>
      <c r="D32" s="7">
        <v>48000</v>
      </c>
      <c r="E32" s="7">
        <v>4045</v>
      </c>
      <c r="F32" s="19">
        <f t="shared" ref="F32" si="12">D32*E32</f>
        <v>194160000</v>
      </c>
      <c r="G32" s="1"/>
      <c r="H32" s="174"/>
      <c r="I32" s="175"/>
      <c r="J32" s="88"/>
      <c r="K32" s="79"/>
      <c r="L32" s="88"/>
      <c r="M32" s="88"/>
      <c r="N32" s="88"/>
      <c r="O32" s="88" t="s">
        <v>2</v>
      </c>
      <c r="P32" s="88"/>
      <c r="Q32" s="83">
        <f>SUM(Q28:Q31)</f>
        <v>219425000</v>
      </c>
    </row>
    <row r="33" spans="2:18" s="15" customFormat="1" ht="16.5" customHeight="1" thickBot="1" x14ac:dyDescent="0.3">
      <c r="B33" s="166" t="s">
        <v>9</v>
      </c>
      <c r="C33" s="167"/>
      <c r="D33" s="20">
        <f>SUM(D28:D32)</f>
        <v>64000</v>
      </c>
      <c r="E33" s="20"/>
      <c r="F33" s="36">
        <f>SUM(F28:F32)</f>
        <v>263760000</v>
      </c>
    </row>
    <row r="34" spans="2:18" ht="16.5" customHeight="1" x14ac:dyDescent="0.25">
      <c r="D34" s="2"/>
      <c r="F34" s="115"/>
      <c r="H34" s="1"/>
    </row>
    <row r="35" spans="2:18" ht="16.5" customHeight="1" x14ac:dyDescent="0.25">
      <c r="B35" s="8"/>
      <c r="C35" s="159" t="s">
        <v>79</v>
      </c>
      <c r="D35" s="2"/>
      <c r="E35" s="8"/>
      <c r="F35" s="23"/>
      <c r="G35" s="8"/>
      <c r="H35" s="8"/>
      <c r="I35" s="8"/>
      <c r="J35" s="8"/>
      <c r="K35" s="8" t="s">
        <v>50</v>
      </c>
      <c r="L35" s="8"/>
      <c r="M35" s="8"/>
    </row>
    <row r="36" spans="2:18" ht="16.5" customHeight="1" x14ac:dyDescent="0.25">
      <c r="D36" s="2"/>
      <c r="E36" s="8"/>
      <c r="F36" s="168" t="s">
        <v>10</v>
      </c>
      <c r="G36" s="168"/>
      <c r="H36" s="8"/>
      <c r="I36" s="8"/>
      <c r="J36" s="8" t="s">
        <v>14</v>
      </c>
      <c r="K36" s="168" t="s">
        <v>11</v>
      </c>
      <c r="L36" s="168"/>
      <c r="M36" s="8"/>
    </row>
    <row r="37" spans="2:18" ht="16.5" customHeight="1" x14ac:dyDescent="0.25">
      <c r="D37" s="2"/>
      <c r="E37" s="89"/>
      <c r="F37" s="89"/>
      <c r="G37" s="89"/>
      <c r="H37" s="8"/>
      <c r="I37" s="8"/>
      <c r="J37" s="8"/>
      <c r="K37" s="89"/>
      <c r="L37" s="89"/>
      <c r="M37" s="89"/>
    </row>
    <row r="38" spans="2:18" ht="16.5" customHeight="1" x14ac:dyDescent="0.25">
      <c r="D38" s="2"/>
      <c r="E38" s="8"/>
      <c r="F38" s="8"/>
      <c r="G38" s="8"/>
      <c r="H38" s="8"/>
      <c r="I38" s="8"/>
      <c r="J38" s="8"/>
      <c r="K38" s="8"/>
      <c r="L38" s="8"/>
      <c r="M38" s="23"/>
    </row>
    <row r="39" spans="2:18" ht="16.5" customHeight="1" x14ac:dyDescent="0.25">
      <c r="D39" s="2"/>
      <c r="E39" s="22"/>
      <c r="F39" s="22"/>
      <c r="G39" s="22"/>
      <c r="H39" s="8"/>
      <c r="I39" s="8"/>
      <c r="J39" s="8"/>
      <c r="K39" s="8"/>
      <c r="L39" s="8"/>
      <c r="M39" s="23"/>
    </row>
    <row r="40" spans="2:18" ht="16.5" customHeight="1" x14ac:dyDescent="0.25">
      <c r="D40" s="2"/>
      <c r="E40" s="8"/>
      <c r="F40" s="171" t="s">
        <v>12</v>
      </c>
      <c r="G40" s="171"/>
      <c r="H40" s="8"/>
      <c r="I40" s="8"/>
      <c r="J40" s="8"/>
      <c r="K40" s="171" t="s">
        <v>13</v>
      </c>
      <c r="L40" s="171"/>
      <c r="M40" s="8"/>
    </row>
    <row r="41" spans="2:18" ht="16.5" customHeight="1" x14ac:dyDescent="0.25">
      <c r="E41" s="89"/>
      <c r="F41" s="8"/>
      <c r="G41" s="8"/>
      <c r="H41" s="8"/>
      <c r="I41" s="8"/>
      <c r="J41" s="8"/>
      <c r="K41" s="8"/>
      <c r="L41" s="8"/>
      <c r="M41" s="8"/>
    </row>
    <row r="42" spans="2:18" ht="16.5" customHeight="1" x14ac:dyDescent="0.25">
      <c r="E42" s="89"/>
      <c r="F42" s="89"/>
      <c r="G42" s="89"/>
      <c r="H42" s="89"/>
      <c r="I42" s="8"/>
      <c r="J42" s="8"/>
      <c r="K42" s="8"/>
      <c r="L42" s="8"/>
      <c r="M42" s="8"/>
    </row>
    <row r="46" spans="2:18" ht="16.5" customHeight="1" x14ac:dyDescent="0.25">
      <c r="Q46" s="28"/>
      <c r="R46" s="28"/>
    </row>
    <row r="5055" spans="7:7" ht="16.5" customHeight="1" x14ac:dyDescent="0.25">
      <c r="G5055" s="2">
        <v>9</v>
      </c>
    </row>
  </sheetData>
  <mergeCells count="30">
    <mergeCell ref="F40:G40"/>
    <mergeCell ref="K40:L40"/>
    <mergeCell ref="P15:Q15"/>
    <mergeCell ref="B23:C23"/>
    <mergeCell ref="H32:I32"/>
    <mergeCell ref="B33:C33"/>
    <mergeCell ref="F36:G36"/>
    <mergeCell ref="K36:L36"/>
    <mergeCell ref="B15:B16"/>
    <mergeCell ref="C15:C16"/>
    <mergeCell ref="D15:F15"/>
    <mergeCell ref="G15:I15"/>
    <mergeCell ref="J15:L15"/>
    <mergeCell ref="M15:O15"/>
    <mergeCell ref="B12:C12"/>
    <mergeCell ref="N12:O12"/>
    <mergeCell ref="A1:Q1"/>
    <mergeCell ref="A2:Q2"/>
    <mergeCell ref="B5:B6"/>
    <mergeCell ref="C5:C6"/>
    <mergeCell ref="D5:F5"/>
    <mergeCell ref="G5:I5"/>
    <mergeCell ref="J5:L5"/>
    <mergeCell ref="M5:O5"/>
    <mergeCell ref="N6:O6"/>
    <mergeCell ref="N7:O7"/>
    <mergeCell ref="N8:O8"/>
    <mergeCell ref="N9:O9"/>
    <mergeCell ref="N10:O10"/>
    <mergeCell ref="N11:O11"/>
  </mergeCells>
  <printOptions horizontalCentered="1" verticalCentered="1"/>
  <pageMargins left="0" right="0" top="0" bottom="0" header="0" footer="0"/>
  <pageSetup paperSize="10000" scale="85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397A-C6D6-4EC8-98F6-6F2598D10993}">
  <dimension ref="A1:T5055"/>
  <sheetViews>
    <sheetView topLeftCell="A10" workbookViewId="0">
      <selection activeCell="F31" sqref="F31:F32"/>
    </sheetView>
  </sheetViews>
  <sheetFormatPr defaultRowHeight="16.5" customHeight="1" x14ac:dyDescent="0.25"/>
  <cols>
    <col min="1" max="1" width="3.85546875" style="1" customWidth="1"/>
    <col min="2" max="2" width="4.140625" style="1" bestFit="1" customWidth="1"/>
    <col min="3" max="3" width="19.85546875" style="1" bestFit="1" customWidth="1"/>
    <col min="4" max="4" width="8.7109375" style="1" bestFit="1" customWidth="1"/>
    <col min="5" max="5" width="9.85546875" style="2" bestFit="1" customWidth="1"/>
    <col min="6" max="6" width="14" style="2" bestFit="1" customWidth="1"/>
    <col min="7" max="7" width="8.7109375" style="2" bestFit="1" customWidth="1"/>
    <col min="8" max="8" width="9.85546875" style="2" customWidth="1"/>
    <col min="9" max="9" width="15.140625" style="1" bestFit="1" customWidth="1"/>
    <col min="10" max="10" width="8.7109375" style="1" bestFit="1" customWidth="1"/>
    <col min="11" max="11" width="13.140625" style="1" customWidth="1"/>
    <col min="12" max="12" width="13" style="1" customWidth="1"/>
    <col min="13" max="13" width="12.5703125" style="1" bestFit="1" customWidth="1"/>
    <col min="14" max="14" width="7.5703125" style="1" bestFit="1" customWidth="1"/>
    <col min="15" max="15" width="11.5703125" style="1" bestFit="1" customWidth="1"/>
    <col min="16" max="16" width="8.7109375" style="1" bestFit="1" customWidth="1"/>
    <col min="17" max="17" width="14" style="1" bestFit="1" customWidth="1"/>
    <col min="18" max="18" width="7.140625" style="1" customWidth="1"/>
    <col min="19" max="19" width="8.7109375" style="1" bestFit="1" customWidth="1"/>
    <col min="20" max="20" width="14" style="1" bestFit="1" customWidth="1"/>
    <col min="21" max="16384" width="9.140625" style="1"/>
  </cols>
  <sheetData>
    <row r="1" spans="1:18" s="24" customFormat="1" ht="16.5" customHeight="1" x14ac:dyDescent="0.25">
      <c r="A1" s="176" t="s">
        <v>26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86"/>
    </row>
    <row r="2" spans="1:18" s="24" customFormat="1" ht="24" customHeight="1" x14ac:dyDescent="0.25">
      <c r="A2" s="176" t="s">
        <v>48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86"/>
    </row>
    <row r="3" spans="1:18" ht="8.25" customHeight="1" x14ac:dyDescent="0.25"/>
    <row r="4" spans="1:18" s="12" customFormat="1" ht="21.75" thickBot="1" x14ac:dyDescent="0.3">
      <c r="A4" s="12" t="s">
        <v>27</v>
      </c>
      <c r="L4" s="13"/>
      <c r="M4" s="13"/>
      <c r="N4" s="13"/>
      <c r="O4" s="13"/>
      <c r="P4" s="13"/>
      <c r="Q4" s="13"/>
      <c r="R4" s="13"/>
    </row>
    <row r="5" spans="1:18" s="15" customFormat="1" ht="16.5" customHeight="1" x14ac:dyDescent="0.25">
      <c r="B5" s="194" t="s">
        <v>0</v>
      </c>
      <c r="C5" s="162" t="s">
        <v>38</v>
      </c>
      <c r="D5" s="160" t="s">
        <v>25</v>
      </c>
      <c r="E5" s="161"/>
      <c r="F5" s="162"/>
      <c r="G5" s="160" t="s">
        <v>1</v>
      </c>
      <c r="H5" s="161"/>
      <c r="I5" s="162"/>
      <c r="J5" s="160" t="s">
        <v>3</v>
      </c>
      <c r="K5" s="161"/>
      <c r="L5" s="162"/>
      <c r="M5" s="192" t="s">
        <v>28</v>
      </c>
      <c r="N5" s="192"/>
      <c r="O5" s="193"/>
    </row>
    <row r="6" spans="1:18" s="15" customFormat="1" ht="16.5" customHeight="1" thickBot="1" x14ac:dyDescent="0.3">
      <c r="B6" s="195"/>
      <c r="C6" s="163"/>
      <c r="D6" s="94" t="s">
        <v>18</v>
      </c>
      <c r="E6" s="14" t="s">
        <v>16</v>
      </c>
      <c r="F6" s="92" t="s">
        <v>5</v>
      </c>
      <c r="G6" s="94" t="s">
        <v>18</v>
      </c>
      <c r="H6" s="14" t="s">
        <v>16</v>
      </c>
      <c r="I6" s="92" t="s">
        <v>5</v>
      </c>
      <c r="J6" s="94" t="s">
        <v>18</v>
      </c>
      <c r="K6" s="14" t="s">
        <v>16</v>
      </c>
      <c r="L6" s="92" t="s">
        <v>5</v>
      </c>
      <c r="M6" s="94" t="s">
        <v>18</v>
      </c>
      <c r="N6" s="169" t="s">
        <v>5</v>
      </c>
      <c r="O6" s="170"/>
    </row>
    <row r="7" spans="1:18" ht="16.5" customHeight="1" thickTop="1" x14ac:dyDescent="0.25">
      <c r="B7" s="16">
        <v>1</v>
      </c>
      <c r="C7" s="40" t="s">
        <v>17</v>
      </c>
      <c r="D7" s="6">
        <v>6</v>
      </c>
      <c r="E7" s="4">
        <v>650000</v>
      </c>
      <c r="F7" s="17">
        <f>D7*E7</f>
        <v>3900000</v>
      </c>
      <c r="G7" s="6"/>
      <c r="H7" s="4"/>
      <c r="I7" s="17">
        <f>G7*H7</f>
        <v>0</v>
      </c>
      <c r="J7" s="6"/>
      <c r="K7" s="4"/>
      <c r="L7" s="17">
        <f>J7*K7</f>
        <v>0</v>
      </c>
      <c r="M7" s="6">
        <f>D7+G7-J7</f>
        <v>6</v>
      </c>
      <c r="N7" s="190">
        <f>F7+I7-L7</f>
        <v>3900000</v>
      </c>
      <c r="O7" s="191"/>
    </row>
    <row r="8" spans="1:18" ht="16.5" customHeight="1" x14ac:dyDescent="0.25">
      <c r="B8" s="18">
        <v>2</v>
      </c>
      <c r="C8" s="41" t="s">
        <v>20</v>
      </c>
      <c r="D8" s="9">
        <v>24</v>
      </c>
      <c r="E8" s="7">
        <v>130000</v>
      </c>
      <c r="F8" s="19">
        <f t="shared" ref="F8:F11" si="0">D8*E8</f>
        <v>3120000</v>
      </c>
      <c r="G8" s="9"/>
      <c r="H8" s="7"/>
      <c r="I8" s="19">
        <f t="shared" ref="I8:I11" si="1">G8*H8</f>
        <v>0</v>
      </c>
      <c r="J8" s="9"/>
      <c r="K8" s="7"/>
      <c r="L8" s="19">
        <f>J8*K8</f>
        <v>0</v>
      </c>
      <c r="M8" s="6">
        <f t="shared" ref="M8:M11" si="2">D8+G8-J8</f>
        <v>24</v>
      </c>
      <c r="N8" s="164">
        <f t="shared" ref="N8:N11" si="3">F8+I8-L8</f>
        <v>3120000</v>
      </c>
      <c r="O8" s="165"/>
    </row>
    <row r="9" spans="1:18" ht="16.5" customHeight="1" x14ac:dyDescent="0.25">
      <c r="B9" s="18">
        <v>3</v>
      </c>
      <c r="C9" s="27" t="s">
        <v>19</v>
      </c>
      <c r="D9" s="9">
        <v>32</v>
      </c>
      <c r="E9" s="7">
        <v>125000</v>
      </c>
      <c r="F9" s="19">
        <f t="shared" si="0"/>
        <v>4000000</v>
      </c>
      <c r="G9" s="9"/>
      <c r="H9" s="7"/>
      <c r="I9" s="19">
        <f t="shared" si="1"/>
        <v>0</v>
      </c>
      <c r="J9" s="9"/>
      <c r="K9" s="7"/>
      <c r="L9" s="19">
        <f t="shared" ref="L9:L11" si="4">J9*K9</f>
        <v>0</v>
      </c>
      <c r="M9" s="6">
        <f t="shared" si="2"/>
        <v>32</v>
      </c>
      <c r="N9" s="164">
        <f>F9+I9-L9</f>
        <v>4000000</v>
      </c>
      <c r="O9" s="165"/>
    </row>
    <row r="10" spans="1:18" ht="16.5" customHeight="1" x14ac:dyDescent="0.25">
      <c r="B10" s="18">
        <v>4</v>
      </c>
      <c r="C10" s="27" t="s">
        <v>21</v>
      </c>
      <c r="D10" s="9">
        <v>85</v>
      </c>
      <c r="E10" s="7">
        <v>15000</v>
      </c>
      <c r="F10" s="19">
        <f t="shared" si="0"/>
        <v>1275000</v>
      </c>
      <c r="G10" s="9"/>
      <c r="H10" s="7"/>
      <c r="I10" s="19">
        <f t="shared" si="1"/>
        <v>0</v>
      </c>
      <c r="J10" s="9"/>
      <c r="K10" s="7"/>
      <c r="L10" s="19">
        <f t="shared" si="4"/>
        <v>0</v>
      </c>
      <c r="M10" s="6">
        <f t="shared" si="2"/>
        <v>85</v>
      </c>
      <c r="N10" s="164">
        <f t="shared" si="3"/>
        <v>1275000</v>
      </c>
      <c r="O10" s="165"/>
    </row>
    <row r="11" spans="1:18" ht="16.5" customHeight="1" thickBot="1" x14ac:dyDescent="0.3">
      <c r="B11" s="33">
        <v>5</v>
      </c>
      <c r="C11" s="42" t="s">
        <v>22</v>
      </c>
      <c r="D11" s="44">
        <v>175</v>
      </c>
      <c r="E11" s="34">
        <v>50000</v>
      </c>
      <c r="F11" s="35">
        <f t="shared" si="0"/>
        <v>8750000</v>
      </c>
      <c r="G11" s="44"/>
      <c r="H11" s="34"/>
      <c r="I11" s="35">
        <f t="shared" si="1"/>
        <v>0</v>
      </c>
      <c r="J11" s="44"/>
      <c r="K11" s="34"/>
      <c r="L11" s="35">
        <f t="shared" si="4"/>
        <v>0</v>
      </c>
      <c r="M11" s="44">
        <f t="shared" si="2"/>
        <v>175</v>
      </c>
      <c r="N11" s="186">
        <f t="shared" si="3"/>
        <v>8750000</v>
      </c>
      <c r="O11" s="187"/>
    </row>
    <row r="12" spans="1:18" s="15" customFormat="1" ht="16.5" customHeight="1" thickBot="1" x14ac:dyDescent="0.3">
      <c r="B12" s="172" t="s">
        <v>7</v>
      </c>
      <c r="C12" s="173"/>
      <c r="D12" s="45"/>
      <c r="E12" s="46"/>
      <c r="F12" s="47">
        <f>SUM(F7:F11)</f>
        <v>21045000</v>
      </c>
      <c r="G12" s="48"/>
      <c r="H12" s="49"/>
      <c r="I12" s="47">
        <f>SUM(I7:I11)</f>
        <v>0</v>
      </c>
      <c r="J12" s="45">
        <f>SUM(J7:J11)</f>
        <v>0</v>
      </c>
      <c r="K12" s="46">
        <f>SUM(K7:K11)</f>
        <v>0</v>
      </c>
      <c r="L12" s="47">
        <f>SUM(L7:L11)</f>
        <v>0</v>
      </c>
      <c r="M12" s="21"/>
      <c r="N12" s="188">
        <f>SUM(N7:N11)</f>
        <v>21045000</v>
      </c>
      <c r="O12" s="189"/>
    </row>
    <row r="13" spans="1:18" ht="14.25" customHeight="1" x14ac:dyDescent="0.25"/>
    <row r="14" spans="1:18" ht="21.75" thickBot="1" x14ac:dyDescent="0.3">
      <c r="A14" s="12" t="s">
        <v>42</v>
      </c>
      <c r="D14" s="2"/>
      <c r="H14" s="1"/>
    </row>
    <row r="15" spans="1:18" s="37" customFormat="1" ht="13.5" customHeight="1" x14ac:dyDescent="0.25">
      <c r="B15" s="184" t="s">
        <v>0</v>
      </c>
      <c r="C15" s="182" t="s">
        <v>40</v>
      </c>
      <c r="D15" s="179" t="s">
        <v>8</v>
      </c>
      <c r="E15" s="180"/>
      <c r="F15" s="181"/>
      <c r="G15" s="179" t="s">
        <v>35</v>
      </c>
      <c r="H15" s="180"/>
      <c r="I15" s="181"/>
      <c r="J15" s="179" t="s">
        <v>36</v>
      </c>
      <c r="K15" s="180"/>
      <c r="L15" s="181"/>
      <c r="M15" s="179" t="s">
        <v>34</v>
      </c>
      <c r="N15" s="180"/>
      <c r="O15" s="181"/>
      <c r="P15" s="179" t="s">
        <v>2</v>
      </c>
      <c r="Q15" s="181"/>
    </row>
    <row r="16" spans="1:18" s="37" customFormat="1" ht="13.5" customHeight="1" thickBot="1" x14ac:dyDescent="0.3">
      <c r="B16" s="185"/>
      <c r="C16" s="183"/>
      <c r="D16" s="56" t="s">
        <v>4</v>
      </c>
      <c r="E16" s="57" t="s">
        <v>16</v>
      </c>
      <c r="F16" s="58" t="s">
        <v>5</v>
      </c>
      <c r="G16" s="56" t="s">
        <v>4</v>
      </c>
      <c r="H16" s="57" t="s">
        <v>16</v>
      </c>
      <c r="I16" s="59" t="s">
        <v>5</v>
      </c>
      <c r="J16" s="56" t="s">
        <v>4</v>
      </c>
      <c r="K16" s="57" t="s">
        <v>16</v>
      </c>
      <c r="L16" s="58" t="s">
        <v>5</v>
      </c>
      <c r="M16" s="56" t="s">
        <v>4</v>
      </c>
      <c r="N16" s="57" t="s">
        <v>16</v>
      </c>
      <c r="O16" s="58" t="s">
        <v>5</v>
      </c>
      <c r="P16" s="56" t="s">
        <v>4</v>
      </c>
      <c r="Q16" s="60" t="s">
        <v>5</v>
      </c>
    </row>
    <row r="17" spans="1:20" ht="16.5" customHeight="1" x14ac:dyDescent="0.25">
      <c r="B17" s="50">
        <v>1</v>
      </c>
      <c r="C17" s="52" t="s">
        <v>29</v>
      </c>
      <c r="D17" s="6">
        <v>0</v>
      </c>
      <c r="E17" s="4"/>
      <c r="F17" s="17">
        <f>D17*E17</f>
        <v>0</v>
      </c>
      <c r="G17" s="6"/>
      <c r="H17" s="4">
        <v>3900</v>
      </c>
      <c r="I17" s="17">
        <f>G17*H17</f>
        <v>0</v>
      </c>
      <c r="J17" s="6"/>
      <c r="K17" s="4">
        <v>3900</v>
      </c>
      <c r="L17" s="5">
        <f>J17*K17</f>
        <v>0</v>
      </c>
      <c r="M17" s="61"/>
      <c r="N17" s="62"/>
      <c r="O17" s="63">
        <f>M17*N17</f>
        <v>0</v>
      </c>
      <c r="P17" s="6">
        <f>G17+D17+J17</f>
        <v>0</v>
      </c>
      <c r="Q17" s="17">
        <f>I17+F17+L17</f>
        <v>0</v>
      </c>
    </row>
    <row r="18" spans="1:20" ht="16.5" customHeight="1" x14ac:dyDescent="0.25">
      <c r="B18" s="50">
        <v>2</v>
      </c>
      <c r="C18" s="53" t="s">
        <v>24</v>
      </c>
      <c r="D18" s="9">
        <v>13</v>
      </c>
      <c r="E18" s="7">
        <v>30000</v>
      </c>
      <c r="F18" s="19">
        <f>D18*E18</f>
        <v>390000</v>
      </c>
      <c r="G18" s="9"/>
      <c r="H18" s="7">
        <v>30000</v>
      </c>
      <c r="I18" s="19">
        <f>G18*H18</f>
        <v>0</v>
      </c>
      <c r="J18" s="9"/>
      <c r="K18" s="7"/>
      <c r="L18" s="11">
        <f>J18*K18</f>
        <v>0</v>
      </c>
      <c r="M18" s="26"/>
      <c r="N18" s="7"/>
      <c r="O18" s="19">
        <f>M18*N18</f>
        <v>0</v>
      </c>
      <c r="P18" s="9">
        <f>G18+D18+J18</f>
        <v>13</v>
      </c>
      <c r="Q18" s="19">
        <f>I18+F18+L18</f>
        <v>390000</v>
      </c>
    </row>
    <row r="19" spans="1:20" ht="16.5" customHeight="1" x14ac:dyDescent="0.25">
      <c r="B19" s="50">
        <v>3</v>
      </c>
      <c r="C19" s="53" t="s">
        <v>6</v>
      </c>
      <c r="D19" s="9">
        <v>22</v>
      </c>
      <c r="E19" s="7">
        <v>25000</v>
      </c>
      <c r="F19" s="19">
        <f>D19*E19</f>
        <v>550000</v>
      </c>
      <c r="G19" s="9"/>
      <c r="H19" s="7">
        <v>25000</v>
      </c>
      <c r="I19" s="19">
        <f>G19*H19</f>
        <v>0</v>
      </c>
      <c r="J19" s="9"/>
      <c r="K19" s="7"/>
      <c r="L19" s="11">
        <f>J19*K19</f>
        <v>0</v>
      </c>
      <c r="M19" s="26"/>
      <c r="N19" s="7"/>
      <c r="O19" s="19">
        <f t="shared" ref="O19" si="5">M19*N19</f>
        <v>0</v>
      </c>
      <c r="P19" s="9">
        <f>G19+D19+J19</f>
        <v>22</v>
      </c>
      <c r="Q19" s="19">
        <f>I19+F19+L19</f>
        <v>550000</v>
      </c>
    </row>
    <row r="20" spans="1:20" ht="16.5" customHeight="1" x14ac:dyDescent="0.25">
      <c r="B20" s="50">
        <v>4</v>
      </c>
      <c r="C20" s="53" t="s">
        <v>31</v>
      </c>
      <c r="D20" s="9">
        <v>20700</v>
      </c>
      <c r="E20" s="7">
        <v>4100</v>
      </c>
      <c r="F20" s="19">
        <f>D20*E20</f>
        <v>84870000</v>
      </c>
      <c r="G20" s="9">
        <v>27700</v>
      </c>
      <c r="H20" s="7">
        <v>4100</v>
      </c>
      <c r="I20" s="19">
        <f>G20*H20</f>
        <v>113570000</v>
      </c>
      <c r="J20" s="9">
        <v>13800</v>
      </c>
      <c r="K20" s="7">
        <v>4100</v>
      </c>
      <c r="L20" s="11">
        <f>J20*K20</f>
        <v>56580000</v>
      </c>
      <c r="M20" s="26">
        <v>600</v>
      </c>
      <c r="N20" s="7">
        <v>4100</v>
      </c>
      <c r="O20" s="19">
        <f>M20*N20</f>
        <v>2460000</v>
      </c>
      <c r="P20" s="9">
        <f>G20+D20+J20</f>
        <v>62200</v>
      </c>
      <c r="Q20" s="19">
        <f>I20+F20+L20</f>
        <v>255020000</v>
      </c>
    </row>
    <row r="21" spans="1:20" ht="16.5" customHeight="1" x14ac:dyDescent="0.25">
      <c r="B21" s="81">
        <v>5</v>
      </c>
      <c r="C21" s="53" t="s">
        <v>32</v>
      </c>
      <c r="D21" s="9">
        <v>1750</v>
      </c>
      <c r="E21" s="7">
        <v>4200</v>
      </c>
      <c r="F21" s="19">
        <f t="shared" ref="F21:F22" si="6">D21*E21</f>
        <v>7350000</v>
      </c>
      <c r="G21" s="9"/>
      <c r="H21" s="7"/>
      <c r="I21" s="19">
        <f t="shared" ref="I21:I22" si="7">G21*H21</f>
        <v>0</v>
      </c>
      <c r="J21" s="9"/>
      <c r="K21" s="7"/>
      <c r="L21" s="11">
        <f t="shared" ref="L21:L22" si="8">J21*K21</f>
        <v>0</v>
      </c>
      <c r="M21" s="26"/>
      <c r="N21" s="7"/>
      <c r="O21" s="19">
        <f>M21*N21</f>
        <v>0</v>
      </c>
      <c r="P21" s="9">
        <f>G21+D21+J21</f>
        <v>1750</v>
      </c>
      <c r="Q21" s="19">
        <f>I21+F21+L21</f>
        <v>7350000</v>
      </c>
    </row>
    <row r="22" spans="1:20" ht="16.5" customHeight="1" thickBot="1" x14ac:dyDescent="0.3">
      <c r="B22" s="51">
        <v>6</v>
      </c>
      <c r="C22" s="109" t="s">
        <v>52</v>
      </c>
      <c r="D22" s="110">
        <v>650</v>
      </c>
      <c r="E22" s="111">
        <v>4400</v>
      </c>
      <c r="F22" s="112">
        <f t="shared" si="6"/>
        <v>2860000</v>
      </c>
      <c r="G22" s="110"/>
      <c r="H22" s="111"/>
      <c r="I22" s="112">
        <f t="shared" si="7"/>
        <v>0</v>
      </c>
      <c r="J22" s="110"/>
      <c r="K22" s="111"/>
      <c r="L22" s="113">
        <f t="shared" si="8"/>
        <v>0</v>
      </c>
      <c r="M22" s="114"/>
      <c r="N22" s="111"/>
      <c r="O22" s="112">
        <f>M22*N22</f>
        <v>0</v>
      </c>
      <c r="P22" s="110">
        <f>G22+D22+J22+M22</f>
        <v>650</v>
      </c>
      <c r="Q22" s="112">
        <f>I22+F22+L22+O22</f>
        <v>2860000</v>
      </c>
      <c r="T22" s="106"/>
    </row>
    <row r="23" spans="1:20" s="15" customFormat="1" ht="16.5" customHeight="1" thickBot="1" x14ac:dyDescent="0.3">
      <c r="B23" s="177" t="s">
        <v>9</v>
      </c>
      <c r="C23" s="178"/>
      <c r="D23" s="55">
        <f>SUM(D17:D22)</f>
        <v>23135</v>
      </c>
      <c r="E23" s="20"/>
      <c r="F23" s="55">
        <f>SUM(F17:F22)</f>
        <v>96020000</v>
      </c>
      <c r="G23" s="55">
        <f>SUM(G17:G22)</f>
        <v>27700</v>
      </c>
      <c r="H23" s="20"/>
      <c r="I23" s="55">
        <f>SUM(I17:I22)</f>
        <v>113570000</v>
      </c>
      <c r="J23" s="55">
        <f>SUM(J17:J22)</f>
        <v>13800</v>
      </c>
      <c r="K23" s="20"/>
      <c r="L23" s="55">
        <f>SUM(L17:L22)</f>
        <v>56580000</v>
      </c>
      <c r="M23" s="55">
        <f>SUM(M17:M22)</f>
        <v>600</v>
      </c>
      <c r="N23" s="20"/>
      <c r="O23" s="55">
        <f>SUM(O17:O22)</f>
        <v>2460000</v>
      </c>
      <c r="P23" s="55">
        <f>SUM(P17:P22)</f>
        <v>64635</v>
      </c>
      <c r="Q23" s="55">
        <f>SUM(Q17:Q22)</f>
        <v>266170000</v>
      </c>
    </row>
    <row r="24" spans="1:20" s="15" customFormat="1" ht="16.5" customHeight="1" x14ac:dyDescent="0.25">
      <c r="B24" s="25"/>
      <c r="C24" s="2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</row>
    <row r="25" spans="1:20" s="15" customFormat="1" ht="16.5" customHeight="1" x14ac:dyDescent="0.25">
      <c r="B25" s="25"/>
      <c r="C25" s="2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</row>
    <row r="26" spans="1:20" s="12" customFormat="1" ht="21.75" thickBot="1" x14ac:dyDescent="0.3">
      <c r="A26" s="12" t="s">
        <v>43</v>
      </c>
      <c r="E26" s="13"/>
      <c r="F26" s="13"/>
      <c r="G26" s="13"/>
      <c r="H26" s="12" t="s">
        <v>39</v>
      </c>
      <c r="L26" s="13"/>
      <c r="M26" s="13"/>
      <c r="N26" s="13"/>
      <c r="O26" s="13"/>
    </row>
    <row r="27" spans="1:20" s="64" customFormat="1" ht="32.25" thickBot="1" x14ac:dyDescent="0.3">
      <c r="B27" s="90" t="s">
        <v>0</v>
      </c>
      <c r="C27" s="39" t="s">
        <v>40</v>
      </c>
      <c r="D27" s="39" t="s">
        <v>4</v>
      </c>
      <c r="E27" s="39" t="s">
        <v>16</v>
      </c>
      <c r="F27" s="91" t="s">
        <v>5</v>
      </c>
      <c r="H27" s="65" t="s">
        <v>0</v>
      </c>
      <c r="I27" s="93" t="s">
        <v>40</v>
      </c>
      <c r="J27" s="67" t="s">
        <v>25</v>
      </c>
      <c r="K27" s="67" t="s">
        <v>1</v>
      </c>
      <c r="L27" s="67" t="s">
        <v>37</v>
      </c>
      <c r="M27" s="67" t="s">
        <v>3</v>
      </c>
      <c r="N27" s="67" t="s">
        <v>44</v>
      </c>
      <c r="O27" s="67" t="s">
        <v>49</v>
      </c>
      <c r="P27" s="93" t="s">
        <v>16</v>
      </c>
      <c r="Q27" s="67" t="s">
        <v>45</v>
      </c>
    </row>
    <row r="28" spans="1:20" ht="16.5" customHeight="1" x14ac:dyDescent="0.25">
      <c r="B28" s="16">
        <v>1</v>
      </c>
      <c r="C28" s="32" t="s">
        <v>29</v>
      </c>
      <c r="D28" s="4">
        <v>0</v>
      </c>
      <c r="E28" s="4"/>
      <c r="F28" s="17">
        <f>D28*E28</f>
        <v>0</v>
      </c>
      <c r="G28" s="1"/>
      <c r="H28" s="50">
        <v>1</v>
      </c>
      <c r="I28" s="52" t="s">
        <v>41</v>
      </c>
      <c r="J28" s="68">
        <f>FEB!O28</f>
        <v>0</v>
      </c>
      <c r="K28" s="68">
        <v>0</v>
      </c>
      <c r="L28" s="68">
        <f>SUM(J28:K28)</f>
        <v>0</v>
      </c>
      <c r="M28" s="73">
        <f>P17</f>
        <v>0</v>
      </c>
      <c r="N28" s="52"/>
      <c r="O28" s="68">
        <f>L28-M28-N28</f>
        <v>0</v>
      </c>
      <c r="P28" s="76">
        <v>3900</v>
      </c>
      <c r="Q28" s="68">
        <f>O28*P28</f>
        <v>0</v>
      </c>
    </row>
    <row r="29" spans="1:20" ht="16.5" customHeight="1" x14ac:dyDescent="0.25">
      <c r="B29" s="18">
        <v>2</v>
      </c>
      <c r="C29" s="10" t="s">
        <v>24</v>
      </c>
      <c r="D29" s="7">
        <v>0</v>
      </c>
      <c r="E29" s="7">
        <v>25000</v>
      </c>
      <c r="F29" s="19">
        <f>D29*E29</f>
        <v>0</v>
      </c>
      <c r="G29" s="1"/>
      <c r="H29" s="81">
        <v>2</v>
      </c>
      <c r="I29" s="53" t="s">
        <v>24</v>
      </c>
      <c r="J29" s="69">
        <f>FEB!O29</f>
        <v>35</v>
      </c>
      <c r="K29" s="69"/>
      <c r="L29" s="69">
        <f>SUM(J29:K29)</f>
        <v>35</v>
      </c>
      <c r="M29" s="74">
        <f>P18</f>
        <v>13</v>
      </c>
      <c r="N29" s="53">
        <v>0</v>
      </c>
      <c r="O29" s="69">
        <f>L29-M29-N29</f>
        <v>22</v>
      </c>
      <c r="P29" s="77">
        <v>30000</v>
      </c>
      <c r="Q29" s="80">
        <f t="shared" ref="Q29:Q30" si="9">O29*P29</f>
        <v>660000</v>
      </c>
    </row>
    <row r="30" spans="1:20" ht="16.5" customHeight="1" x14ac:dyDescent="0.25">
      <c r="B30" s="18">
        <v>3</v>
      </c>
      <c r="C30" s="10" t="s">
        <v>6</v>
      </c>
      <c r="D30" s="7">
        <v>0</v>
      </c>
      <c r="E30" s="7">
        <v>22000</v>
      </c>
      <c r="F30" s="19">
        <f>D30*E30</f>
        <v>0</v>
      </c>
      <c r="G30" s="1"/>
      <c r="H30" s="81">
        <v>3</v>
      </c>
      <c r="I30" s="53" t="s">
        <v>6</v>
      </c>
      <c r="J30" s="69">
        <f>FEB!O30</f>
        <v>231</v>
      </c>
      <c r="K30" s="69">
        <v>0</v>
      </c>
      <c r="L30" s="69">
        <f>SUM(J30:K30)</f>
        <v>231</v>
      </c>
      <c r="M30" s="74">
        <f>P19</f>
        <v>22</v>
      </c>
      <c r="N30" s="53">
        <v>0</v>
      </c>
      <c r="O30" s="69">
        <f>L30-M30-N30</f>
        <v>209</v>
      </c>
      <c r="P30" s="77">
        <v>25000</v>
      </c>
      <c r="Q30" s="80">
        <f t="shared" si="9"/>
        <v>5225000</v>
      </c>
    </row>
    <row r="31" spans="1:20" ht="16.5" customHeight="1" thickBot="1" x14ac:dyDescent="0.3">
      <c r="B31" s="18">
        <v>4</v>
      </c>
      <c r="C31" s="31" t="s">
        <v>30</v>
      </c>
      <c r="D31" s="7">
        <v>16000</v>
      </c>
      <c r="E31" s="7">
        <v>4350</v>
      </c>
      <c r="F31" s="19">
        <f>D31*E31</f>
        <v>69600000</v>
      </c>
      <c r="G31" s="1"/>
      <c r="H31" s="82">
        <v>4</v>
      </c>
      <c r="I31" s="66" t="s">
        <v>15</v>
      </c>
      <c r="J31" s="71">
        <f>FEB!O31</f>
        <v>53150</v>
      </c>
      <c r="K31" s="71">
        <f>D31+D32</f>
        <v>48000</v>
      </c>
      <c r="L31" s="72">
        <f>SUM(J31:K31)</f>
        <v>101150</v>
      </c>
      <c r="M31" s="75">
        <f>P20+P21+P22</f>
        <v>64600</v>
      </c>
      <c r="N31" s="54">
        <v>100</v>
      </c>
      <c r="O31" s="71">
        <f>L31-M31-N31</f>
        <v>36450</v>
      </c>
      <c r="P31" s="72">
        <v>4000</v>
      </c>
      <c r="Q31" s="70">
        <f>O31*P31</f>
        <v>145800000</v>
      </c>
    </row>
    <row r="32" spans="1:20" ht="16.5" customHeight="1" thickBot="1" x14ac:dyDescent="0.3">
      <c r="B32" s="18">
        <v>5</v>
      </c>
      <c r="C32" s="31" t="s">
        <v>23</v>
      </c>
      <c r="D32" s="7">
        <v>32000</v>
      </c>
      <c r="E32" s="7">
        <v>4190</v>
      </c>
      <c r="F32" s="19">
        <f t="shared" ref="F32" si="10">D32*E32</f>
        <v>134080000</v>
      </c>
      <c r="G32" s="1"/>
      <c r="H32" s="174"/>
      <c r="I32" s="175"/>
      <c r="J32" s="88"/>
      <c r="K32" s="79"/>
      <c r="L32" s="88"/>
      <c r="M32" s="88"/>
      <c r="N32" s="88"/>
      <c r="O32" s="88" t="s">
        <v>2</v>
      </c>
      <c r="P32" s="88"/>
      <c r="Q32" s="83">
        <f>SUM(Q28:Q31)</f>
        <v>151685000</v>
      </c>
    </row>
    <row r="33" spans="2:18" s="15" customFormat="1" ht="16.5" customHeight="1" thickBot="1" x14ac:dyDescent="0.3">
      <c r="B33" s="166" t="s">
        <v>9</v>
      </c>
      <c r="C33" s="167"/>
      <c r="D33" s="20">
        <f>SUM(D28:D32)</f>
        <v>48000</v>
      </c>
      <c r="E33" s="20"/>
      <c r="F33" s="36">
        <f>SUM(F28:F32)</f>
        <v>203680000</v>
      </c>
    </row>
    <row r="34" spans="2:18" ht="16.5" customHeight="1" x14ac:dyDescent="0.25">
      <c r="D34" s="2"/>
      <c r="H34" s="1"/>
    </row>
    <row r="35" spans="2:18" ht="16.5" customHeight="1" x14ac:dyDescent="0.25">
      <c r="B35" s="8"/>
      <c r="C35" s="8"/>
      <c r="D35" s="2"/>
      <c r="E35" s="8"/>
      <c r="F35" s="8"/>
      <c r="G35" s="8"/>
      <c r="H35" s="8"/>
      <c r="I35" s="8"/>
      <c r="J35" s="8"/>
      <c r="K35" s="121" t="s">
        <v>51</v>
      </c>
      <c r="M35" s="8"/>
    </row>
    <row r="36" spans="2:18" ht="16.5" customHeight="1" x14ac:dyDescent="0.25">
      <c r="D36" s="2"/>
      <c r="E36" s="8"/>
      <c r="F36" s="168" t="s">
        <v>10</v>
      </c>
      <c r="G36" s="168"/>
      <c r="H36" s="8"/>
      <c r="I36" s="8"/>
      <c r="J36" s="8" t="s">
        <v>14</v>
      </c>
      <c r="K36" s="168" t="s">
        <v>11</v>
      </c>
      <c r="L36" s="168"/>
      <c r="M36" s="8"/>
    </row>
    <row r="37" spans="2:18" ht="16.5" customHeight="1" x14ac:dyDescent="0.25">
      <c r="D37" s="2"/>
      <c r="E37" s="89"/>
      <c r="F37" s="89"/>
      <c r="G37" s="89"/>
      <c r="H37" s="8"/>
      <c r="I37" s="8"/>
      <c r="J37" s="8"/>
      <c r="K37" s="89"/>
      <c r="L37" s="89"/>
      <c r="M37" s="89"/>
    </row>
    <row r="38" spans="2:18" ht="16.5" customHeight="1" x14ac:dyDescent="0.25">
      <c r="D38" s="2"/>
      <c r="E38" s="8"/>
      <c r="F38" s="8"/>
      <c r="G38" s="8"/>
      <c r="H38" s="8"/>
      <c r="I38" s="8"/>
      <c r="J38" s="8"/>
      <c r="K38" s="8"/>
      <c r="L38" s="8"/>
      <c r="M38" s="23"/>
    </row>
    <row r="39" spans="2:18" ht="16.5" customHeight="1" x14ac:dyDescent="0.25">
      <c r="D39" s="2"/>
      <c r="E39" s="22"/>
      <c r="F39" s="22"/>
      <c r="G39" s="22"/>
      <c r="H39" s="8"/>
      <c r="I39" s="8"/>
      <c r="J39" s="8"/>
      <c r="K39" s="8"/>
      <c r="L39" s="8"/>
      <c r="M39" s="23"/>
    </row>
    <row r="40" spans="2:18" ht="16.5" customHeight="1" x14ac:dyDescent="0.25">
      <c r="D40" s="2"/>
      <c r="E40" s="8"/>
      <c r="F40" s="171" t="s">
        <v>12</v>
      </c>
      <c r="G40" s="171"/>
      <c r="H40" s="8"/>
      <c r="I40" s="8"/>
      <c r="J40" s="8"/>
      <c r="K40" s="171" t="s">
        <v>13</v>
      </c>
      <c r="L40" s="171"/>
      <c r="M40" s="8"/>
    </row>
    <row r="41" spans="2:18" ht="16.5" customHeight="1" x14ac:dyDescent="0.25">
      <c r="E41" s="89"/>
      <c r="F41" s="8"/>
      <c r="G41" s="8"/>
      <c r="H41" s="8"/>
      <c r="I41" s="8"/>
      <c r="J41" s="8"/>
      <c r="K41" s="8"/>
      <c r="L41" s="8"/>
      <c r="M41" s="8"/>
    </row>
    <row r="42" spans="2:18" ht="16.5" customHeight="1" x14ac:dyDescent="0.25">
      <c r="E42" s="89"/>
      <c r="F42" s="89"/>
      <c r="G42" s="89"/>
      <c r="H42" s="89"/>
      <c r="I42" s="8"/>
      <c r="J42" s="8"/>
      <c r="K42" s="8"/>
      <c r="L42" s="8"/>
      <c r="M42" s="8"/>
    </row>
    <row r="46" spans="2:18" ht="16.5" customHeight="1" x14ac:dyDescent="0.25">
      <c r="Q46" s="28"/>
      <c r="R46" s="28"/>
    </row>
    <row r="5055" spans="7:7" ht="16.5" customHeight="1" x14ac:dyDescent="0.25">
      <c r="G5055" s="2">
        <v>9</v>
      </c>
    </row>
  </sheetData>
  <mergeCells count="30">
    <mergeCell ref="F40:G40"/>
    <mergeCell ref="K40:L40"/>
    <mergeCell ref="P15:Q15"/>
    <mergeCell ref="B23:C23"/>
    <mergeCell ref="H32:I32"/>
    <mergeCell ref="B33:C33"/>
    <mergeCell ref="F36:G36"/>
    <mergeCell ref="K36:L36"/>
    <mergeCell ref="B15:B16"/>
    <mergeCell ref="C15:C16"/>
    <mergeCell ref="D15:F15"/>
    <mergeCell ref="G15:I15"/>
    <mergeCell ref="J15:L15"/>
    <mergeCell ref="M15:O15"/>
    <mergeCell ref="B12:C12"/>
    <mergeCell ref="N12:O12"/>
    <mergeCell ref="A1:Q1"/>
    <mergeCell ref="A2:Q2"/>
    <mergeCell ref="B5:B6"/>
    <mergeCell ref="C5:C6"/>
    <mergeCell ref="D5:F5"/>
    <mergeCell ref="G5:I5"/>
    <mergeCell ref="J5:L5"/>
    <mergeCell ref="M5:O5"/>
    <mergeCell ref="N6:O6"/>
    <mergeCell ref="N7:O7"/>
    <mergeCell ref="N8:O8"/>
    <mergeCell ref="N9:O9"/>
    <mergeCell ref="N10:O10"/>
    <mergeCell ref="N11:O11"/>
  </mergeCells>
  <printOptions horizontalCentered="1" verticalCentered="1"/>
  <pageMargins left="0" right="0" top="0" bottom="0" header="0" footer="0"/>
  <pageSetup paperSize="10000" scale="85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E12A-96F9-4B88-9604-3FA0EBF8AE9A}">
  <dimension ref="A1:T5055"/>
  <sheetViews>
    <sheetView topLeftCell="A10" workbookViewId="0">
      <selection activeCell="F31" sqref="F31:F32"/>
    </sheetView>
  </sheetViews>
  <sheetFormatPr defaultRowHeight="16.5" customHeight="1" x14ac:dyDescent="0.25"/>
  <cols>
    <col min="1" max="1" width="3.85546875" style="1" customWidth="1"/>
    <col min="2" max="2" width="4.140625" style="1" bestFit="1" customWidth="1"/>
    <col min="3" max="3" width="19.85546875" style="1" bestFit="1" customWidth="1"/>
    <col min="4" max="4" width="8.7109375" style="1" bestFit="1" customWidth="1"/>
    <col min="5" max="5" width="15.7109375" style="2" bestFit="1" customWidth="1"/>
    <col min="6" max="6" width="14" style="2" bestFit="1" customWidth="1"/>
    <col min="7" max="7" width="8.7109375" style="2" bestFit="1" customWidth="1"/>
    <col min="8" max="8" width="8.7109375" style="2" customWidth="1"/>
    <col min="9" max="9" width="15.140625" style="1" bestFit="1" customWidth="1"/>
    <col min="10" max="10" width="8.7109375" style="1" bestFit="1" customWidth="1"/>
    <col min="11" max="11" width="13.140625" style="1" customWidth="1"/>
    <col min="12" max="12" width="13" style="1" customWidth="1"/>
    <col min="13" max="13" width="12.5703125" style="1" bestFit="1" customWidth="1"/>
    <col min="14" max="14" width="7.5703125" style="1" bestFit="1" customWidth="1"/>
    <col min="15" max="15" width="11.5703125" style="1" bestFit="1" customWidth="1"/>
    <col min="16" max="16" width="8.7109375" style="1" bestFit="1" customWidth="1"/>
    <col min="17" max="17" width="14" style="1" bestFit="1" customWidth="1"/>
    <col min="18" max="18" width="7.140625" style="1" customWidth="1"/>
    <col min="19" max="19" width="8.7109375" style="1" bestFit="1" customWidth="1"/>
    <col min="20" max="20" width="14" style="1" bestFit="1" customWidth="1"/>
    <col min="21" max="16384" width="9.140625" style="1"/>
  </cols>
  <sheetData>
    <row r="1" spans="1:18" s="24" customFormat="1" ht="16.5" customHeight="1" x14ac:dyDescent="0.25">
      <c r="A1" s="176" t="s">
        <v>26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86"/>
    </row>
    <row r="2" spans="1:18" s="24" customFormat="1" ht="24" customHeight="1" x14ac:dyDescent="0.25">
      <c r="A2" s="196">
        <v>46113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86"/>
    </row>
    <row r="3" spans="1:18" ht="8.25" customHeight="1" x14ac:dyDescent="0.25"/>
    <row r="4" spans="1:18" s="12" customFormat="1" ht="21.75" thickBot="1" x14ac:dyDescent="0.3">
      <c r="A4" s="12" t="s">
        <v>27</v>
      </c>
      <c r="L4" s="13"/>
      <c r="M4" s="13"/>
      <c r="N4" s="13"/>
      <c r="O4" s="13"/>
      <c r="P4" s="13"/>
      <c r="Q4" s="13"/>
      <c r="R4" s="13"/>
    </row>
    <row r="5" spans="1:18" s="15" customFormat="1" ht="16.5" customHeight="1" x14ac:dyDescent="0.25">
      <c r="B5" s="194" t="s">
        <v>0</v>
      </c>
      <c r="C5" s="162" t="s">
        <v>38</v>
      </c>
      <c r="D5" s="160" t="s">
        <v>25</v>
      </c>
      <c r="E5" s="161"/>
      <c r="F5" s="162"/>
      <c r="G5" s="160" t="s">
        <v>1</v>
      </c>
      <c r="H5" s="161"/>
      <c r="I5" s="162"/>
      <c r="J5" s="160" t="s">
        <v>3</v>
      </c>
      <c r="K5" s="161"/>
      <c r="L5" s="162"/>
      <c r="M5" s="192" t="s">
        <v>28</v>
      </c>
      <c r="N5" s="192"/>
      <c r="O5" s="193"/>
    </row>
    <row r="6" spans="1:18" s="15" customFormat="1" ht="16.5" customHeight="1" thickBot="1" x14ac:dyDescent="0.3">
      <c r="B6" s="195"/>
      <c r="C6" s="163"/>
      <c r="D6" s="94" t="s">
        <v>18</v>
      </c>
      <c r="E6" s="14" t="s">
        <v>16</v>
      </c>
      <c r="F6" s="99" t="s">
        <v>5</v>
      </c>
      <c r="G6" s="94" t="s">
        <v>18</v>
      </c>
      <c r="H6" s="14" t="s">
        <v>16</v>
      </c>
      <c r="I6" s="99" t="s">
        <v>5</v>
      </c>
      <c r="J6" s="94" t="s">
        <v>18</v>
      </c>
      <c r="K6" s="14" t="s">
        <v>16</v>
      </c>
      <c r="L6" s="99" t="s">
        <v>5</v>
      </c>
      <c r="M6" s="94" t="s">
        <v>18</v>
      </c>
      <c r="N6" s="169" t="s">
        <v>5</v>
      </c>
      <c r="O6" s="170"/>
    </row>
    <row r="7" spans="1:18" ht="16.5" customHeight="1" thickTop="1" x14ac:dyDescent="0.25">
      <c r="B7" s="16">
        <v>1</v>
      </c>
      <c r="C7" s="40" t="s">
        <v>17</v>
      </c>
      <c r="D7" s="6">
        <v>6</v>
      </c>
      <c r="E7" s="4">
        <v>650000</v>
      </c>
      <c r="F7" s="17">
        <f>D7*E7</f>
        <v>3900000</v>
      </c>
      <c r="G7" s="6"/>
      <c r="H7" s="4"/>
      <c r="I7" s="17">
        <f>G7*H7</f>
        <v>0</v>
      </c>
      <c r="J7" s="6"/>
      <c r="K7" s="4"/>
      <c r="L7" s="17">
        <f>J7*K7</f>
        <v>0</v>
      </c>
      <c r="M7" s="6">
        <f>D7+G7-J7</f>
        <v>6</v>
      </c>
      <c r="N7" s="190">
        <f>F7+I7-L7</f>
        <v>3900000</v>
      </c>
      <c r="O7" s="191"/>
    </row>
    <row r="8" spans="1:18" ht="16.5" customHeight="1" x14ac:dyDescent="0.25">
      <c r="B8" s="18">
        <v>2</v>
      </c>
      <c r="C8" s="41" t="s">
        <v>20</v>
      </c>
      <c r="D8" s="9">
        <v>24</v>
      </c>
      <c r="E8" s="7">
        <v>130000</v>
      </c>
      <c r="F8" s="19">
        <f t="shared" ref="F8:F11" si="0">D8*E8</f>
        <v>3120000</v>
      </c>
      <c r="G8" s="9"/>
      <c r="H8" s="7"/>
      <c r="I8" s="19">
        <f t="shared" ref="I8:I11" si="1">G8*H8</f>
        <v>0</v>
      </c>
      <c r="J8" s="9"/>
      <c r="K8" s="7"/>
      <c r="L8" s="19">
        <f>J8*K8</f>
        <v>0</v>
      </c>
      <c r="M8" s="6">
        <f t="shared" ref="M8:M11" si="2">D8+G8-J8</f>
        <v>24</v>
      </c>
      <c r="N8" s="164">
        <f t="shared" ref="N8:N11" si="3">F8+I8-L8</f>
        <v>3120000</v>
      </c>
      <c r="O8" s="165"/>
    </row>
    <row r="9" spans="1:18" ht="16.5" customHeight="1" x14ac:dyDescent="0.25">
      <c r="B9" s="18">
        <v>3</v>
      </c>
      <c r="C9" s="27" t="s">
        <v>19</v>
      </c>
      <c r="D9" s="9">
        <v>32</v>
      </c>
      <c r="E9" s="7">
        <v>125000</v>
      </c>
      <c r="F9" s="19">
        <f t="shared" si="0"/>
        <v>4000000</v>
      </c>
      <c r="G9" s="9"/>
      <c r="H9" s="7"/>
      <c r="I9" s="19">
        <f t="shared" si="1"/>
        <v>0</v>
      </c>
      <c r="J9" s="9"/>
      <c r="K9" s="7"/>
      <c r="L9" s="19">
        <f t="shared" ref="L9:L11" si="4">J9*K9</f>
        <v>0</v>
      </c>
      <c r="M9" s="6">
        <f t="shared" si="2"/>
        <v>32</v>
      </c>
      <c r="N9" s="164">
        <f>F9+I9-L9</f>
        <v>4000000</v>
      </c>
      <c r="O9" s="165"/>
    </row>
    <row r="10" spans="1:18" ht="16.5" customHeight="1" x14ac:dyDescent="0.25">
      <c r="B10" s="18">
        <v>4</v>
      </c>
      <c r="C10" s="27" t="s">
        <v>21</v>
      </c>
      <c r="D10" s="9">
        <v>85</v>
      </c>
      <c r="E10" s="7">
        <v>15000</v>
      </c>
      <c r="F10" s="19">
        <f t="shared" si="0"/>
        <v>1275000</v>
      </c>
      <c r="G10" s="9"/>
      <c r="H10" s="7"/>
      <c r="I10" s="19">
        <f t="shared" si="1"/>
        <v>0</v>
      </c>
      <c r="J10" s="9"/>
      <c r="K10" s="7"/>
      <c r="L10" s="19">
        <f t="shared" si="4"/>
        <v>0</v>
      </c>
      <c r="M10" s="6">
        <f t="shared" si="2"/>
        <v>85</v>
      </c>
      <c r="N10" s="164">
        <f t="shared" si="3"/>
        <v>1275000</v>
      </c>
      <c r="O10" s="165"/>
    </row>
    <row r="11" spans="1:18" ht="16.5" customHeight="1" thickBot="1" x14ac:dyDescent="0.3">
      <c r="B11" s="33">
        <v>5</v>
      </c>
      <c r="C11" s="42" t="s">
        <v>22</v>
      </c>
      <c r="D11" s="44">
        <v>175</v>
      </c>
      <c r="E11" s="34">
        <v>50000</v>
      </c>
      <c r="F11" s="35">
        <f t="shared" si="0"/>
        <v>8750000</v>
      </c>
      <c r="G11" s="44"/>
      <c r="H11" s="34"/>
      <c r="I11" s="35">
        <f t="shared" si="1"/>
        <v>0</v>
      </c>
      <c r="J11" s="44"/>
      <c r="K11" s="34"/>
      <c r="L11" s="35">
        <f t="shared" si="4"/>
        <v>0</v>
      </c>
      <c r="M11" s="44">
        <f t="shared" si="2"/>
        <v>175</v>
      </c>
      <c r="N11" s="186">
        <f t="shared" si="3"/>
        <v>8750000</v>
      </c>
      <c r="O11" s="187"/>
    </row>
    <row r="12" spans="1:18" s="15" customFormat="1" ht="16.5" customHeight="1" thickBot="1" x14ac:dyDescent="0.3">
      <c r="B12" s="172" t="s">
        <v>7</v>
      </c>
      <c r="C12" s="173"/>
      <c r="D12" s="45"/>
      <c r="E12" s="46"/>
      <c r="F12" s="47">
        <f>SUM(F7:F11)</f>
        <v>21045000</v>
      </c>
      <c r="G12" s="48"/>
      <c r="H12" s="49"/>
      <c r="I12" s="47">
        <f>SUM(I7:I11)</f>
        <v>0</v>
      </c>
      <c r="J12" s="45">
        <f>SUM(J7:J11)</f>
        <v>0</v>
      </c>
      <c r="K12" s="46">
        <f>SUM(K7:K11)</f>
        <v>0</v>
      </c>
      <c r="L12" s="47">
        <f>SUM(L7:L11)</f>
        <v>0</v>
      </c>
      <c r="M12" s="21"/>
      <c r="N12" s="188">
        <f>SUM(N7:N11)</f>
        <v>21045000</v>
      </c>
      <c r="O12" s="189"/>
    </row>
    <row r="13" spans="1:18" ht="14.25" customHeight="1" x14ac:dyDescent="0.25"/>
    <row r="14" spans="1:18" ht="21.75" thickBot="1" x14ac:dyDescent="0.3">
      <c r="A14" s="12" t="s">
        <v>42</v>
      </c>
      <c r="D14" s="2"/>
      <c r="H14" s="1"/>
    </row>
    <row r="15" spans="1:18" s="37" customFormat="1" ht="13.5" customHeight="1" x14ac:dyDescent="0.25">
      <c r="B15" s="184" t="s">
        <v>0</v>
      </c>
      <c r="C15" s="182" t="s">
        <v>40</v>
      </c>
      <c r="D15" s="179" t="s">
        <v>8</v>
      </c>
      <c r="E15" s="180"/>
      <c r="F15" s="181"/>
      <c r="G15" s="179" t="s">
        <v>35</v>
      </c>
      <c r="H15" s="180"/>
      <c r="I15" s="181"/>
      <c r="J15" s="179" t="s">
        <v>36</v>
      </c>
      <c r="K15" s="180"/>
      <c r="L15" s="181"/>
      <c r="M15" s="179" t="s">
        <v>34</v>
      </c>
      <c r="N15" s="180"/>
      <c r="O15" s="181"/>
      <c r="P15" s="179" t="s">
        <v>2</v>
      </c>
      <c r="Q15" s="181"/>
    </row>
    <row r="16" spans="1:18" s="37" customFormat="1" ht="13.5" customHeight="1" thickBot="1" x14ac:dyDescent="0.3">
      <c r="B16" s="185"/>
      <c r="C16" s="183"/>
      <c r="D16" s="56" t="s">
        <v>4</v>
      </c>
      <c r="E16" s="57" t="s">
        <v>16</v>
      </c>
      <c r="F16" s="58" t="s">
        <v>5</v>
      </c>
      <c r="G16" s="56" t="s">
        <v>4</v>
      </c>
      <c r="H16" s="57" t="s">
        <v>16</v>
      </c>
      <c r="I16" s="59" t="s">
        <v>5</v>
      </c>
      <c r="J16" s="56" t="s">
        <v>4</v>
      </c>
      <c r="K16" s="57" t="s">
        <v>16</v>
      </c>
      <c r="L16" s="58" t="s">
        <v>5</v>
      </c>
      <c r="M16" s="56" t="s">
        <v>4</v>
      </c>
      <c r="N16" s="57" t="s">
        <v>16</v>
      </c>
      <c r="O16" s="58" t="s">
        <v>5</v>
      </c>
      <c r="P16" s="56" t="s">
        <v>4</v>
      </c>
      <c r="Q16" s="60" t="s">
        <v>5</v>
      </c>
    </row>
    <row r="17" spans="1:20" ht="16.5" customHeight="1" x14ac:dyDescent="0.25">
      <c r="B17" s="50">
        <v>1</v>
      </c>
      <c r="C17" s="52" t="s">
        <v>29</v>
      </c>
      <c r="D17" s="6">
        <v>0</v>
      </c>
      <c r="E17" s="4"/>
      <c r="F17" s="17">
        <f>D17*E17</f>
        <v>0</v>
      </c>
      <c r="G17" s="6"/>
      <c r="H17" s="4">
        <v>3900</v>
      </c>
      <c r="I17" s="17">
        <f>G17*H17</f>
        <v>0</v>
      </c>
      <c r="J17" s="6"/>
      <c r="K17" s="4">
        <v>3900</v>
      </c>
      <c r="L17" s="5">
        <f>J17*K17</f>
        <v>0</v>
      </c>
      <c r="M17" s="61"/>
      <c r="N17" s="62"/>
      <c r="O17" s="63">
        <f>M17*N17</f>
        <v>0</v>
      </c>
      <c r="P17" s="6">
        <f>G17+D17+J17</f>
        <v>0</v>
      </c>
      <c r="Q17" s="17">
        <f>I17+F17+L17</f>
        <v>0</v>
      </c>
    </row>
    <row r="18" spans="1:20" ht="16.5" customHeight="1" x14ac:dyDescent="0.25">
      <c r="B18" s="50">
        <v>2</v>
      </c>
      <c r="C18" s="53" t="s">
        <v>24</v>
      </c>
      <c r="D18" s="9"/>
      <c r="E18" s="7">
        <v>30000</v>
      </c>
      <c r="F18" s="19">
        <f>D18*E18</f>
        <v>0</v>
      </c>
      <c r="G18" s="9"/>
      <c r="H18" s="7">
        <v>30000</v>
      </c>
      <c r="I18" s="19">
        <f>G18*H18</f>
        <v>0</v>
      </c>
      <c r="J18" s="9"/>
      <c r="K18" s="7"/>
      <c r="L18" s="11">
        <f>J18*K18</f>
        <v>0</v>
      </c>
      <c r="M18" s="26"/>
      <c r="N18" s="7"/>
      <c r="O18" s="19">
        <f>M18*N18</f>
        <v>0</v>
      </c>
      <c r="P18" s="9">
        <f>G18+D18+J18</f>
        <v>0</v>
      </c>
      <c r="Q18" s="19">
        <f>I18+F18+L18</f>
        <v>0</v>
      </c>
    </row>
    <row r="19" spans="1:20" ht="16.5" customHeight="1" x14ac:dyDescent="0.25">
      <c r="B19" s="50">
        <v>3</v>
      </c>
      <c r="C19" s="53" t="s">
        <v>6</v>
      </c>
      <c r="D19" s="9"/>
      <c r="E19" s="7">
        <v>25000</v>
      </c>
      <c r="F19" s="19">
        <f>D19*E19</f>
        <v>0</v>
      </c>
      <c r="G19" s="9">
        <v>6</v>
      </c>
      <c r="H19" s="7">
        <v>25000</v>
      </c>
      <c r="I19" s="19">
        <f>G19*H19</f>
        <v>150000</v>
      </c>
      <c r="J19" s="9"/>
      <c r="K19" s="7"/>
      <c r="L19" s="11">
        <f>J19*K19</f>
        <v>0</v>
      </c>
      <c r="M19" s="26"/>
      <c r="N19" s="7"/>
      <c r="O19" s="19">
        <f t="shared" ref="O19" si="5">M19*N19</f>
        <v>0</v>
      </c>
      <c r="P19" s="9">
        <f>G19+D19+J19</f>
        <v>6</v>
      </c>
      <c r="Q19" s="19">
        <f>I19+F19+L19</f>
        <v>150000</v>
      </c>
    </row>
    <row r="20" spans="1:20" ht="16.5" customHeight="1" x14ac:dyDescent="0.25">
      <c r="B20" s="50">
        <v>4</v>
      </c>
      <c r="C20" s="53" t="s">
        <v>31</v>
      </c>
      <c r="D20" s="9">
        <v>21000</v>
      </c>
      <c r="E20" s="7">
        <v>4100</v>
      </c>
      <c r="F20" s="19">
        <f>D20*E20</f>
        <v>86100000</v>
      </c>
      <c r="G20" s="9">
        <v>27900</v>
      </c>
      <c r="H20" s="7">
        <v>4100</v>
      </c>
      <c r="I20" s="19">
        <f>G20*H20</f>
        <v>114390000</v>
      </c>
      <c r="J20" s="9">
        <v>13700</v>
      </c>
      <c r="K20" s="7">
        <v>4100</v>
      </c>
      <c r="L20" s="11">
        <f>J20*K20</f>
        <v>56170000</v>
      </c>
      <c r="M20" s="26">
        <v>400</v>
      </c>
      <c r="N20" s="7">
        <v>4100</v>
      </c>
      <c r="O20" s="19">
        <f>M20*N20</f>
        <v>1640000</v>
      </c>
      <c r="P20" s="9">
        <f>G20+D20+J20</f>
        <v>62600</v>
      </c>
      <c r="Q20" s="19">
        <f>I20+F20+L20</f>
        <v>256660000</v>
      </c>
    </row>
    <row r="21" spans="1:20" ht="16.5" customHeight="1" x14ac:dyDescent="0.25">
      <c r="B21" s="81">
        <v>5</v>
      </c>
      <c r="C21" s="53" t="s">
        <v>32</v>
      </c>
      <c r="D21" s="9">
        <v>1800</v>
      </c>
      <c r="E21" s="7">
        <v>4200</v>
      </c>
      <c r="F21" s="19">
        <f t="shared" ref="F21:F22" si="6">D21*E21</f>
        <v>7560000</v>
      </c>
      <c r="G21" s="9"/>
      <c r="H21" s="7"/>
      <c r="I21" s="19">
        <f t="shared" ref="I21:I22" si="7">G21*H21</f>
        <v>0</v>
      </c>
      <c r="J21" s="9"/>
      <c r="K21" s="7"/>
      <c r="L21" s="11">
        <f t="shared" ref="L21:L22" si="8">J21*K21</f>
        <v>0</v>
      </c>
      <c r="M21" s="26"/>
      <c r="N21" s="7"/>
      <c r="O21" s="19">
        <f>M21*N21</f>
        <v>0</v>
      </c>
      <c r="P21" s="9">
        <f>G21+D21+J21</f>
        <v>1800</v>
      </c>
      <c r="Q21" s="19">
        <f>I21+F21+L21</f>
        <v>7560000</v>
      </c>
    </row>
    <row r="22" spans="1:20" ht="16.5" customHeight="1" thickBot="1" x14ac:dyDescent="0.3">
      <c r="B22" s="51">
        <v>6</v>
      </c>
      <c r="C22" s="109" t="s">
        <v>52</v>
      </c>
      <c r="D22" s="110">
        <v>700</v>
      </c>
      <c r="E22" s="111">
        <v>4400</v>
      </c>
      <c r="F22" s="112">
        <f t="shared" si="6"/>
        <v>3080000</v>
      </c>
      <c r="G22" s="110"/>
      <c r="H22" s="111"/>
      <c r="I22" s="112">
        <f t="shared" si="7"/>
        <v>0</v>
      </c>
      <c r="J22" s="110"/>
      <c r="K22" s="111"/>
      <c r="L22" s="113">
        <f t="shared" si="8"/>
        <v>0</v>
      </c>
      <c r="M22" s="114"/>
      <c r="N22" s="111"/>
      <c r="O22" s="112">
        <f>M22*N22</f>
        <v>0</v>
      </c>
      <c r="P22" s="110">
        <f>G22+D22+J22+M22</f>
        <v>700</v>
      </c>
      <c r="Q22" s="112">
        <f>I22+F22+L22+O22</f>
        <v>3080000</v>
      </c>
      <c r="T22" s="106"/>
    </row>
    <row r="23" spans="1:20" s="15" customFormat="1" ht="16.5" customHeight="1" thickBot="1" x14ac:dyDescent="0.3">
      <c r="B23" s="177" t="s">
        <v>9</v>
      </c>
      <c r="C23" s="178"/>
      <c r="D23" s="55">
        <f>SUM(D17:D22)</f>
        <v>23500</v>
      </c>
      <c r="E23" s="20"/>
      <c r="F23" s="55">
        <f>SUM(F17:F22)</f>
        <v>96740000</v>
      </c>
      <c r="G23" s="55">
        <f>SUM(G17:G22)</f>
        <v>27906</v>
      </c>
      <c r="H23" s="20"/>
      <c r="I23" s="55">
        <f>SUM(I17:I22)</f>
        <v>114540000</v>
      </c>
      <c r="J23" s="55">
        <f>SUM(J17:J22)</f>
        <v>13700</v>
      </c>
      <c r="K23" s="20"/>
      <c r="L23" s="55">
        <f>SUM(L17:L22)</f>
        <v>56170000</v>
      </c>
      <c r="M23" s="55">
        <f>SUM(M17:M22)</f>
        <v>400</v>
      </c>
      <c r="N23" s="20"/>
      <c r="O23" s="55">
        <f>SUM(O17:O22)</f>
        <v>1640000</v>
      </c>
      <c r="P23" s="55">
        <f>SUM(P17:P22)</f>
        <v>65106</v>
      </c>
      <c r="Q23" s="55">
        <f>SUM(Q17:Q22)</f>
        <v>267450000</v>
      </c>
    </row>
    <row r="24" spans="1:20" s="15" customFormat="1" ht="16.5" customHeight="1" x14ac:dyDescent="0.25">
      <c r="B24" s="25"/>
      <c r="C24" s="2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</row>
    <row r="25" spans="1:20" s="15" customFormat="1" ht="16.5" customHeight="1" x14ac:dyDescent="0.25">
      <c r="B25" s="25"/>
      <c r="C25" s="2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</row>
    <row r="26" spans="1:20" s="12" customFormat="1" ht="21.75" thickBot="1" x14ac:dyDescent="0.3">
      <c r="A26" s="12" t="s">
        <v>43</v>
      </c>
      <c r="E26" s="13"/>
      <c r="F26" s="13"/>
      <c r="G26" s="13"/>
      <c r="H26" s="12" t="s">
        <v>39</v>
      </c>
      <c r="L26" s="13"/>
      <c r="M26" s="13"/>
      <c r="N26" s="13"/>
      <c r="O26" s="13"/>
    </row>
    <row r="27" spans="1:20" s="64" customFormat="1" ht="32.25" thickBot="1" x14ac:dyDescent="0.3">
      <c r="B27" s="96" t="s">
        <v>0</v>
      </c>
      <c r="C27" s="39" t="s">
        <v>40</v>
      </c>
      <c r="D27" s="39" t="s">
        <v>4</v>
      </c>
      <c r="E27" s="39" t="s">
        <v>16</v>
      </c>
      <c r="F27" s="97" t="s">
        <v>5</v>
      </c>
      <c r="H27" s="65" t="s">
        <v>0</v>
      </c>
      <c r="I27" s="93" t="s">
        <v>40</v>
      </c>
      <c r="J27" s="67" t="s">
        <v>25</v>
      </c>
      <c r="K27" s="67" t="s">
        <v>1</v>
      </c>
      <c r="L27" s="67" t="s">
        <v>37</v>
      </c>
      <c r="M27" s="67" t="s">
        <v>3</v>
      </c>
      <c r="N27" s="67" t="s">
        <v>44</v>
      </c>
      <c r="O27" s="67" t="s">
        <v>49</v>
      </c>
      <c r="P27" s="93" t="s">
        <v>16</v>
      </c>
      <c r="Q27" s="67" t="s">
        <v>45</v>
      </c>
    </row>
    <row r="28" spans="1:20" ht="16.5" customHeight="1" x14ac:dyDescent="0.25">
      <c r="B28" s="16">
        <v>1</v>
      </c>
      <c r="C28" s="32" t="s">
        <v>29</v>
      </c>
      <c r="D28" s="4">
        <v>0</v>
      </c>
      <c r="E28" s="4"/>
      <c r="F28" s="17">
        <f>D28*E28</f>
        <v>0</v>
      </c>
      <c r="G28" s="1"/>
      <c r="H28" s="50">
        <v>1</v>
      </c>
      <c r="I28" s="52" t="s">
        <v>41</v>
      </c>
      <c r="J28" s="68">
        <f>MAR!O28</f>
        <v>0</v>
      </c>
      <c r="K28" s="68">
        <v>0</v>
      </c>
      <c r="L28" s="68">
        <f>SUM(J28:K28)</f>
        <v>0</v>
      </c>
      <c r="M28" s="73">
        <f>P17</f>
        <v>0</v>
      </c>
      <c r="N28" s="52"/>
      <c r="O28" s="68">
        <f>L28-M28-N28</f>
        <v>0</v>
      </c>
      <c r="P28" s="76">
        <v>3900</v>
      </c>
      <c r="Q28" s="68">
        <f>O28*P28</f>
        <v>0</v>
      </c>
    </row>
    <row r="29" spans="1:20" ht="16.5" customHeight="1" x14ac:dyDescent="0.25">
      <c r="B29" s="18">
        <v>2</v>
      </c>
      <c r="C29" s="10" t="s">
        <v>24</v>
      </c>
      <c r="D29" s="7">
        <v>0</v>
      </c>
      <c r="E29" s="7">
        <v>25000</v>
      </c>
      <c r="F29" s="19">
        <f>D29*E29</f>
        <v>0</v>
      </c>
      <c r="G29" s="1"/>
      <c r="H29" s="81">
        <v>2</v>
      </c>
      <c r="I29" s="53" t="s">
        <v>24</v>
      </c>
      <c r="J29" s="69">
        <f>MAR!O29</f>
        <v>22</v>
      </c>
      <c r="K29" s="69"/>
      <c r="L29" s="69">
        <f>SUM(J29:K29)</f>
        <v>22</v>
      </c>
      <c r="M29" s="74">
        <f>P18</f>
        <v>0</v>
      </c>
      <c r="N29" s="53">
        <v>0</v>
      </c>
      <c r="O29" s="69">
        <f>L29-M29-N29</f>
        <v>22</v>
      </c>
      <c r="P29" s="77">
        <v>30000</v>
      </c>
      <c r="Q29" s="80">
        <f t="shared" ref="Q29:Q30" si="9">O29*P29</f>
        <v>660000</v>
      </c>
    </row>
    <row r="30" spans="1:20" ht="16.5" customHeight="1" x14ac:dyDescent="0.25">
      <c r="B30" s="18">
        <v>3</v>
      </c>
      <c r="C30" s="10" t="s">
        <v>6</v>
      </c>
      <c r="D30" s="7">
        <v>0</v>
      </c>
      <c r="E30" s="7">
        <v>22000</v>
      </c>
      <c r="F30" s="19">
        <f>D30*E30</f>
        <v>0</v>
      </c>
      <c r="G30" s="1"/>
      <c r="H30" s="81">
        <v>3</v>
      </c>
      <c r="I30" s="53" t="s">
        <v>6</v>
      </c>
      <c r="J30" s="69">
        <f>MAR!O30</f>
        <v>209</v>
      </c>
      <c r="K30" s="69">
        <v>0</v>
      </c>
      <c r="L30" s="69">
        <f>SUM(J30:K30)</f>
        <v>209</v>
      </c>
      <c r="M30" s="74">
        <f>P19</f>
        <v>6</v>
      </c>
      <c r="N30" s="53">
        <v>0</v>
      </c>
      <c r="O30" s="69">
        <f>L30-M30-N30</f>
        <v>203</v>
      </c>
      <c r="P30" s="77">
        <v>25000</v>
      </c>
      <c r="Q30" s="80">
        <f t="shared" si="9"/>
        <v>5075000</v>
      </c>
    </row>
    <row r="31" spans="1:20" ht="16.5" customHeight="1" thickBot="1" x14ac:dyDescent="0.3">
      <c r="B31" s="18">
        <v>4</v>
      </c>
      <c r="C31" s="31" t="s">
        <v>30</v>
      </c>
      <c r="D31" s="7">
        <v>24000</v>
      </c>
      <c r="E31" s="7">
        <v>4475</v>
      </c>
      <c r="F31" s="19">
        <f>D31*E31</f>
        <v>107400000</v>
      </c>
      <c r="G31" s="1"/>
      <c r="H31" s="82">
        <v>4</v>
      </c>
      <c r="I31" s="66" t="s">
        <v>15</v>
      </c>
      <c r="J31" s="71">
        <f>MAR!O31</f>
        <v>36450</v>
      </c>
      <c r="K31" s="71">
        <f>D31+D32</f>
        <v>64000</v>
      </c>
      <c r="L31" s="72">
        <f>SUM(J31:K31)</f>
        <v>100450</v>
      </c>
      <c r="M31" s="75">
        <f>P20+P21+P22</f>
        <v>65100</v>
      </c>
      <c r="N31" s="54">
        <v>250</v>
      </c>
      <c r="O31" s="71">
        <f>L31-M31-N31</f>
        <v>35100</v>
      </c>
      <c r="P31" s="72">
        <v>4100</v>
      </c>
      <c r="Q31" s="70">
        <f>O31*P31</f>
        <v>143910000</v>
      </c>
    </row>
    <row r="32" spans="1:20" ht="16.5" customHeight="1" thickBot="1" x14ac:dyDescent="0.3">
      <c r="B32" s="18">
        <v>5</v>
      </c>
      <c r="C32" s="31" t="s">
        <v>23</v>
      </c>
      <c r="D32" s="7">
        <v>40000</v>
      </c>
      <c r="E32" s="7">
        <v>4340</v>
      </c>
      <c r="F32" s="19">
        <f t="shared" ref="F32" si="10">D32*E32</f>
        <v>173600000</v>
      </c>
      <c r="G32" s="1"/>
      <c r="H32" s="174"/>
      <c r="I32" s="175"/>
      <c r="J32" s="98"/>
      <c r="K32" s="79"/>
      <c r="L32" s="98"/>
      <c r="M32" s="98"/>
      <c r="N32" s="98"/>
      <c r="O32" s="98" t="s">
        <v>2</v>
      </c>
      <c r="P32" s="98"/>
      <c r="Q32" s="83">
        <f>SUM(Q28:Q31)</f>
        <v>149645000</v>
      </c>
    </row>
    <row r="33" spans="2:18" s="15" customFormat="1" ht="16.5" customHeight="1" thickBot="1" x14ac:dyDescent="0.3">
      <c r="B33" s="166" t="s">
        <v>9</v>
      </c>
      <c r="C33" s="167"/>
      <c r="D33" s="20">
        <f>SUM(D28:D32)</f>
        <v>64000</v>
      </c>
      <c r="E33" s="20"/>
      <c r="F33" s="36">
        <f>SUM(F28:F32)</f>
        <v>281000000</v>
      </c>
    </row>
    <row r="34" spans="2:18" ht="16.5" customHeight="1" x14ac:dyDescent="0.25">
      <c r="D34" s="2"/>
      <c r="H34" s="1"/>
    </row>
    <row r="35" spans="2:18" ht="16.5" customHeight="1" x14ac:dyDescent="0.25">
      <c r="B35" s="8"/>
      <c r="C35" s="8"/>
      <c r="D35" s="128"/>
      <c r="E35" s="8"/>
      <c r="F35" s="8"/>
      <c r="G35" s="8"/>
      <c r="H35" s="8"/>
      <c r="I35" s="8"/>
      <c r="J35" s="8"/>
      <c r="K35" s="121" t="s">
        <v>54</v>
      </c>
      <c r="M35" s="8"/>
    </row>
    <row r="36" spans="2:18" ht="16.5" customHeight="1" x14ac:dyDescent="0.25">
      <c r="D36" s="2"/>
      <c r="E36" s="8"/>
      <c r="F36" s="168" t="s">
        <v>10</v>
      </c>
      <c r="G36" s="168"/>
      <c r="H36" s="8"/>
      <c r="I36" s="8"/>
      <c r="J36" s="8" t="s">
        <v>14</v>
      </c>
      <c r="K36" s="168" t="s">
        <v>11</v>
      </c>
      <c r="L36" s="168"/>
      <c r="M36" s="8"/>
    </row>
    <row r="37" spans="2:18" ht="16.5" customHeight="1" x14ac:dyDescent="0.25">
      <c r="D37" s="2"/>
      <c r="E37" s="127"/>
      <c r="F37" s="95"/>
      <c r="G37" s="95"/>
      <c r="H37" s="8"/>
      <c r="I37" s="8"/>
      <c r="J37" s="8"/>
      <c r="K37" s="95"/>
      <c r="L37" s="95"/>
      <c r="M37" s="95"/>
    </row>
    <row r="38" spans="2:18" ht="16.5" customHeight="1" x14ac:dyDescent="0.25">
      <c r="D38" s="2"/>
      <c r="E38" s="8"/>
      <c r="F38" s="8"/>
      <c r="G38" s="8"/>
      <c r="H38" s="8"/>
      <c r="I38" s="8"/>
      <c r="J38" s="8"/>
      <c r="K38" s="8"/>
      <c r="L38" s="8"/>
      <c r="M38" s="23"/>
    </row>
    <row r="39" spans="2:18" ht="16.5" customHeight="1" x14ac:dyDescent="0.25">
      <c r="D39" s="2"/>
      <c r="E39" s="129"/>
      <c r="F39" s="22"/>
      <c r="G39" s="22"/>
      <c r="H39" s="23"/>
      <c r="I39" s="23"/>
      <c r="J39" s="8"/>
      <c r="K39" s="8"/>
      <c r="L39" s="8"/>
      <c r="M39" s="23"/>
    </row>
    <row r="40" spans="2:18" ht="16.5" customHeight="1" x14ac:dyDescent="0.25">
      <c r="D40" s="2"/>
      <c r="E40" s="23"/>
      <c r="F40" s="171" t="s">
        <v>12</v>
      </c>
      <c r="G40" s="171"/>
      <c r="H40" s="23"/>
      <c r="I40" s="23"/>
      <c r="J40" s="8"/>
      <c r="K40" s="171" t="s">
        <v>13</v>
      </c>
      <c r="L40" s="171"/>
      <c r="M40" s="8"/>
    </row>
    <row r="41" spans="2:18" ht="16.5" customHeight="1" x14ac:dyDescent="0.25">
      <c r="E41" s="127"/>
      <c r="F41" s="8"/>
      <c r="G41" s="8"/>
      <c r="H41" s="131"/>
      <c r="I41" s="8"/>
      <c r="J41" s="8"/>
      <c r="K41" s="8"/>
      <c r="L41" s="8"/>
      <c r="M41" s="8"/>
    </row>
    <row r="42" spans="2:18" ht="16.5" customHeight="1" x14ac:dyDescent="0.25">
      <c r="E42" s="130"/>
      <c r="F42" s="95"/>
      <c r="G42" s="95"/>
      <c r="H42" s="95"/>
      <c r="I42" s="8"/>
      <c r="J42" s="8"/>
      <c r="K42" s="8"/>
      <c r="L42" s="8"/>
      <c r="M42" s="8"/>
    </row>
    <row r="46" spans="2:18" ht="16.5" customHeight="1" x14ac:dyDescent="0.25">
      <c r="Q46" s="28"/>
      <c r="R46" s="28"/>
    </row>
    <row r="5055" spans="7:7" ht="16.5" customHeight="1" x14ac:dyDescent="0.25">
      <c r="G5055" s="2">
        <v>9</v>
      </c>
    </row>
  </sheetData>
  <mergeCells count="30">
    <mergeCell ref="F40:G40"/>
    <mergeCell ref="K40:L40"/>
    <mergeCell ref="P15:Q15"/>
    <mergeCell ref="B23:C23"/>
    <mergeCell ref="H32:I32"/>
    <mergeCell ref="B33:C33"/>
    <mergeCell ref="F36:G36"/>
    <mergeCell ref="K36:L36"/>
    <mergeCell ref="B15:B16"/>
    <mergeCell ref="C15:C16"/>
    <mergeCell ref="D15:F15"/>
    <mergeCell ref="G15:I15"/>
    <mergeCell ref="J15:L15"/>
    <mergeCell ref="M15:O15"/>
    <mergeCell ref="B12:C12"/>
    <mergeCell ref="N12:O12"/>
    <mergeCell ref="A1:Q1"/>
    <mergeCell ref="A2:Q2"/>
    <mergeCell ref="B5:B6"/>
    <mergeCell ref="C5:C6"/>
    <mergeCell ref="D5:F5"/>
    <mergeCell ref="G5:I5"/>
    <mergeCell ref="J5:L5"/>
    <mergeCell ref="M5:O5"/>
    <mergeCell ref="N6:O6"/>
    <mergeCell ref="N7:O7"/>
    <mergeCell ref="N8:O8"/>
    <mergeCell ref="N9:O9"/>
    <mergeCell ref="N10:O10"/>
    <mergeCell ref="N11:O11"/>
  </mergeCells>
  <printOptions horizontalCentered="1" verticalCentered="1"/>
  <pageMargins left="0" right="0" top="0" bottom="0" header="0" footer="0"/>
  <pageSetup paperSize="10000" scale="85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EB00-CC00-4F57-9797-38878C5E349B}">
  <sheetPr>
    <pageSetUpPr fitToPage="1"/>
  </sheetPr>
  <dimension ref="A1:AI5057"/>
  <sheetViews>
    <sheetView topLeftCell="A22" workbookViewId="0">
      <selection activeCell="F31" sqref="F31:F32"/>
    </sheetView>
  </sheetViews>
  <sheetFormatPr defaultRowHeight="16.5" customHeight="1" x14ac:dyDescent="0.25"/>
  <cols>
    <col min="1" max="1" width="3.85546875" style="1" customWidth="1"/>
    <col min="2" max="2" width="4.140625" style="1" bestFit="1" customWidth="1"/>
    <col min="3" max="3" width="19.85546875" style="1" bestFit="1" customWidth="1"/>
    <col min="4" max="4" width="12.42578125" style="1" customWidth="1"/>
    <col min="5" max="5" width="15.7109375" style="2" bestFit="1" customWidth="1"/>
    <col min="6" max="6" width="16.28515625" style="2" customWidth="1"/>
    <col min="7" max="7" width="14.5703125" style="2" bestFit="1" customWidth="1"/>
    <col min="8" max="8" width="8.7109375" style="2" customWidth="1"/>
    <col min="9" max="9" width="15.28515625" style="1" bestFit="1" customWidth="1"/>
    <col min="10" max="10" width="9.85546875" style="1" bestFit="1" customWidth="1"/>
    <col min="11" max="11" width="13.140625" style="1" customWidth="1"/>
    <col min="12" max="12" width="13" style="1" customWidth="1"/>
    <col min="13" max="13" width="15.7109375" style="1" bestFit="1" customWidth="1"/>
    <col min="14" max="14" width="7.7109375" style="1" bestFit="1" customWidth="1"/>
    <col min="15" max="15" width="15.85546875" style="1" bestFit="1" customWidth="1"/>
    <col min="16" max="16" width="8.7109375" style="1" bestFit="1" customWidth="1"/>
    <col min="17" max="17" width="14" style="1" bestFit="1" customWidth="1"/>
    <col min="18" max="18" width="7.140625" style="1" customWidth="1"/>
    <col min="19" max="19" width="8.7109375" style="1" bestFit="1" customWidth="1"/>
    <col min="20" max="20" width="4.5703125" style="1" customWidth="1"/>
    <col min="21" max="21" width="4.140625" style="1" bestFit="1" customWidth="1"/>
    <col min="22" max="22" width="14.5703125" style="1" bestFit="1" customWidth="1"/>
    <col min="23" max="23" width="14" style="1" bestFit="1" customWidth="1"/>
    <col min="24" max="24" width="16" style="1" customWidth="1"/>
    <col min="25" max="25" width="14" style="1" bestFit="1" customWidth="1"/>
    <col min="26" max="26" width="12.7109375" style="1" bestFit="1" customWidth="1"/>
    <col min="27" max="27" width="15.140625" style="1" customWidth="1"/>
    <col min="28" max="28" width="14" style="1" bestFit="1" customWidth="1"/>
    <col min="29" max="29" width="9.85546875" style="1" bestFit="1" customWidth="1"/>
    <col min="30" max="30" width="16.5703125" style="1" customWidth="1"/>
    <col min="31" max="32" width="14" style="1" bestFit="1" customWidth="1"/>
    <col min="33" max="33" width="16.140625" style="1" customWidth="1"/>
    <col min="34" max="34" width="14" style="1" bestFit="1" customWidth="1"/>
    <col min="35" max="16384" width="9.140625" style="1"/>
  </cols>
  <sheetData>
    <row r="1" spans="1:35" s="24" customFormat="1" ht="16.5" customHeight="1" x14ac:dyDescent="0.25">
      <c r="A1" s="176" t="s">
        <v>26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86"/>
    </row>
    <row r="2" spans="1:35" s="24" customFormat="1" ht="24" customHeight="1" x14ac:dyDescent="0.25">
      <c r="A2" s="196">
        <v>46143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86"/>
    </row>
    <row r="3" spans="1:35" ht="8.25" customHeight="1" x14ac:dyDescent="0.25"/>
    <row r="4" spans="1:35" s="12" customFormat="1" ht="21.75" thickBot="1" x14ac:dyDescent="0.3">
      <c r="A4" s="12" t="s">
        <v>27</v>
      </c>
      <c r="L4" s="13"/>
      <c r="M4" s="13"/>
      <c r="N4" s="13"/>
      <c r="O4" s="13"/>
      <c r="P4" s="13"/>
      <c r="Q4" s="13"/>
      <c r="R4" s="13"/>
      <c r="T4" s="15" t="s">
        <v>72</v>
      </c>
      <c r="U4" s="1"/>
      <c r="V4" s="1"/>
      <c r="W4" s="1"/>
      <c r="X4" s="2"/>
      <c r="Y4" s="2"/>
      <c r="Z4" s="2"/>
      <c r="AA4" s="2"/>
      <c r="AB4" s="1"/>
      <c r="AC4" s="1"/>
      <c r="AD4" s="1"/>
      <c r="AE4" s="1"/>
      <c r="AF4" s="1"/>
      <c r="AG4" s="1"/>
      <c r="AH4" s="1"/>
      <c r="AI4" s="15"/>
    </row>
    <row r="5" spans="1:35" s="15" customFormat="1" ht="16.5" customHeight="1" x14ac:dyDescent="0.25">
      <c r="B5" s="194" t="s">
        <v>0</v>
      </c>
      <c r="C5" s="162" t="s">
        <v>38</v>
      </c>
      <c r="D5" s="160" t="s">
        <v>25</v>
      </c>
      <c r="E5" s="161"/>
      <c r="F5" s="162"/>
      <c r="G5" s="160" t="s">
        <v>1</v>
      </c>
      <c r="H5" s="161"/>
      <c r="I5" s="162"/>
      <c r="J5" s="160" t="s">
        <v>3</v>
      </c>
      <c r="K5" s="161"/>
      <c r="L5" s="162"/>
      <c r="M5" s="192" t="s">
        <v>28</v>
      </c>
      <c r="N5" s="192"/>
      <c r="O5" s="193"/>
      <c r="T5" s="1"/>
      <c r="U5" s="197" t="s">
        <v>0</v>
      </c>
      <c r="V5" s="198" t="s">
        <v>58</v>
      </c>
      <c r="W5" s="200" t="s">
        <v>73</v>
      </c>
      <c r="X5" s="201"/>
      <c r="Y5" s="202"/>
      <c r="Z5" s="203" t="s">
        <v>77</v>
      </c>
      <c r="AA5" s="201"/>
      <c r="AB5" s="202"/>
      <c r="AC5" s="203" t="s">
        <v>59</v>
      </c>
      <c r="AD5" s="201"/>
      <c r="AE5" s="202"/>
      <c r="AF5" s="203" t="s">
        <v>2</v>
      </c>
      <c r="AG5" s="201"/>
      <c r="AH5" s="202"/>
    </row>
    <row r="6" spans="1:35" s="15" customFormat="1" ht="16.5" customHeight="1" thickBot="1" x14ac:dyDescent="0.3">
      <c r="B6" s="195"/>
      <c r="C6" s="163"/>
      <c r="D6" s="94" t="s">
        <v>18</v>
      </c>
      <c r="E6" s="14" t="s">
        <v>16</v>
      </c>
      <c r="F6" s="133" t="s">
        <v>5</v>
      </c>
      <c r="G6" s="94" t="s">
        <v>18</v>
      </c>
      <c r="H6" s="14" t="s">
        <v>16</v>
      </c>
      <c r="I6" s="133" t="s">
        <v>5</v>
      </c>
      <c r="J6" s="94" t="s">
        <v>18</v>
      </c>
      <c r="K6" s="14" t="s">
        <v>16</v>
      </c>
      <c r="L6" s="133" t="s">
        <v>5</v>
      </c>
      <c r="M6" s="94" t="s">
        <v>18</v>
      </c>
      <c r="N6" s="169" t="s">
        <v>5</v>
      </c>
      <c r="O6" s="170"/>
      <c r="T6" s="1"/>
      <c r="U6" s="166"/>
      <c r="V6" s="199"/>
      <c r="W6" s="33" t="s">
        <v>74</v>
      </c>
      <c r="X6" s="156" t="s">
        <v>75</v>
      </c>
      <c r="Y6" s="157" t="s">
        <v>76</v>
      </c>
      <c r="Z6" s="158" t="s">
        <v>74</v>
      </c>
      <c r="AA6" s="156" t="s">
        <v>75</v>
      </c>
      <c r="AB6" s="157" t="s">
        <v>76</v>
      </c>
      <c r="AC6" s="158" t="s">
        <v>74</v>
      </c>
      <c r="AD6" s="156" t="s">
        <v>75</v>
      </c>
      <c r="AE6" s="157" t="s">
        <v>76</v>
      </c>
      <c r="AF6" s="158" t="s">
        <v>74</v>
      </c>
      <c r="AG6" s="156" t="s">
        <v>75</v>
      </c>
      <c r="AH6" s="157" t="s">
        <v>76</v>
      </c>
      <c r="AI6" s="1"/>
    </row>
    <row r="7" spans="1:35" ht="16.5" customHeight="1" thickTop="1" x14ac:dyDescent="0.25">
      <c r="B7" s="16">
        <v>1</v>
      </c>
      <c r="C7" s="40" t="s">
        <v>17</v>
      </c>
      <c r="D7" s="6">
        <v>6</v>
      </c>
      <c r="E7" s="4">
        <v>650000</v>
      </c>
      <c r="F7" s="17">
        <f>D7*E7</f>
        <v>3900000</v>
      </c>
      <c r="G7" s="6"/>
      <c r="H7" s="4"/>
      <c r="I7" s="17">
        <f>G7*H7</f>
        <v>0</v>
      </c>
      <c r="J7" s="6">
        <v>1</v>
      </c>
      <c r="K7" s="4">
        <v>650000</v>
      </c>
      <c r="L7" s="17">
        <f>J7*K7</f>
        <v>650000</v>
      </c>
      <c r="M7" s="6">
        <f>D7+G7-J7</f>
        <v>5</v>
      </c>
      <c r="N7" s="190">
        <f>F7+I7-L7</f>
        <v>3250000</v>
      </c>
      <c r="O7" s="191"/>
      <c r="U7" s="16">
        <v>1</v>
      </c>
      <c r="V7" s="40" t="s">
        <v>60</v>
      </c>
      <c r="W7" s="152">
        <f>JAN!L23</f>
        <v>53375000</v>
      </c>
      <c r="X7" s="153"/>
      <c r="Y7" s="154">
        <f>W7-X7</f>
        <v>53375000</v>
      </c>
      <c r="Z7" s="155">
        <f>JAN!O23</f>
        <v>2000000</v>
      </c>
      <c r="AA7" s="153"/>
      <c r="AB7" s="154">
        <f>Z7-AA7</f>
        <v>2000000</v>
      </c>
      <c r="AC7" s="155"/>
      <c r="AD7" s="153"/>
      <c r="AE7" s="154">
        <f>AC7-AD7</f>
        <v>0</v>
      </c>
      <c r="AF7" s="155">
        <f>W7+Z7+AC7</f>
        <v>55375000</v>
      </c>
      <c r="AG7" s="153">
        <f>X7+AA7+AD7</f>
        <v>0</v>
      </c>
      <c r="AH7" s="154">
        <f>Y7+AB7+AE7</f>
        <v>55375000</v>
      </c>
    </row>
    <row r="8" spans="1:35" ht="16.5" customHeight="1" x14ac:dyDescent="0.25">
      <c r="B8" s="18">
        <v>2</v>
      </c>
      <c r="C8" s="41" t="s">
        <v>20</v>
      </c>
      <c r="D8" s="9">
        <v>24</v>
      </c>
      <c r="E8" s="7">
        <v>130000</v>
      </c>
      <c r="F8" s="19">
        <f t="shared" ref="F8:F11" si="0">D8*E8</f>
        <v>3120000</v>
      </c>
      <c r="G8" s="9"/>
      <c r="H8" s="7"/>
      <c r="I8" s="19">
        <f t="shared" ref="I8:I11" si="1">G8*H8</f>
        <v>0</v>
      </c>
      <c r="J8" s="9"/>
      <c r="K8" s="7"/>
      <c r="L8" s="19">
        <f>J8*K8</f>
        <v>0</v>
      </c>
      <c r="M8" s="6">
        <f t="shared" ref="M8:M11" si="2">D8+G8-J8</f>
        <v>24</v>
      </c>
      <c r="N8" s="164">
        <f t="shared" ref="N8:N11" si="3">F8+I8-L8</f>
        <v>3120000</v>
      </c>
      <c r="O8" s="165"/>
      <c r="U8" s="18">
        <v>2</v>
      </c>
      <c r="V8" s="27" t="s">
        <v>61</v>
      </c>
      <c r="W8" s="144">
        <f>FEB!L23</f>
        <v>55760000</v>
      </c>
      <c r="X8" s="141"/>
      <c r="Y8" s="145">
        <f t="shared" ref="Y8:Y18" si="4">W8-X8</f>
        <v>55760000</v>
      </c>
      <c r="Z8" s="142">
        <f>FEB!O23</f>
        <v>1640000</v>
      </c>
      <c r="AA8" s="141"/>
      <c r="AB8" s="145">
        <f t="shared" ref="AB8:AB18" si="5">Z8-AA8</f>
        <v>1640000</v>
      </c>
      <c r="AC8" s="142"/>
      <c r="AD8" s="141"/>
      <c r="AE8" s="145">
        <f t="shared" ref="AE8:AE18" si="6">AC8-AD8</f>
        <v>0</v>
      </c>
      <c r="AF8" s="142">
        <f t="shared" ref="AF8:AH18" si="7">W8+Z8+AC8</f>
        <v>57400000</v>
      </c>
      <c r="AG8" s="141">
        <f t="shared" si="7"/>
        <v>0</v>
      </c>
      <c r="AH8" s="145">
        <f t="shared" si="7"/>
        <v>57400000</v>
      </c>
    </row>
    <row r="9" spans="1:35" ht="16.5" customHeight="1" x14ac:dyDescent="0.25">
      <c r="B9" s="18">
        <v>3</v>
      </c>
      <c r="C9" s="27" t="s">
        <v>19</v>
      </c>
      <c r="D9" s="9">
        <v>32</v>
      </c>
      <c r="E9" s="7">
        <v>125000</v>
      </c>
      <c r="F9" s="19">
        <f t="shared" si="0"/>
        <v>4000000</v>
      </c>
      <c r="G9" s="9"/>
      <c r="H9" s="7"/>
      <c r="I9" s="19">
        <f t="shared" si="1"/>
        <v>0</v>
      </c>
      <c r="J9" s="9"/>
      <c r="K9" s="7"/>
      <c r="L9" s="19">
        <f t="shared" ref="L9:L11" si="8">J9*K9</f>
        <v>0</v>
      </c>
      <c r="M9" s="6">
        <f t="shared" si="2"/>
        <v>32</v>
      </c>
      <c r="N9" s="164">
        <f>F9+I9-L9</f>
        <v>4000000</v>
      </c>
      <c r="O9" s="165"/>
      <c r="U9" s="18">
        <v>3</v>
      </c>
      <c r="V9" s="27" t="s">
        <v>62</v>
      </c>
      <c r="W9" s="144">
        <f>MAR!L23</f>
        <v>56580000</v>
      </c>
      <c r="X9" s="141"/>
      <c r="Y9" s="145">
        <f t="shared" si="4"/>
        <v>56580000</v>
      </c>
      <c r="Z9" s="142">
        <f>MAR!O23</f>
        <v>2460000</v>
      </c>
      <c r="AA9" s="141"/>
      <c r="AB9" s="145">
        <f t="shared" si="5"/>
        <v>2460000</v>
      </c>
      <c r="AC9" s="142"/>
      <c r="AD9" s="141"/>
      <c r="AE9" s="145">
        <f t="shared" si="6"/>
        <v>0</v>
      </c>
      <c r="AF9" s="142">
        <f t="shared" si="7"/>
        <v>59040000</v>
      </c>
      <c r="AG9" s="141">
        <f t="shared" si="7"/>
        <v>0</v>
      </c>
      <c r="AH9" s="145">
        <f t="shared" si="7"/>
        <v>59040000</v>
      </c>
    </row>
    <row r="10" spans="1:35" ht="16.5" customHeight="1" x14ac:dyDescent="0.25">
      <c r="B10" s="18">
        <v>4</v>
      </c>
      <c r="C10" s="27" t="s">
        <v>21</v>
      </c>
      <c r="D10" s="9">
        <v>85</v>
      </c>
      <c r="E10" s="7">
        <v>15000</v>
      </c>
      <c r="F10" s="19">
        <f t="shared" si="0"/>
        <v>1275000</v>
      </c>
      <c r="G10" s="9"/>
      <c r="H10" s="7"/>
      <c r="I10" s="19">
        <f t="shared" si="1"/>
        <v>0</v>
      </c>
      <c r="J10" s="9"/>
      <c r="K10" s="7"/>
      <c r="L10" s="19">
        <f t="shared" si="8"/>
        <v>0</v>
      </c>
      <c r="M10" s="6">
        <f t="shared" si="2"/>
        <v>85</v>
      </c>
      <c r="N10" s="164">
        <f t="shared" si="3"/>
        <v>1275000</v>
      </c>
      <c r="O10" s="165"/>
      <c r="U10" s="18">
        <v>4</v>
      </c>
      <c r="V10" s="27" t="s">
        <v>63</v>
      </c>
      <c r="W10" s="144">
        <f>APRIL!L23</f>
        <v>56170000</v>
      </c>
      <c r="X10" s="141"/>
      <c r="Y10" s="145">
        <f t="shared" si="4"/>
        <v>56170000</v>
      </c>
      <c r="Z10" s="142">
        <f>APRIL!O23</f>
        <v>1640000</v>
      </c>
      <c r="AA10" s="141"/>
      <c r="AB10" s="145">
        <f t="shared" si="5"/>
        <v>1640000</v>
      </c>
      <c r="AC10" s="142"/>
      <c r="AD10" s="141"/>
      <c r="AE10" s="145">
        <f t="shared" si="6"/>
        <v>0</v>
      </c>
      <c r="AF10" s="142">
        <f t="shared" si="7"/>
        <v>57810000</v>
      </c>
      <c r="AG10" s="141">
        <f t="shared" si="7"/>
        <v>0</v>
      </c>
      <c r="AH10" s="145">
        <f t="shared" si="7"/>
        <v>57810000</v>
      </c>
    </row>
    <row r="11" spans="1:35" ht="16.5" customHeight="1" thickBot="1" x14ac:dyDescent="0.3">
      <c r="B11" s="33">
        <v>5</v>
      </c>
      <c r="C11" s="42" t="s">
        <v>22</v>
      </c>
      <c r="D11" s="44">
        <v>175</v>
      </c>
      <c r="E11" s="34">
        <v>50000</v>
      </c>
      <c r="F11" s="35">
        <f t="shared" si="0"/>
        <v>8750000</v>
      </c>
      <c r="G11" s="44"/>
      <c r="H11" s="34"/>
      <c r="I11" s="35">
        <f t="shared" si="1"/>
        <v>0</v>
      </c>
      <c r="J11" s="44"/>
      <c r="K11" s="34"/>
      <c r="L11" s="35">
        <f t="shared" si="8"/>
        <v>0</v>
      </c>
      <c r="M11" s="44">
        <f t="shared" si="2"/>
        <v>175</v>
      </c>
      <c r="N11" s="186">
        <f t="shared" si="3"/>
        <v>8750000</v>
      </c>
      <c r="O11" s="187"/>
      <c r="U11" s="18">
        <v>5</v>
      </c>
      <c r="V11" s="27" t="s">
        <v>64</v>
      </c>
      <c r="W11" s="144">
        <f>L23</f>
        <v>62160000</v>
      </c>
      <c r="X11" s="141"/>
      <c r="Y11" s="145">
        <f t="shared" si="4"/>
        <v>62160000</v>
      </c>
      <c r="Z11" s="142">
        <f>O23</f>
        <v>2520000</v>
      </c>
      <c r="AA11" s="141"/>
      <c r="AB11" s="145">
        <f t="shared" si="5"/>
        <v>2520000</v>
      </c>
      <c r="AC11" s="142">
        <f>L12</f>
        <v>650000</v>
      </c>
      <c r="AD11" s="141"/>
      <c r="AE11" s="145">
        <f t="shared" si="6"/>
        <v>650000</v>
      </c>
      <c r="AF11" s="142">
        <f t="shared" si="7"/>
        <v>65330000</v>
      </c>
      <c r="AG11" s="141">
        <f t="shared" si="7"/>
        <v>0</v>
      </c>
      <c r="AH11" s="145">
        <f t="shared" si="7"/>
        <v>65330000</v>
      </c>
      <c r="AI11" s="15"/>
    </row>
    <row r="12" spans="1:35" s="15" customFormat="1" ht="16.5" customHeight="1" thickBot="1" x14ac:dyDescent="0.3">
      <c r="B12" s="172" t="s">
        <v>7</v>
      </c>
      <c r="C12" s="173"/>
      <c r="D12" s="45"/>
      <c r="E12" s="46"/>
      <c r="F12" s="47">
        <f>SUM(F7:F11)</f>
        <v>21045000</v>
      </c>
      <c r="G12" s="48"/>
      <c r="H12" s="49"/>
      <c r="I12" s="47">
        <f>SUM(I7:I11)</f>
        <v>0</v>
      </c>
      <c r="J12" s="45">
        <f>SUM(J7:J11)</f>
        <v>1</v>
      </c>
      <c r="K12" s="46">
        <f>SUM(K7:K11)</f>
        <v>650000</v>
      </c>
      <c r="L12" s="47">
        <f>SUM(L7:L11)</f>
        <v>650000</v>
      </c>
      <c r="M12" s="21"/>
      <c r="N12" s="188">
        <f>SUM(N7:N11)</f>
        <v>20395000</v>
      </c>
      <c r="O12" s="189"/>
      <c r="T12" s="1"/>
      <c r="U12" s="18">
        <v>6</v>
      </c>
      <c r="V12" s="27" t="s">
        <v>65</v>
      </c>
      <c r="W12" s="144"/>
      <c r="X12" s="141"/>
      <c r="Y12" s="145">
        <f t="shared" si="4"/>
        <v>0</v>
      </c>
      <c r="Z12" s="143"/>
      <c r="AA12" s="141"/>
      <c r="AB12" s="145">
        <f t="shared" si="5"/>
        <v>0</v>
      </c>
      <c r="AC12" s="142"/>
      <c r="AD12" s="140"/>
      <c r="AE12" s="145">
        <f t="shared" si="6"/>
        <v>0</v>
      </c>
      <c r="AF12" s="142">
        <f t="shared" si="7"/>
        <v>0</v>
      </c>
      <c r="AG12" s="141">
        <f t="shared" si="7"/>
        <v>0</v>
      </c>
      <c r="AH12" s="145">
        <f t="shared" si="7"/>
        <v>0</v>
      </c>
      <c r="AI12" s="1"/>
    </row>
    <row r="13" spans="1:35" ht="14.25" customHeight="1" x14ac:dyDescent="0.25">
      <c r="U13" s="18">
        <v>7</v>
      </c>
      <c r="V13" s="27" t="s">
        <v>66</v>
      </c>
      <c r="W13" s="144"/>
      <c r="X13" s="141"/>
      <c r="Y13" s="145">
        <f t="shared" si="4"/>
        <v>0</v>
      </c>
      <c r="Z13" s="143"/>
      <c r="AA13" s="141"/>
      <c r="AB13" s="145">
        <f t="shared" si="5"/>
        <v>0</v>
      </c>
      <c r="AC13" s="142"/>
      <c r="AD13" s="140"/>
      <c r="AE13" s="145">
        <f t="shared" si="6"/>
        <v>0</v>
      </c>
      <c r="AF13" s="142">
        <f t="shared" si="7"/>
        <v>0</v>
      </c>
      <c r="AG13" s="141">
        <f t="shared" si="7"/>
        <v>0</v>
      </c>
      <c r="AH13" s="145">
        <f t="shared" si="7"/>
        <v>0</v>
      </c>
    </row>
    <row r="14" spans="1:35" ht="21.75" thickBot="1" x14ac:dyDescent="0.3">
      <c r="A14" s="12" t="s">
        <v>42</v>
      </c>
      <c r="D14" s="2"/>
      <c r="H14" s="1"/>
      <c r="U14" s="18">
        <v>8</v>
      </c>
      <c r="V14" s="27" t="s">
        <v>67</v>
      </c>
      <c r="W14" s="144"/>
      <c r="X14" s="141"/>
      <c r="Y14" s="145">
        <f t="shared" si="4"/>
        <v>0</v>
      </c>
      <c r="Z14" s="143"/>
      <c r="AA14" s="141"/>
      <c r="AB14" s="145">
        <f t="shared" si="5"/>
        <v>0</v>
      </c>
      <c r="AC14" s="142"/>
      <c r="AD14" s="140"/>
      <c r="AE14" s="145">
        <f t="shared" si="6"/>
        <v>0</v>
      </c>
      <c r="AF14" s="142">
        <f t="shared" si="7"/>
        <v>0</v>
      </c>
      <c r="AG14" s="141">
        <f t="shared" si="7"/>
        <v>0</v>
      </c>
      <c r="AH14" s="145">
        <f t="shared" si="7"/>
        <v>0</v>
      </c>
      <c r="AI14" s="37"/>
    </row>
    <row r="15" spans="1:35" s="37" customFormat="1" ht="13.5" customHeight="1" x14ac:dyDescent="0.25">
      <c r="B15" s="184" t="s">
        <v>0</v>
      </c>
      <c r="C15" s="182" t="s">
        <v>40</v>
      </c>
      <c r="D15" s="179" t="s">
        <v>8</v>
      </c>
      <c r="E15" s="180"/>
      <c r="F15" s="181"/>
      <c r="G15" s="179" t="s">
        <v>35</v>
      </c>
      <c r="H15" s="180"/>
      <c r="I15" s="181"/>
      <c r="J15" s="179" t="s">
        <v>36</v>
      </c>
      <c r="K15" s="180"/>
      <c r="L15" s="181"/>
      <c r="M15" s="179" t="s">
        <v>34</v>
      </c>
      <c r="N15" s="180"/>
      <c r="O15" s="181"/>
      <c r="P15" s="179" t="s">
        <v>2</v>
      </c>
      <c r="Q15" s="181"/>
      <c r="T15" s="1"/>
      <c r="U15" s="18">
        <v>9</v>
      </c>
      <c r="V15" s="27" t="s">
        <v>68</v>
      </c>
      <c r="W15" s="144"/>
      <c r="X15" s="141"/>
      <c r="Y15" s="145">
        <f t="shared" si="4"/>
        <v>0</v>
      </c>
      <c r="Z15" s="143"/>
      <c r="AA15" s="141"/>
      <c r="AB15" s="145">
        <f t="shared" si="5"/>
        <v>0</v>
      </c>
      <c r="AC15" s="142"/>
      <c r="AD15" s="140"/>
      <c r="AE15" s="145">
        <f t="shared" si="6"/>
        <v>0</v>
      </c>
      <c r="AF15" s="142">
        <f t="shared" si="7"/>
        <v>0</v>
      </c>
      <c r="AG15" s="141">
        <f t="shared" si="7"/>
        <v>0</v>
      </c>
      <c r="AH15" s="145">
        <f t="shared" si="7"/>
        <v>0</v>
      </c>
    </row>
    <row r="16" spans="1:35" s="37" customFormat="1" ht="13.5" customHeight="1" thickBot="1" x14ac:dyDescent="0.3">
      <c r="B16" s="185"/>
      <c r="C16" s="183"/>
      <c r="D16" s="56" t="s">
        <v>4</v>
      </c>
      <c r="E16" s="57" t="s">
        <v>16</v>
      </c>
      <c r="F16" s="58" t="s">
        <v>5</v>
      </c>
      <c r="G16" s="56" t="s">
        <v>4</v>
      </c>
      <c r="H16" s="57" t="s">
        <v>16</v>
      </c>
      <c r="I16" s="59" t="s">
        <v>5</v>
      </c>
      <c r="J16" s="56" t="s">
        <v>4</v>
      </c>
      <c r="K16" s="57" t="s">
        <v>16</v>
      </c>
      <c r="L16" s="58" t="s">
        <v>5</v>
      </c>
      <c r="M16" s="56" t="s">
        <v>4</v>
      </c>
      <c r="N16" s="57" t="s">
        <v>16</v>
      </c>
      <c r="O16" s="58" t="s">
        <v>5</v>
      </c>
      <c r="P16" s="56" t="s">
        <v>4</v>
      </c>
      <c r="Q16" s="60" t="s">
        <v>5</v>
      </c>
      <c r="T16" s="1"/>
      <c r="U16" s="18">
        <v>10</v>
      </c>
      <c r="V16" s="27" t="s">
        <v>69</v>
      </c>
      <c r="W16" s="144"/>
      <c r="X16" s="141"/>
      <c r="Y16" s="145">
        <f t="shared" si="4"/>
        <v>0</v>
      </c>
      <c r="Z16" s="143"/>
      <c r="AA16" s="141"/>
      <c r="AB16" s="145">
        <f t="shared" si="5"/>
        <v>0</v>
      </c>
      <c r="AC16" s="142"/>
      <c r="AD16" s="140"/>
      <c r="AE16" s="145">
        <f t="shared" si="6"/>
        <v>0</v>
      </c>
      <c r="AF16" s="142">
        <f t="shared" si="7"/>
        <v>0</v>
      </c>
      <c r="AG16" s="141">
        <f t="shared" si="7"/>
        <v>0</v>
      </c>
      <c r="AH16" s="145">
        <f t="shared" si="7"/>
        <v>0</v>
      </c>
      <c r="AI16" s="1"/>
    </row>
    <row r="17" spans="1:35" ht="16.5" customHeight="1" x14ac:dyDescent="0.25">
      <c r="B17" s="50">
        <v>1</v>
      </c>
      <c r="C17" s="52" t="s">
        <v>29</v>
      </c>
      <c r="D17" s="6">
        <v>0</v>
      </c>
      <c r="E17" s="4"/>
      <c r="F17" s="17">
        <f>D17*E17</f>
        <v>0</v>
      </c>
      <c r="G17" s="6"/>
      <c r="H17" s="4"/>
      <c r="I17" s="17">
        <f>G17*H17</f>
        <v>0</v>
      </c>
      <c r="J17" s="6"/>
      <c r="K17" s="4"/>
      <c r="L17" s="5">
        <f>J17*K17</f>
        <v>0</v>
      </c>
      <c r="M17" s="61"/>
      <c r="N17" s="62"/>
      <c r="O17" s="63">
        <f>M17*N17</f>
        <v>0</v>
      </c>
      <c r="P17" s="6">
        <f>G17+D17+J17</f>
        <v>0</v>
      </c>
      <c r="Q17" s="17">
        <f>I17+F17+L17</f>
        <v>0</v>
      </c>
      <c r="U17" s="18">
        <v>11</v>
      </c>
      <c r="V17" s="27" t="s">
        <v>70</v>
      </c>
      <c r="W17" s="144"/>
      <c r="X17" s="141"/>
      <c r="Y17" s="145">
        <f t="shared" si="4"/>
        <v>0</v>
      </c>
      <c r="Z17" s="143"/>
      <c r="AA17" s="141"/>
      <c r="AB17" s="145">
        <f t="shared" si="5"/>
        <v>0</v>
      </c>
      <c r="AC17" s="142"/>
      <c r="AD17" s="140"/>
      <c r="AE17" s="145">
        <f t="shared" si="6"/>
        <v>0</v>
      </c>
      <c r="AF17" s="142">
        <f t="shared" si="7"/>
        <v>0</v>
      </c>
      <c r="AG17" s="141">
        <f t="shared" si="7"/>
        <v>0</v>
      </c>
      <c r="AH17" s="145">
        <f t="shared" si="7"/>
        <v>0</v>
      </c>
    </row>
    <row r="18" spans="1:35" ht="16.5" customHeight="1" thickBot="1" x14ac:dyDescent="0.3">
      <c r="B18" s="50">
        <v>2</v>
      </c>
      <c r="C18" s="53" t="s">
        <v>24</v>
      </c>
      <c r="D18" s="9">
        <v>22</v>
      </c>
      <c r="E18" s="7">
        <v>35000</v>
      </c>
      <c r="F18" s="19">
        <f>D18*E18</f>
        <v>770000</v>
      </c>
      <c r="G18" s="9"/>
      <c r="H18" s="7">
        <v>35000</v>
      </c>
      <c r="I18" s="19">
        <f>G18*H18</f>
        <v>0</v>
      </c>
      <c r="J18" s="9"/>
      <c r="K18" s="7"/>
      <c r="L18" s="11">
        <f>J18*K18</f>
        <v>0</v>
      </c>
      <c r="M18" s="26"/>
      <c r="N18" s="7"/>
      <c r="O18" s="19">
        <f>M18*N18</f>
        <v>0</v>
      </c>
      <c r="P18" s="9">
        <f>G18+D18+J18</f>
        <v>22</v>
      </c>
      <c r="Q18" s="19">
        <f>I18+F18+L18</f>
        <v>770000</v>
      </c>
      <c r="U18" s="33">
        <v>12</v>
      </c>
      <c r="V18" s="42" t="s">
        <v>71</v>
      </c>
      <c r="W18" s="146"/>
      <c r="X18" s="147"/>
      <c r="Y18" s="148">
        <f t="shared" si="4"/>
        <v>0</v>
      </c>
      <c r="Z18" s="149"/>
      <c r="AA18" s="147"/>
      <c r="AB18" s="148">
        <f t="shared" si="5"/>
        <v>0</v>
      </c>
      <c r="AC18" s="150"/>
      <c r="AD18" s="151"/>
      <c r="AE18" s="148">
        <f t="shared" si="6"/>
        <v>0</v>
      </c>
      <c r="AF18" s="150">
        <f t="shared" si="7"/>
        <v>0</v>
      </c>
      <c r="AG18" s="147">
        <f t="shared" si="7"/>
        <v>0</v>
      </c>
      <c r="AH18" s="148">
        <f t="shared" si="7"/>
        <v>0</v>
      </c>
    </row>
    <row r="19" spans="1:35" ht="16.5" customHeight="1" x14ac:dyDescent="0.25">
      <c r="B19" s="50">
        <v>3</v>
      </c>
      <c r="C19" s="53" t="s">
        <v>6</v>
      </c>
      <c r="D19" s="9">
        <v>70</v>
      </c>
      <c r="E19" s="7">
        <v>25000</v>
      </c>
      <c r="F19" s="19">
        <f>D19*E19</f>
        <v>1750000</v>
      </c>
      <c r="G19" s="9"/>
      <c r="H19" s="7">
        <v>25000</v>
      </c>
      <c r="I19" s="19">
        <f>G19*H19</f>
        <v>0</v>
      </c>
      <c r="J19" s="9"/>
      <c r="K19" s="7"/>
      <c r="L19" s="11">
        <f>J19*K19</f>
        <v>0</v>
      </c>
      <c r="M19" s="26"/>
      <c r="N19" s="7"/>
      <c r="O19" s="19">
        <f t="shared" ref="O19" si="9">M19*N19</f>
        <v>0</v>
      </c>
      <c r="P19" s="9">
        <f>G19+D19+J19</f>
        <v>70</v>
      </c>
      <c r="Q19" s="19">
        <f>I19+F19+L19</f>
        <v>1750000</v>
      </c>
    </row>
    <row r="20" spans="1:35" ht="16.5" customHeight="1" x14ac:dyDescent="0.25">
      <c r="B20" s="50">
        <v>4</v>
      </c>
      <c r="C20" s="53" t="s">
        <v>55</v>
      </c>
      <c r="D20" s="9">
        <v>16000</v>
      </c>
      <c r="E20" s="7">
        <v>4200</v>
      </c>
      <c r="F20" s="19">
        <f>D20*E20</f>
        <v>67200000</v>
      </c>
      <c r="G20" s="9">
        <v>28850</v>
      </c>
      <c r="H20" s="7">
        <v>4200</v>
      </c>
      <c r="I20" s="19">
        <f>G20*H20</f>
        <v>121170000</v>
      </c>
      <c r="J20" s="9">
        <v>14800</v>
      </c>
      <c r="K20" s="7">
        <v>4200</v>
      </c>
      <c r="L20" s="11">
        <f>J20*K20</f>
        <v>62160000</v>
      </c>
      <c r="M20" s="26">
        <v>600</v>
      </c>
      <c r="N20" s="7">
        <v>4200</v>
      </c>
      <c r="O20" s="19">
        <f>M20*N20</f>
        <v>2520000</v>
      </c>
      <c r="P20" s="9">
        <f>G20+D20+J20</f>
        <v>59650</v>
      </c>
      <c r="Q20" s="19">
        <f>I20+F20+L20</f>
        <v>250530000</v>
      </c>
      <c r="W20" s="28">
        <f t="shared" ref="W20:AH20" si="10">SUM(W7:W19)</f>
        <v>284045000</v>
      </c>
      <c r="X20" s="28">
        <f t="shared" si="10"/>
        <v>0</v>
      </c>
      <c r="Y20" s="28">
        <f t="shared" si="10"/>
        <v>284045000</v>
      </c>
      <c r="Z20" s="28">
        <f t="shared" si="10"/>
        <v>10260000</v>
      </c>
      <c r="AA20" s="28">
        <f t="shared" si="10"/>
        <v>0</v>
      </c>
      <c r="AB20" s="28">
        <f t="shared" si="10"/>
        <v>10260000</v>
      </c>
      <c r="AC20" s="28">
        <f t="shared" si="10"/>
        <v>650000</v>
      </c>
      <c r="AD20" s="28">
        <f t="shared" si="10"/>
        <v>0</v>
      </c>
      <c r="AE20" s="28">
        <f t="shared" si="10"/>
        <v>650000</v>
      </c>
      <c r="AF20" s="28">
        <f t="shared" si="10"/>
        <v>294955000</v>
      </c>
      <c r="AG20" s="28">
        <f t="shared" si="10"/>
        <v>0</v>
      </c>
      <c r="AH20" s="28">
        <f t="shared" si="10"/>
        <v>294955000</v>
      </c>
    </row>
    <row r="21" spans="1:35" ht="16.5" customHeight="1" x14ac:dyDescent="0.25">
      <c r="B21" s="81">
        <v>5</v>
      </c>
      <c r="C21" s="53" t="s">
        <v>56</v>
      </c>
      <c r="D21" s="9">
        <v>8800</v>
      </c>
      <c r="E21" s="7">
        <v>4500</v>
      </c>
      <c r="F21" s="19">
        <f t="shared" ref="F21" si="11">D21*E21</f>
        <v>39600000</v>
      </c>
      <c r="G21" s="9"/>
      <c r="H21" s="7"/>
      <c r="I21" s="19">
        <f t="shared" ref="I21" si="12">G21*H21</f>
        <v>0</v>
      </c>
      <c r="J21" s="9"/>
      <c r="K21" s="7"/>
      <c r="L21" s="11">
        <f t="shared" ref="L21" si="13">J21*K21</f>
        <v>0</v>
      </c>
      <c r="M21" s="26"/>
      <c r="N21" s="7"/>
      <c r="O21" s="19">
        <f>M21*N21</f>
        <v>0</v>
      </c>
      <c r="P21" s="9">
        <f>G21+D21+J21</f>
        <v>8800</v>
      </c>
      <c r="Q21" s="19">
        <f>I21+F21+L21</f>
        <v>39600000</v>
      </c>
      <c r="T21" s="106"/>
    </row>
    <row r="22" spans="1:35" ht="16.5" customHeight="1" thickBot="1" x14ac:dyDescent="0.3">
      <c r="B22" s="51"/>
      <c r="C22" s="109"/>
      <c r="D22" s="110"/>
      <c r="E22" s="111"/>
      <c r="F22" s="112"/>
      <c r="G22" s="110"/>
      <c r="H22" s="111"/>
      <c r="I22" s="112"/>
      <c r="J22" s="110"/>
      <c r="K22" s="111"/>
      <c r="L22" s="113"/>
      <c r="M22" s="114"/>
      <c r="N22" s="111"/>
      <c r="O22" s="112"/>
      <c r="P22" s="110"/>
      <c r="Q22" s="112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35" s="15" customFormat="1" ht="16.5" customHeight="1" thickBot="1" x14ac:dyDescent="0.3">
      <c r="B23" s="177" t="s">
        <v>9</v>
      </c>
      <c r="C23" s="178"/>
      <c r="D23" s="55">
        <f>SUM(D17:D22)</f>
        <v>24892</v>
      </c>
      <c r="E23" s="20"/>
      <c r="F23" s="55">
        <f>SUM(F17:F22)</f>
        <v>109320000</v>
      </c>
      <c r="G23" s="55">
        <f>SUM(G17:G22)</f>
        <v>28850</v>
      </c>
      <c r="H23" s="20"/>
      <c r="I23" s="55">
        <f>SUM(I17:I22)</f>
        <v>121170000</v>
      </c>
      <c r="J23" s="55">
        <f>SUM(J17:J22)</f>
        <v>14800</v>
      </c>
      <c r="K23" s="20"/>
      <c r="L23" s="55">
        <f>SUM(L17:L22)</f>
        <v>62160000</v>
      </c>
      <c r="M23" s="55">
        <f>SUM(M17:M22)</f>
        <v>600</v>
      </c>
      <c r="N23" s="20"/>
      <c r="O23" s="55">
        <f>SUM(O17:O22)</f>
        <v>2520000</v>
      </c>
      <c r="P23" s="55">
        <f>SUM(P17:P22)</f>
        <v>68542</v>
      </c>
      <c r="Q23" s="55">
        <f>SUM(Q17:Q22)</f>
        <v>292650000</v>
      </c>
    </row>
    <row r="24" spans="1:35" s="15" customFormat="1" ht="16.5" customHeight="1" x14ac:dyDescent="0.25">
      <c r="B24" s="25"/>
      <c r="C24" s="2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</row>
    <row r="25" spans="1:35" s="15" customFormat="1" ht="16.5" customHeight="1" x14ac:dyDescent="0.25">
      <c r="B25" s="25"/>
      <c r="C25" s="2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s="12" customFormat="1" ht="21.75" thickBot="1" x14ac:dyDescent="0.3">
      <c r="A26" s="12" t="s">
        <v>43</v>
      </c>
      <c r="E26" s="13"/>
      <c r="F26" s="13"/>
      <c r="G26" s="13"/>
      <c r="H26" s="12" t="s">
        <v>39</v>
      </c>
      <c r="L26" s="13"/>
      <c r="M26" s="13"/>
      <c r="N26" s="13"/>
      <c r="O26" s="13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</row>
    <row r="27" spans="1:35" s="64" customFormat="1" ht="32.25" thickBot="1" x14ac:dyDescent="0.3">
      <c r="B27" s="135" t="s">
        <v>0</v>
      </c>
      <c r="C27" s="39" t="s">
        <v>40</v>
      </c>
      <c r="D27" s="39" t="s">
        <v>4</v>
      </c>
      <c r="E27" s="39" t="s">
        <v>16</v>
      </c>
      <c r="F27" s="136" t="s">
        <v>5</v>
      </c>
      <c r="H27" s="65" t="s">
        <v>0</v>
      </c>
      <c r="I27" s="93" t="s">
        <v>40</v>
      </c>
      <c r="J27" s="67" t="s">
        <v>25</v>
      </c>
      <c r="K27" s="67" t="s">
        <v>1</v>
      </c>
      <c r="L27" s="67" t="s">
        <v>37</v>
      </c>
      <c r="M27" s="67" t="s">
        <v>3</v>
      </c>
      <c r="N27" s="67" t="s">
        <v>44</v>
      </c>
      <c r="O27" s="67" t="s">
        <v>49</v>
      </c>
      <c r="P27" s="93" t="s">
        <v>16</v>
      </c>
      <c r="Q27" s="67" t="s">
        <v>45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6.5" customHeight="1" x14ac:dyDescent="0.25">
      <c r="B28" s="16">
        <v>1</v>
      </c>
      <c r="C28" s="32" t="s">
        <v>29</v>
      </c>
      <c r="D28" s="4">
        <v>0</v>
      </c>
      <c r="E28" s="4"/>
      <c r="F28" s="17">
        <f>D28*E28</f>
        <v>0</v>
      </c>
      <c r="G28" s="1"/>
      <c r="H28" s="50">
        <v>1</v>
      </c>
      <c r="I28" s="52" t="s">
        <v>41</v>
      </c>
      <c r="J28" s="68">
        <f>MAR!O28</f>
        <v>0</v>
      </c>
      <c r="K28" s="68">
        <v>0</v>
      </c>
      <c r="L28" s="68">
        <f>SUM(J28:K28)</f>
        <v>0</v>
      </c>
      <c r="M28" s="73">
        <f>P17</f>
        <v>0</v>
      </c>
      <c r="N28" s="52"/>
      <c r="O28" s="68">
        <f>L28-M28-N28</f>
        <v>0</v>
      </c>
      <c r="P28" s="76"/>
      <c r="Q28" s="68">
        <f>O28*P28</f>
        <v>0</v>
      </c>
    </row>
    <row r="29" spans="1:35" ht="16.5" customHeight="1" x14ac:dyDescent="0.25">
      <c r="B29" s="18">
        <v>2</v>
      </c>
      <c r="C29" s="10" t="s">
        <v>24</v>
      </c>
      <c r="D29" s="7">
        <v>75</v>
      </c>
      <c r="E29" s="7">
        <v>30000</v>
      </c>
      <c r="F29" s="19">
        <f>D29*E29</f>
        <v>2250000</v>
      </c>
      <c r="G29" s="1"/>
      <c r="H29" s="81">
        <v>2</v>
      </c>
      <c r="I29" s="53" t="s">
        <v>24</v>
      </c>
      <c r="J29" s="69">
        <f>MAR!O29</f>
        <v>22</v>
      </c>
      <c r="K29" s="69">
        <v>75</v>
      </c>
      <c r="L29" s="69">
        <f>SUM(J29:K29)</f>
        <v>97</v>
      </c>
      <c r="M29" s="74">
        <f>P18</f>
        <v>22</v>
      </c>
      <c r="N29" s="53">
        <v>0</v>
      </c>
      <c r="O29" s="69">
        <f>L29-M29-N29</f>
        <v>75</v>
      </c>
      <c r="P29" s="77">
        <v>30000</v>
      </c>
      <c r="Q29" s="80">
        <f t="shared" ref="Q29:Q30" si="14">O29*P29</f>
        <v>2250000</v>
      </c>
    </row>
    <row r="30" spans="1:35" ht="16.5" customHeight="1" x14ac:dyDescent="0.25">
      <c r="B30" s="18">
        <v>3</v>
      </c>
      <c r="C30" s="10" t="s">
        <v>6</v>
      </c>
      <c r="D30" s="7">
        <v>0</v>
      </c>
      <c r="E30" s="7">
        <v>22000</v>
      </c>
      <c r="F30" s="19">
        <f>D30*E30</f>
        <v>0</v>
      </c>
      <c r="G30" s="1"/>
      <c r="H30" s="81">
        <v>3</v>
      </c>
      <c r="I30" s="53" t="s">
        <v>6</v>
      </c>
      <c r="J30" s="69">
        <f>APRIL!O30</f>
        <v>203</v>
      </c>
      <c r="K30" s="69">
        <v>0</v>
      </c>
      <c r="L30" s="69">
        <f>SUM(J30:K30)</f>
        <v>203</v>
      </c>
      <c r="M30" s="74">
        <f>P19</f>
        <v>70</v>
      </c>
      <c r="N30" s="53">
        <v>0</v>
      </c>
      <c r="O30" s="69">
        <f>L30-M30-N30</f>
        <v>133</v>
      </c>
      <c r="P30" s="77">
        <v>25000</v>
      </c>
      <c r="Q30" s="80">
        <f t="shared" si="14"/>
        <v>3325000</v>
      </c>
    </row>
    <row r="31" spans="1:35" ht="16.5" customHeight="1" thickBot="1" x14ac:dyDescent="0.3">
      <c r="B31" s="18">
        <v>4</v>
      </c>
      <c r="C31" s="31" t="s">
        <v>30</v>
      </c>
      <c r="D31" s="7">
        <v>24000</v>
      </c>
      <c r="E31" s="7">
        <v>4475</v>
      </c>
      <c r="F31" s="19">
        <f>D31*E31</f>
        <v>107400000</v>
      </c>
      <c r="G31" s="1"/>
      <c r="H31" s="82">
        <v>4</v>
      </c>
      <c r="I31" s="66" t="s">
        <v>15</v>
      </c>
      <c r="J31" s="71">
        <f>APRIL!O31</f>
        <v>35100</v>
      </c>
      <c r="K31" s="71">
        <f>D31+D32</f>
        <v>64000</v>
      </c>
      <c r="L31" s="72">
        <f>SUM(J31:K31)</f>
        <v>99100</v>
      </c>
      <c r="M31" s="75">
        <f>P20+P21+P22</f>
        <v>68450</v>
      </c>
      <c r="N31" s="54">
        <v>200</v>
      </c>
      <c r="O31" s="71">
        <f>L31-M31-N31</f>
        <v>30450</v>
      </c>
      <c r="P31" s="72">
        <v>4100</v>
      </c>
      <c r="Q31" s="70">
        <f>O31*P31</f>
        <v>124845000</v>
      </c>
    </row>
    <row r="32" spans="1:35" ht="16.5" customHeight="1" thickBot="1" x14ac:dyDescent="0.3">
      <c r="B32" s="18">
        <v>5</v>
      </c>
      <c r="C32" s="31" t="s">
        <v>23</v>
      </c>
      <c r="D32" s="7">
        <v>40000</v>
      </c>
      <c r="E32" s="7">
        <v>4320</v>
      </c>
      <c r="F32" s="19">
        <f t="shared" ref="F32" si="15">D32*E32</f>
        <v>172800000</v>
      </c>
      <c r="G32" s="1"/>
      <c r="H32" s="174"/>
      <c r="I32" s="175"/>
      <c r="J32" s="137"/>
      <c r="K32" s="79"/>
      <c r="L32" s="137"/>
      <c r="M32" s="137"/>
      <c r="N32" s="137"/>
      <c r="O32" s="137" t="s">
        <v>2</v>
      </c>
      <c r="P32" s="137"/>
      <c r="Q32" s="83">
        <f>SUM(Q28:Q31)</f>
        <v>130420000</v>
      </c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spans="2:35" s="15" customFormat="1" ht="16.5" customHeight="1" thickBot="1" x14ac:dyDescent="0.3">
      <c r="B33" s="166" t="s">
        <v>9</v>
      </c>
      <c r="C33" s="167"/>
      <c r="D33" s="20">
        <f>SUM(D28:D32)</f>
        <v>64075</v>
      </c>
      <c r="E33" s="20"/>
      <c r="F33" s="36">
        <f>SUM(F28:F32)</f>
        <v>282450000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2:35" ht="16.5" customHeight="1" x14ac:dyDescent="0.25">
      <c r="D34" s="2"/>
      <c r="H34" s="1"/>
    </row>
    <row r="35" spans="2:35" ht="16.5" customHeight="1" x14ac:dyDescent="0.25">
      <c r="B35" s="8"/>
      <c r="C35" s="8"/>
      <c r="D35" s="128"/>
      <c r="E35" s="8"/>
      <c r="F35" s="8"/>
      <c r="G35" s="8"/>
      <c r="H35" s="8"/>
      <c r="I35" s="8"/>
      <c r="J35" s="8"/>
      <c r="K35" s="121" t="s">
        <v>57</v>
      </c>
      <c r="M35" s="8"/>
    </row>
    <row r="36" spans="2:35" ht="16.5" customHeight="1" x14ac:dyDescent="0.25">
      <c r="D36" s="2"/>
      <c r="E36" s="8"/>
      <c r="F36" s="168" t="s">
        <v>10</v>
      </c>
      <c r="G36" s="168"/>
      <c r="H36" s="8"/>
      <c r="I36" s="8"/>
      <c r="J36" s="8" t="s">
        <v>14</v>
      </c>
      <c r="K36" s="168" t="s">
        <v>11</v>
      </c>
      <c r="L36" s="168"/>
      <c r="M36" s="8"/>
    </row>
    <row r="37" spans="2:35" ht="16.5" customHeight="1" x14ac:dyDescent="0.25">
      <c r="D37" s="2"/>
      <c r="E37" s="127"/>
      <c r="F37" s="134"/>
      <c r="G37" s="134"/>
      <c r="H37" s="8"/>
      <c r="I37" s="8"/>
      <c r="J37" s="8"/>
      <c r="K37" s="134"/>
      <c r="L37" s="134"/>
      <c r="M37" s="134"/>
    </row>
    <row r="38" spans="2:35" ht="16.5" customHeight="1" x14ac:dyDescent="0.25">
      <c r="D38" s="2"/>
      <c r="E38" s="8"/>
      <c r="F38" s="8"/>
      <c r="G38" s="8"/>
      <c r="H38" s="8"/>
      <c r="I38" s="8"/>
      <c r="J38" s="8"/>
      <c r="K38" s="8"/>
      <c r="L38" s="8"/>
      <c r="M38" s="23"/>
    </row>
    <row r="39" spans="2:35" ht="16.5" customHeight="1" x14ac:dyDescent="0.25">
      <c r="D39" s="2"/>
      <c r="E39" s="129"/>
      <c r="F39" s="22"/>
      <c r="G39" s="22"/>
      <c r="H39" s="23"/>
      <c r="I39" s="23"/>
      <c r="J39" s="8"/>
      <c r="K39" s="8"/>
      <c r="L39" s="8"/>
      <c r="M39" s="23"/>
    </row>
    <row r="40" spans="2:35" ht="16.5" customHeight="1" x14ac:dyDescent="0.25">
      <c r="D40" s="2"/>
      <c r="E40" s="23"/>
      <c r="F40" s="171" t="s">
        <v>12</v>
      </c>
      <c r="G40" s="171"/>
      <c r="H40" s="23"/>
      <c r="I40" s="23"/>
      <c r="J40" s="8"/>
      <c r="K40" s="171" t="s">
        <v>13</v>
      </c>
      <c r="L40" s="171"/>
      <c r="M40" s="8"/>
    </row>
    <row r="41" spans="2:35" ht="16.5" customHeight="1" x14ac:dyDescent="0.25">
      <c r="E41" s="127"/>
      <c r="F41" s="8"/>
      <c r="G41" s="8"/>
      <c r="H41" s="131"/>
      <c r="I41" s="8"/>
      <c r="J41" s="8"/>
      <c r="K41" s="8"/>
      <c r="L41" s="8"/>
      <c r="M41" s="8"/>
    </row>
    <row r="42" spans="2:35" ht="16.5" customHeight="1" x14ac:dyDescent="0.25">
      <c r="E42" s="130"/>
      <c r="F42" s="134"/>
      <c r="G42" s="134"/>
      <c r="H42" s="134"/>
      <c r="I42" s="8"/>
      <c r="J42" s="8"/>
      <c r="K42" s="8"/>
      <c r="L42" s="8"/>
      <c r="M42" s="8"/>
    </row>
    <row r="44" spans="2:35" ht="16.5" customHeight="1" x14ac:dyDescent="0.25">
      <c r="E44" s="1"/>
      <c r="F44" s="1"/>
      <c r="G44" s="1"/>
      <c r="H44" s="1"/>
      <c r="T44" s="134"/>
      <c r="U44" s="134"/>
    </row>
    <row r="45" spans="2:35" ht="16.5" customHeight="1" x14ac:dyDescent="0.25">
      <c r="E45" s="1"/>
      <c r="F45" s="1"/>
      <c r="G45" s="1"/>
      <c r="H45" s="1"/>
      <c r="P45" s="168"/>
      <c r="Q45" s="168"/>
      <c r="R45" s="168"/>
      <c r="S45" s="134"/>
      <c r="T45" s="134"/>
      <c r="U45" s="134"/>
    </row>
    <row r="46" spans="2:35" ht="16.5" customHeight="1" x14ac:dyDescent="0.25">
      <c r="E46" s="1"/>
      <c r="F46" s="1"/>
      <c r="G46" s="1"/>
      <c r="H46" s="1"/>
      <c r="P46" s="134"/>
      <c r="Q46" s="134"/>
      <c r="R46" s="134"/>
      <c r="S46" s="134"/>
      <c r="T46" s="134"/>
      <c r="U46" s="138"/>
    </row>
    <row r="47" spans="2:35" ht="16.5" customHeight="1" x14ac:dyDescent="0.25">
      <c r="E47" s="1"/>
      <c r="F47" s="1"/>
      <c r="G47" s="1"/>
      <c r="H47" s="1"/>
      <c r="P47" s="8"/>
      <c r="Q47" s="134"/>
      <c r="R47" s="138"/>
      <c r="S47" s="8"/>
      <c r="T47" s="134"/>
      <c r="U47" s="134"/>
    </row>
    <row r="48" spans="2:35" ht="16.5" customHeight="1" x14ac:dyDescent="0.25">
      <c r="E48" s="1"/>
      <c r="F48" s="1"/>
      <c r="G48" s="1"/>
      <c r="H48" s="1"/>
      <c r="P48" s="8"/>
      <c r="Q48" s="134"/>
      <c r="R48" s="134"/>
      <c r="S48" s="8"/>
      <c r="T48" s="134"/>
      <c r="U48" s="134"/>
    </row>
    <row r="49" spans="5:21" ht="16.5" customHeight="1" x14ac:dyDescent="0.25">
      <c r="E49" s="1"/>
      <c r="F49" s="1"/>
      <c r="G49" s="1"/>
      <c r="H49" s="1"/>
      <c r="P49" s="8"/>
      <c r="Q49" s="134"/>
      <c r="R49" s="134"/>
      <c r="S49" s="8"/>
      <c r="T49" s="134"/>
      <c r="U49" s="134"/>
    </row>
    <row r="50" spans="5:21" ht="16.5" customHeight="1" x14ac:dyDescent="0.25">
      <c r="E50" s="1"/>
      <c r="F50" s="1"/>
      <c r="G50" s="1"/>
      <c r="H50" s="1"/>
      <c r="P50" s="8"/>
      <c r="Q50" s="134"/>
      <c r="R50" s="134"/>
      <c r="S50" s="8"/>
      <c r="T50" s="134"/>
      <c r="U50" s="139"/>
    </row>
    <row r="51" spans="5:21" ht="16.5" customHeight="1" x14ac:dyDescent="0.25">
      <c r="E51" s="1"/>
      <c r="F51" s="1"/>
      <c r="G51" s="1"/>
      <c r="H51" s="1"/>
      <c r="P51" s="8"/>
      <c r="Q51" s="134"/>
      <c r="R51" s="139"/>
      <c r="S51" s="8"/>
      <c r="T51" s="8"/>
      <c r="U51" s="8"/>
    </row>
    <row r="52" spans="5:21" ht="16.5" customHeight="1" x14ac:dyDescent="0.25">
      <c r="P52" s="8"/>
      <c r="Q52" s="8"/>
      <c r="R52" s="8"/>
      <c r="S52" s="8"/>
    </row>
    <row r="5057" spans="7:7" ht="16.5" customHeight="1" x14ac:dyDescent="0.25">
      <c r="G5057" s="2">
        <v>9</v>
      </c>
    </row>
  </sheetData>
  <mergeCells count="37">
    <mergeCell ref="Z5:AB5"/>
    <mergeCell ref="AC5:AE5"/>
    <mergeCell ref="AF5:AH5"/>
    <mergeCell ref="A1:Q1"/>
    <mergeCell ref="A2:Q2"/>
    <mergeCell ref="B5:B6"/>
    <mergeCell ref="C5:C6"/>
    <mergeCell ref="D5:F5"/>
    <mergeCell ref="G5:I5"/>
    <mergeCell ref="J5:L5"/>
    <mergeCell ref="M5:O5"/>
    <mergeCell ref="N6:O6"/>
    <mergeCell ref="B12:C12"/>
    <mergeCell ref="N12:O12"/>
    <mergeCell ref="U5:U6"/>
    <mergeCell ref="V5:V6"/>
    <mergeCell ref="W5:Y5"/>
    <mergeCell ref="N7:O7"/>
    <mergeCell ref="N8:O8"/>
    <mergeCell ref="N9:O9"/>
    <mergeCell ref="N10:O10"/>
    <mergeCell ref="N11:O11"/>
    <mergeCell ref="F40:G40"/>
    <mergeCell ref="K40:L40"/>
    <mergeCell ref="P45:R45"/>
    <mergeCell ref="P15:Q15"/>
    <mergeCell ref="B23:C23"/>
    <mergeCell ref="H32:I32"/>
    <mergeCell ref="B33:C33"/>
    <mergeCell ref="F36:G36"/>
    <mergeCell ref="K36:L36"/>
    <mergeCell ref="B15:B16"/>
    <mergeCell ref="C15:C16"/>
    <mergeCell ref="D15:F15"/>
    <mergeCell ref="G15:I15"/>
    <mergeCell ref="J15:L15"/>
    <mergeCell ref="M15:O15"/>
  </mergeCells>
  <printOptions horizontalCentered="1" verticalCentered="1"/>
  <pageMargins left="0" right="0" top="0" bottom="0" header="0" footer="0"/>
  <pageSetup paperSize="10000" scale="39" fitToHeight="0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01C1-45BA-4229-B03A-85F5A7818913}">
  <sheetPr>
    <pageSetUpPr fitToPage="1"/>
  </sheetPr>
  <dimension ref="A1:AI5057"/>
  <sheetViews>
    <sheetView tabSelected="1" topLeftCell="A19" workbookViewId="0">
      <selection activeCell="H36" sqref="H36"/>
    </sheetView>
  </sheetViews>
  <sheetFormatPr defaultRowHeight="16.5" customHeight="1" x14ac:dyDescent="0.25"/>
  <cols>
    <col min="1" max="1" width="3.85546875" style="1" customWidth="1"/>
    <col min="2" max="2" width="4.140625" style="1" bestFit="1" customWidth="1"/>
    <col min="3" max="3" width="19.85546875" style="1" bestFit="1" customWidth="1"/>
    <col min="4" max="4" width="12.42578125" style="1" customWidth="1"/>
    <col min="5" max="5" width="15.7109375" style="2" bestFit="1" customWidth="1"/>
    <col min="6" max="6" width="16.28515625" style="2" customWidth="1"/>
    <col min="7" max="7" width="14.5703125" style="2" bestFit="1" customWidth="1"/>
    <col min="8" max="8" width="8.7109375" style="2" customWidth="1"/>
    <col min="9" max="9" width="15.28515625" style="1" bestFit="1" customWidth="1"/>
    <col min="10" max="10" width="9.85546875" style="1" bestFit="1" customWidth="1"/>
    <col min="11" max="11" width="13.140625" style="1" customWidth="1"/>
    <col min="12" max="12" width="13" style="1" customWidth="1"/>
    <col min="13" max="13" width="15.7109375" style="1" bestFit="1" customWidth="1"/>
    <col min="14" max="14" width="7.7109375" style="1" bestFit="1" customWidth="1"/>
    <col min="15" max="15" width="15.85546875" style="1" bestFit="1" customWidth="1"/>
    <col min="16" max="16" width="8.7109375" style="1" bestFit="1" customWidth="1"/>
    <col min="17" max="17" width="14" style="1" bestFit="1" customWidth="1"/>
    <col min="18" max="18" width="7.140625" style="1" customWidth="1"/>
    <col min="19" max="19" width="8.7109375" style="1" bestFit="1" customWidth="1"/>
    <col min="20" max="20" width="4.5703125" style="1" customWidth="1"/>
    <col min="21" max="21" width="4.140625" style="1" bestFit="1" customWidth="1"/>
    <col min="22" max="22" width="14.5703125" style="1" bestFit="1" customWidth="1"/>
    <col min="23" max="23" width="14" style="1" bestFit="1" customWidth="1"/>
    <col min="24" max="24" width="16" style="1" customWidth="1"/>
    <col min="25" max="25" width="14" style="1" bestFit="1" customWidth="1"/>
    <col min="26" max="26" width="12.7109375" style="1" bestFit="1" customWidth="1"/>
    <col min="27" max="27" width="15.140625" style="1" customWidth="1"/>
    <col min="28" max="28" width="14" style="1" bestFit="1" customWidth="1"/>
    <col min="29" max="29" width="9.85546875" style="1" bestFit="1" customWidth="1"/>
    <col min="30" max="30" width="16.5703125" style="1" customWidth="1"/>
    <col min="31" max="32" width="14" style="1" bestFit="1" customWidth="1"/>
    <col min="33" max="33" width="16.140625" style="1" customWidth="1"/>
    <col min="34" max="34" width="14" style="1" bestFit="1" customWidth="1"/>
    <col min="35" max="16384" width="9.140625" style="1"/>
  </cols>
  <sheetData>
    <row r="1" spans="1:35" s="24" customFormat="1" ht="16.5" customHeight="1" x14ac:dyDescent="0.25">
      <c r="A1" s="176" t="s">
        <v>26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86"/>
    </row>
    <row r="2" spans="1:35" s="24" customFormat="1" ht="24" customHeight="1" x14ac:dyDescent="0.25">
      <c r="A2" s="196">
        <v>46174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86"/>
    </row>
    <row r="3" spans="1:35" ht="8.25" customHeight="1" x14ac:dyDescent="0.25"/>
    <row r="4" spans="1:35" s="12" customFormat="1" ht="21.75" thickBot="1" x14ac:dyDescent="0.3">
      <c r="A4" s="12" t="s">
        <v>27</v>
      </c>
      <c r="L4" s="13"/>
      <c r="M4" s="13"/>
      <c r="N4" s="13"/>
      <c r="O4" s="13"/>
      <c r="P4" s="13"/>
      <c r="Q4" s="13"/>
      <c r="R4" s="13"/>
      <c r="T4" s="15" t="s">
        <v>72</v>
      </c>
      <c r="U4" s="1"/>
      <c r="V4" s="1"/>
      <c r="W4" s="1"/>
      <c r="X4" s="2"/>
      <c r="Y4" s="2"/>
      <c r="Z4" s="2"/>
      <c r="AA4" s="2"/>
      <c r="AB4" s="1"/>
      <c r="AC4" s="1"/>
      <c r="AD4" s="1"/>
      <c r="AE4" s="1"/>
      <c r="AF4" s="1"/>
      <c r="AG4" s="1"/>
      <c r="AH4" s="1"/>
      <c r="AI4" s="15"/>
    </row>
    <row r="5" spans="1:35" s="15" customFormat="1" ht="16.5" customHeight="1" x14ac:dyDescent="0.25">
      <c r="B5" s="194" t="s">
        <v>0</v>
      </c>
      <c r="C5" s="162" t="s">
        <v>38</v>
      </c>
      <c r="D5" s="160" t="s">
        <v>25</v>
      </c>
      <c r="E5" s="161"/>
      <c r="F5" s="162"/>
      <c r="G5" s="160" t="s">
        <v>1</v>
      </c>
      <c r="H5" s="161"/>
      <c r="I5" s="162"/>
      <c r="J5" s="160" t="s">
        <v>3</v>
      </c>
      <c r="K5" s="161"/>
      <c r="L5" s="162"/>
      <c r="M5" s="192" t="s">
        <v>28</v>
      </c>
      <c r="N5" s="192"/>
      <c r="O5" s="193"/>
      <c r="T5" s="1"/>
      <c r="U5" s="197" t="s">
        <v>0</v>
      </c>
      <c r="V5" s="198" t="s">
        <v>58</v>
      </c>
      <c r="W5" s="200" t="s">
        <v>73</v>
      </c>
      <c r="X5" s="201"/>
      <c r="Y5" s="202"/>
      <c r="Z5" s="203" t="s">
        <v>77</v>
      </c>
      <c r="AA5" s="201"/>
      <c r="AB5" s="202"/>
      <c r="AC5" s="203" t="s">
        <v>59</v>
      </c>
      <c r="AD5" s="201"/>
      <c r="AE5" s="202"/>
      <c r="AF5" s="203" t="s">
        <v>2</v>
      </c>
      <c r="AG5" s="201"/>
      <c r="AH5" s="202"/>
    </row>
    <row r="6" spans="1:35" s="15" customFormat="1" ht="16.5" customHeight="1" thickBot="1" x14ac:dyDescent="0.3">
      <c r="B6" s="195"/>
      <c r="C6" s="163"/>
      <c r="D6" s="94" t="s">
        <v>18</v>
      </c>
      <c r="E6" s="14" t="s">
        <v>16</v>
      </c>
      <c r="F6" s="122" t="s">
        <v>5</v>
      </c>
      <c r="G6" s="94" t="s">
        <v>18</v>
      </c>
      <c r="H6" s="14" t="s">
        <v>16</v>
      </c>
      <c r="I6" s="122" t="s">
        <v>5</v>
      </c>
      <c r="J6" s="94" t="s">
        <v>18</v>
      </c>
      <c r="K6" s="14" t="s">
        <v>16</v>
      </c>
      <c r="L6" s="122" t="s">
        <v>5</v>
      </c>
      <c r="M6" s="94" t="s">
        <v>18</v>
      </c>
      <c r="N6" s="169" t="s">
        <v>5</v>
      </c>
      <c r="O6" s="170"/>
      <c r="T6" s="1"/>
      <c r="U6" s="166"/>
      <c r="V6" s="199"/>
      <c r="W6" s="33" t="s">
        <v>74</v>
      </c>
      <c r="X6" s="156" t="s">
        <v>75</v>
      </c>
      <c r="Y6" s="157" t="s">
        <v>76</v>
      </c>
      <c r="Z6" s="158" t="s">
        <v>74</v>
      </c>
      <c r="AA6" s="156" t="s">
        <v>75</v>
      </c>
      <c r="AB6" s="157" t="s">
        <v>76</v>
      </c>
      <c r="AC6" s="158" t="s">
        <v>74</v>
      </c>
      <c r="AD6" s="156" t="s">
        <v>75</v>
      </c>
      <c r="AE6" s="157" t="s">
        <v>76</v>
      </c>
      <c r="AF6" s="158" t="s">
        <v>74</v>
      </c>
      <c r="AG6" s="156" t="s">
        <v>75</v>
      </c>
      <c r="AH6" s="157" t="s">
        <v>76</v>
      </c>
      <c r="AI6" s="1"/>
    </row>
    <row r="7" spans="1:35" ht="16.5" customHeight="1" thickTop="1" x14ac:dyDescent="0.25">
      <c r="B7" s="16">
        <v>1</v>
      </c>
      <c r="C7" s="40" t="s">
        <v>17</v>
      </c>
      <c r="D7" s="6">
        <v>6</v>
      </c>
      <c r="E7" s="4">
        <v>650000</v>
      </c>
      <c r="F7" s="17">
        <f>D7*E7</f>
        <v>3900000</v>
      </c>
      <c r="G7" s="6"/>
      <c r="H7" s="4"/>
      <c r="I7" s="17">
        <f>G7*H7</f>
        <v>0</v>
      </c>
      <c r="J7" s="6">
        <v>1</v>
      </c>
      <c r="K7" s="4">
        <v>650000</v>
      </c>
      <c r="L7" s="17">
        <f>J7*K7</f>
        <v>650000</v>
      </c>
      <c r="M7" s="6">
        <f>D7+G7-J7</f>
        <v>5</v>
      </c>
      <c r="N7" s="190">
        <f>F7+I7-L7</f>
        <v>3250000</v>
      </c>
      <c r="O7" s="191"/>
      <c r="U7" s="16">
        <v>1</v>
      </c>
      <c r="V7" s="40" t="s">
        <v>60</v>
      </c>
      <c r="W7" s="152">
        <f>JAN!L23</f>
        <v>53375000</v>
      </c>
      <c r="X7" s="153"/>
      <c r="Y7" s="154">
        <f>W7-X7</f>
        <v>53375000</v>
      </c>
      <c r="Z7" s="155">
        <f>JAN!O23</f>
        <v>2000000</v>
      </c>
      <c r="AA7" s="153"/>
      <c r="AB7" s="154">
        <f>Z7-AA7</f>
        <v>2000000</v>
      </c>
      <c r="AC7" s="155"/>
      <c r="AD7" s="153"/>
      <c r="AE7" s="154">
        <f>AC7-AD7</f>
        <v>0</v>
      </c>
      <c r="AF7" s="155">
        <f>W7+Z7+AC7</f>
        <v>55375000</v>
      </c>
      <c r="AG7" s="153">
        <f>X7+AA7+AD7</f>
        <v>0</v>
      </c>
      <c r="AH7" s="154">
        <f>Y7+AB7+AE7</f>
        <v>55375000</v>
      </c>
    </row>
    <row r="8" spans="1:35" ht="16.5" customHeight="1" x14ac:dyDescent="0.25">
      <c r="B8" s="18">
        <v>2</v>
      </c>
      <c r="C8" s="41" t="s">
        <v>20</v>
      </c>
      <c r="D8" s="9">
        <v>24</v>
      </c>
      <c r="E8" s="7">
        <v>130000</v>
      </c>
      <c r="F8" s="19">
        <f t="shared" ref="F8:F11" si="0">D8*E8</f>
        <v>3120000</v>
      </c>
      <c r="G8" s="9"/>
      <c r="H8" s="7"/>
      <c r="I8" s="19">
        <f t="shared" ref="I8:I11" si="1">G8*H8</f>
        <v>0</v>
      </c>
      <c r="J8" s="9"/>
      <c r="K8" s="7"/>
      <c r="L8" s="19">
        <f>J8*K8</f>
        <v>0</v>
      </c>
      <c r="M8" s="6">
        <f t="shared" ref="M8:M11" si="2">D8+G8-J8</f>
        <v>24</v>
      </c>
      <c r="N8" s="164">
        <f t="shared" ref="N8:N11" si="3">F8+I8-L8</f>
        <v>3120000</v>
      </c>
      <c r="O8" s="165"/>
      <c r="U8" s="18">
        <v>2</v>
      </c>
      <c r="V8" s="27" t="s">
        <v>61</v>
      </c>
      <c r="W8" s="144">
        <f>FEB!L23</f>
        <v>55760000</v>
      </c>
      <c r="X8" s="141"/>
      <c r="Y8" s="145">
        <f t="shared" ref="Y8:Y18" si="4">W8-X8</f>
        <v>55760000</v>
      </c>
      <c r="Z8" s="142">
        <f>FEB!O23</f>
        <v>1640000</v>
      </c>
      <c r="AA8" s="141"/>
      <c r="AB8" s="145">
        <f t="shared" ref="AB8:AB18" si="5">Z8-AA8</f>
        <v>1640000</v>
      </c>
      <c r="AC8" s="142"/>
      <c r="AD8" s="141"/>
      <c r="AE8" s="145">
        <f t="shared" ref="AE8:AE18" si="6">AC8-AD8</f>
        <v>0</v>
      </c>
      <c r="AF8" s="142">
        <f t="shared" ref="AF8:AF18" si="7">W8+Z8+AC8</f>
        <v>57400000</v>
      </c>
      <c r="AG8" s="141">
        <f t="shared" ref="AG8:AG18" si="8">X8+AA8+AD8</f>
        <v>0</v>
      </c>
      <c r="AH8" s="145">
        <f t="shared" ref="AH8:AH18" si="9">Y8+AB8+AE8</f>
        <v>57400000</v>
      </c>
    </row>
    <row r="9" spans="1:35" ht="16.5" customHeight="1" x14ac:dyDescent="0.25">
      <c r="B9" s="18">
        <v>3</v>
      </c>
      <c r="C9" s="27" t="s">
        <v>19</v>
      </c>
      <c r="D9" s="9">
        <v>32</v>
      </c>
      <c r="E9" s="7">
        <v>125000</v>
      </c>
      <c r="F9" s="19">
        <f t="shared" si="0"/>
        <v>4000000</v>
      </c>
      <c r="G9" s="9"/>
      <c r="H9" s="7"/>
      <c r="I9" s="19">
        <f t="shared" si="1"/>
        <v>0</v>
      </c>
      <c r="J9" s="9"/>
      <c r="K9" s="7"/>
      <c r="L9" s="19">
        <f t="shared" ref="L9:L11" si="10">J9*K9</f>
        <v>0</v>
      </c>
      <c r="M9" s="6">
        <f t="shared" si="2"/>
        <v>32</v>
      </c>
      <c r="N9" s="164">
        <f>F9+I9-L9</f>
        <v>4000000</v>
      </c>
      <c r="O9" s="165"/>
      <c r="U9" s="18">
        <v>3</v>
      </c>
      <c r="V9" s="27" t="s">
        <v>62</v>
      </c>
      <c r="W9" s="144">
        <f>MAR!L23</f>
        <v>56580000</v>
      </c>
      <c r="X9" s="141"/>
      <c r="Y9" s="145">
        <f t="shared" si="4"/>
        <v>56580000</v>
      </c>
      <c r="Z9" s="142">
        <f>MAR!O23</f>
        <v>2460000</v>
      </c>
      <c r="AA9" s="141"/>
      <c r="AB9" s="145">
        <f t="shared" si="5"/>
        <v>2460000</v>
      </c>
      <c r="AC9" s="142"/>
      <c r="AD9" s="141"/>
      <c r="AE9" s="145">
        <f t="shared" si="6"/>
        <v>0</v>
      </c>
      <c r="AF9" s="142">
        <f t="shared" si="7"/>
        <v>59040000</v>
      </c>
      <c r="AG9" s="141">
        <f t="shared" si="8"/>
        <v>0</v>
      </c>
      <c r="AH9" s="145">
        <f t="shared" si="9"/>
        <v>59040000</v>
      </c>
    </row>
    <row r="10" spans="1:35" ht="16.5" customHeight="1" x14ac:dyDescent="0.25">
      <c r="B10" s="18">
        <v>4</v>
      </c>
      <c r="C10" s="27" t="s">
        <v>21</v>
      </c>
      <c r="D10" s="9">
        <v>85</v>
      </c>
      <c r="E10" s="7">
        <v>15000</v>
      </c>
      <c r="F10" s="19">
        <f t="shared" si="0"/>
        <v>1275000</v>
      </c>
      <c r="G10" s="9"/>
      <c r="H10" s="7"/>
      <c r="I10" s="19">
        <f t="shared" si="1"/>
        <v>0</v>
      </c>
      <c r="J10" s="9"/>
      <c r="K10" s="7"/>
      <c r="L10" s="19">
        <f t="shared" si="10"/>
        <v>0</v>
      </c>
      <c r="M10" s="6">
        <f t="shared" si="2"/>
        <v>85</v>
      </c>
      <c r="N10" s="164">
        <f t="shared" si="3"/>
        <v>1275000</v>
      </c>
      <c r="O10" s="165"/>
      <c r="U10" s="18">
        <v>4</v>
      </c>
      <c r="V10" s="27" t="s">
        <v>63</v>
      </c>
      <c r="W10" s="144">
        <f>APRIL!L23</f>
        <v>56170000</v>
      </c>
      <c r="X10" s="141"/>
      <c r="Y10" s="145">
        <f t="shared" si="4"/>
        <v>56170000</v>
      </c>
      <c r="Z10" s="142">
        <f>APRIL!O23</f>
        <v>1640000</v>
      </c>
      <c r="AA10" s="141"/>
      <c r="AB10" s="145">
        <f t="shared" si="5"/>
        <v>1640000</v>
      </c>
      <c r="AC10" s="142"/>
      <c r="AD10" s="141"/>
      <c r="AE10" s="145">
        <f t="shared" si="6"/>
        <v>0</v>
      </c>
      <c r="AF10" s="142">
        <f t="shared" si="7"/>
        <v>57810000</v>
      </c>
      <c r="AG10" s="141">
        <f t="shared" si="8"/>
        <v>0</v>
      </c>
      <c r="AH10" s="145">
        <f t="shared" si="9"/>
        <v>57810000</v>
      </c>
    </row>
    <row r="11" spans="1:35" ht="16.5" customHeight="1" thickBot="1" x14ac:dyDescent="0.3">
      <c r="B11" s="33">
        <v>5</v>
      </c>
      <c r="C11" s="42" t="s">
        <v>22</v>
      </c>
      <c r="D11" s="44">
        <v>175</v>
      </c>
      <c r="E11" s="34">
        <v>50000</v>
      </c>
      <c r="F11" s="35">
        <f t="shared" si="0"/>
        <v>8750000</v>
      </c>
      <c r="G11" s="44"/>
      <c r="H11" s="34"/>
      <c r="I11" s="35">
        <f t="shared" si="1"/>
        <v>0</v>
      </c>
      <c r="J11" s="44"/>
      <c r="K11" s="34"/>
      <c r="L11" s="35">
        <f t="shared" si="10"/>
        <v>0</v>
      </c>
      <c r="M11" s="44">
        <f t="shared" si="2"/>
        <v>175</v>
      </c>
      <c r="N11" s="186">
        <f t="shared" si="3"/>
        <v>8750000</v>
      </c>
      <c r="O11" s="187"/>
      <c r="U11" s="18">
        <v>5</v>
      </c>
      <c r="V11" s="27" t="s">
        <v>64</v>
      </c>
      <c r="W11" s="144">
        <f>L23</f>
        <v>48510000</v>
      </c>
      <c r="X11" s="141"/>
      <c r="Y11" s="145">
        <f t="shared" si="4"/>
        <v>48510000</v>
      </c>
      <c r="Z11" s="142">
        <f>O23</f>
        <v>2100000</v>
      </c>
      <c r="AA11" s="141"/>
      <c r="AB11" s="145">
        <f t="shared" si="5"/>
        <v>2100000</v>
      </c>
      <c r="AC11" s="142">
        <f>L12</f>
        <v>650000</v>
      </c>
      <c r="AD11" s="141"/>
      <c r="AE11" s="145">
        <f t="shared" si="6"/>
        <v>650000</v>
      </c>
      <c r="AF11" s="142">
        <f t="shared" si="7"/>
        <v>51260000</v>
      </c>
      <c r="AG11" s="141">
        <f t="shared" si="8"/>
        <v>0</v>
      </c>
      <c r="AH11" s="145">
        <f t="shared" si="9"/>
        <v>51260000</v>
      </c>
      <c r="AI11" s="15"/>
    </row>
    <row r="12" spans="1:35" s="15" customFormat="1" ht="16.5" customHeight="1" thickBot="1" x14ac:dyDescent="0.3">
      <c r="B12" s="172" t="s">
        <v>7</v>
      </c>
      <c r="C12" s="173"/>
      <c r="D12" s="45"/>
      <c r="E12" s="46"/>
      <c r="F12" s="47">
        <f>SUM(F7:F11)</f>
        <v>21045000</v>
      </c>
      <c r="G12" s="48"/>
      <c r="H12" s="49"/>
      <c r="I12" s="47">
        <f>SUM(I7:I11)</f>
        <v>0</v>
      </c>
      <c r="J12" s="45">
        <f>SUM(J7:J11)</f>
        <v>1</v>
      </c>
      <c r="K12" s="46">
        <f>SUM(K7:K11)</f>
        <v>650000</v>
      </c>
      <c r="L12" s="47">
        <f>SUM(L7:L11)</f>
        <v>650000</v>
      </c>
      <c r="M12" s="21"/>
      <c r="N12" s="188">
        <f>SUM(N7:N11)</f>
        <v>20395000</v>
      </c>
      <c r="O12" s="189"/>
      <c r="T12" s="1"/>
      <c r="U12" s="18">
        <v>6</v>
      </c>
      <c r="V12" s="27" t="s">
        <v>65</v>
      </c>
      <c r="W12" s="144"/>
      <c r="X12" s="141"/>
      <c r="Y12" s="145">
        <f t="shared" si="4"/>
        <v>0</v>
      </c>
      <c r="Z12" s="143"/>
      <c r="AA12" s="141"/>
      <c r="AB12" s="145">
        <f t="shared" si="5"/>
        <v>0</v>
      </c>
      <c r="AC12" s="142"/>
      <c r="AD12" s="140"/>
      <c r="AE12" s="145">
        <f t="shared" si="6"/>
        <v>0</v>
      </c>
      <c r="AF12" s="142">
        <f t="shared" si="7"/>
        <v>0</v>
      </c>
      <c r="AG12" s="141">
        <f t="shared" si="8"/>
        <v>0</v>
      </c>
      <c r="AH12" s="145">
        <f t="shared" si="9"/>
        <v>0</v>
      </c>
      <c r="AI12" s="1"/>
    </row>
    <row r="13" spans="1:35" ht="14.25" customHeight="1" x14ac:dyDescent="0.25">
      <c r="U13" s="18">
        <v>7</v>
      </c>
      <c r="V13" s="27" t="s">
        <v>66</v>
      </c>
      <c r="W13" s="144"/>
      <c r="X13" s="141"/>
      <c r="Y13" s="145">
        <f t="shared" si="4"/>
        <v>0</v>
      </c>
      <c r="Z13" s="143"/>
      <c r="AA13" s="141"/>
      <c r="AB13" s="145">
        <f t="shared" si="5"/>
        <v>0</v>
      </c>
      <c r="AC13" s="142"/>
      <c r="AD13" s="140"/>
      <c r="AE13" s="145">
        <f t="shared" si="6"/>
        <v>0</v>
      </c>
      <c r="AF13" s="142">
        <f t="shared" si="7"/>
        <v>0</v>
      </c>
      <c r="AG13" s="141">
        <f t="shared" si="8"/>
        <v>0</v>
      </c>
      <c r="AH13" s="145">
        <f t="shared" si="9"/>
        <v>0</v>
      </c>
    </row>
    <row r="14" spans="1:35" ht="21.75" thickBot="1" x14ac:dyDescent="0.3">
      <c r="A14" s="12" t="s">
        <v>42</v>
      </c>
      <c r="D14" s="2"/>
      <c r="H14" s="1"/>
      <c r="U14" s="18">
        <v>8</v>
      </c>
      <c r="V14" s="27" t="s">
        <v>67</v>
      </c>
      <c r="W14" s="144"/>
      <c r="X14" s="141"/>
      <c r="Y14" s="145">
        <f t="shared" si="4"/>
        <v>0</v>
      </c>
      <c r="Z14" s="143"/>
      <c r="AA14" s="141"/>
      <c r="AB14" s="145">
        <f t="shared" si="5"/>
        <v>0</v>
      </c>
      <c r="AC14" s="142"/>
      <c r="AD14" s="140"/>
      <c r="AE14" s="145">
        <f t="shared" si="6"/>
        <v>0</v>
      </c>
      <c r="AF14" s="142">
        <f t="shared" si="7"/>
        <v>0</v>
      </c>
      <c r="AG14" s="141">
        <f t="shared" si="8"/>
        <v>0</v>
      </c>
      <c r="AH14" s="145">
        <f t="shared" si="9"/>
        <v>0</v>
      </c>
      <c r="AI14" s="37"/>
    </row>
    <row r="15" spans="1:35" s="37" customFormat="1" ht="13.5" customHeight="1" x14ac:dyDescent="0.25">
      <c r="B15" s="184" t="s">
        <v>0</v>
      </c>
      <c r="C15" s="182" t="s">
        <v>40</v>
      </c>
      <c r="D15" s="179" t="s">
        <v>8</v>
      </c>
      <c r="E15" s="180"/>
      <c r="F15" s="181"/>
      <c r="G15" s="179" t="s">
        <v>35</v>
      </c>
      <c r="H15" s="180"/>
      <c r="I15" s="181"/>
      <c r="J15" s="179" t="s">
        <v>36</v>
      </c>
      <c r="K15" s="180"/>
      <c r="L15" s="181"/>
      <c r="M15" s="179" t="s">
        <v>34</v>
      </c>
      <c r="N15" s="180"/>
      <c r="O15" s="181"/>
      <c r="P15" s="179" t="s">
        <v>2</v>
      </c>
      <c r="Q15" s="181"/>
      <c r="T15" s="1"/>
      <c r="U15" s="18">
        <v>9</v>
      </c>
      <c r="V15" s="27" t="s">
        <v>68</v>
      </c>
      <c r="W15" s="144"/>
      <c r="X15" s="141"/>
      <c r="Y15" s="145">
        <f t="shared" si="4"/>
        <v>0</v>
      </c>
      <c r="Z15" s="143"/>
      <c r="AA15" s="141"/>
      <c r="AB15" s="145">
        <f t="shared" si="5"/>
        <v>0</v>
      </c>
      <c r="AC15" s="142"/>
      <c r="AD15" s="140"/>
      <c r="AE15" s="145">
        <f t="shared" si="6"/>
        <v>0</v>
      </c>
      <c r="AF15" s="142">
        <f t="shared" si="7"/>
        <v>0</v>
      </c>
      <c r="AG15" s="141">
        <f t="shared" si="8"/>
        <v>0</v>
      </c>
      <c r="AH15" s="145">
        <f t="shared" si="9"/>
        <v>0</v>
      </c>
    </row>
    <row r="16" spans="1:35" s="37" customFormat="1" ht="13.5" customHeight="1" thickBot="1" x14ac:dyDescent="0.3">
      <c r="B16" s="185"/>
      <c r="C16" s="183"/>
      <c r="D16" s="56" t="s">
        <v>4</v>
      </c>
      <c r="E16" s="57" t="s">
        <v>16</v>
      </c>
      <c r="F16" s="58" t="s">
        <v>5</v>
      </c>
      <c r="G16" s="56" t="s">
        <v>4</v>
      </c>
      <c r="H16" s="57" t="s">
        <v>16</v>
      </c>
      <c r="I16" s="59" t="s">
        <v>5</v>
      </c>
      <c r="J16" s="56" t="s">
        <v>4</v>
      </c>
      <c r="K16" s="57" t="s">
        <v>16</v>
      </c>
      <c r="L16" s="58" t="s">
        <v>5</v>
      </c>
      <c r="M16" s="56" t="s">
        <v>4</v>
      </c>
      <c r="N16" s="57" t="s">
        <v>16</v>
      </c>
      <c r="O16" s="58" t="s">
        <v>5</v>
      </c>
      <c r="P16" s="56" t="s">
        <v>4</v>
      </c>
      <c r="Q16" s="60" t="s">
        <v>5</v>
      </c>
      <c r="T16" s="1"/>
      <c r="U16" s="18">
        <v>10</v>
      </c>
      <c r="V16" s="27" t="s">
        <v>69</v>
      </c>
      <c r="W16" s="144"/>
      <c r="X16" s="141"/>
      <c r="Y16" s="145">
        <f t="shared" si="4"/>
        <v>0</v>
      </c>
      <c r="Z16" s="143"/>
      <c r="AA16" s="141"/>
      <c r="AB16" s="145">
        <f t="shared" si="5"/>
        <v>0</v>
      </c>
      <c r="AC16" s="142"/>
      <c r="AD16" s="140"/>
      <c r="AE16" s="145">
        <f t="shared" si="6"/>
        <v>0</v>
      </c>
      <c r="AF16" s="142">
        <f t="shared" si="7"/>
        <v>0</v>
      </c>
      <c r="AG16" s="141">
        <f t="shared" si="8"/>
        <v>0</v>
      </c>
      <c r="AH16" s="145">
        <f t="shared" si="9"/>
        <v>0</v>
      </c>
      <c r="AI16" s="1"/>
    </row>
    <row r="17" spans="1:35" ht="16.5" customHeight="1" x14ac:dyDescent="0.25">
      <c r="B17" s="50">
        <v>1</v>
      </c>
      <c r="C17" s="52" t="s">
        <v>29</v>
      </c>
      <c r="D17" s="6">
        <v>0</v>
      </c>
      <c r="E17" s="4"/>
      <c r="F17" s="17">
        <f>D17*E17</f>
        <v>0</v>
      </c>
      <c r="G17" s="6"/>
      <c r="H17" s="4"/>
      <c r="I17" s="17">
        <f>G17*H17</f>
        <v>0</v>
      </c>
      <c r="J17" s="6"/>
      <c r="K17" s="4"/>
      <c r="L17" s="5">
        <f>J17*K17</f>
        <v>0</v>
      </c>
      <c r="M17" s="61"/>
      <c r="N17" s="62"/>
      <c r="O17" s="63">
        <f>M17*N17</f>
        <v>0</v>
      </c>
      <c r="P17" s="6">
        <f>G17+D17+J17</f>
        <v>0</v>
      </c>
      <c r="Q17" s="17">
        <f>I17+F17+L17</f>
        <v>0</v>
      </c>
      <c r="U17" s="18">
        <v>11</v>
      </c>
      <c r="V17" s="27" t="s">
        <v>70</v>
      </c>
      <c r="W17" s="144"/>
      <c r="X17" s="141"/>
      <c r="Y17" s="145">
        <f t="shared" si="4"/>
        <v>0</v>
      </c>
      <c r="Z17" s="143"/>
      <c r="AA17" s="141"/>
      <c r="AB17" s="145">
        <f t="shared" si="5"/>
        <v>0</v>
      </c>
      <c r="AC17" s="142"/>
      <c r="AD17" s="140"/>
      <c r="AE17" s="145">
        <f t="shared" si="6"/>
        <v>0</v>
      </c>
      <c r="AF17" s="142">
        <f t="shared" si="7"/>
        <v>0</v>
      </c>
      <c r="AG17" s="141">
        <f t="shared" si="8"/>
        <v>0</v>
      </c>
      <c r="AH17" s="145">
        <f t="shared" si="9"/>
        <v>0</v>
      </c>
    </row>
    <row r="18" spans="1:35" ht="16.5" customHeight="1" thickBot="1" x14ac:dyDescent="0.3">
      <c r="B18" s="50">
        <v>2</v>
      </c>
      <c r="C18" s="53" t="s">
        <v>24</v>
      </c>
      <c r="D18" s="9"/>
      <c r="E18" s="7">
        <v>35000</v>
      </c>
      <c r="F18" s="19">
        <f>D18*E18</f>
        <v>0</v>
      </c>
      <c r="G18" s="9">
        <v>6</v>
      </c>
      <c r="H18" s="7">
        <v>35000</v>
      </c>
      <c r="I18" s="19">
        <f>G18*H18</f>
        <v>210000</v>
      </c>
      <c r="J18" s="9"/>
      <c r="K18" s="7"/>
      <c r="L18" s="11">
        <f>J18*K18</f>
        <v>0</v>
      </c>
      <c r="M18" s="26"/>
      <c r="N18" s="7"/>
      <c r="O18" s="19">
        <f>M18*N18</f>
        <v>0</v>
      </c>
      <c r="P18" s="9">
        <f>G18+D18+J18</f>
        <v>6</v>
      </c>
      <c r="Q18" s="19">
        <f>I18+F18+L18</f>
        <v>210000</v>
      </c>
      <c r="U18" s="33">
        <v>12</v>
      </c>
      <c r="V18" s="42" t="s">
        <v>71</v>
      </c>
      <c r="W18" s="146"/>
      <c r="X18" s="147"/>
      <c r="Y18" s="148">
        <f t="shared" si="4"/>
        <v>0</v>
      </c>
      <c r="Z18" s="149"/>
      <c r="AA18" s="147"/>
      <c r="AB18" s="148">
        <f t="shared" si="5"/>
        <v>0</v>
      </c>
      <c r="AC18" s="150"/>
      <c r="AD18" s="151"/>
      <c r="AE18" s="148">
        <f t="shared" si="6"/>
        <v>0</v>
      </c>
      <c r="AF18" s="150">
        <f t="shared" si="7"/>
        <v>0</v>
      </c>
      <c r="AG18" s="147">
        <f t="shared" si="8"/>
        <v>0</v>
      </c>
      <c r="AH18" s="148">
        <f t="shared" si="9"/>
        <v>0</v>
      </c>
    </row>
    <row r="19" spans="1:35" ht="16.5" customHeight="1" x14ac:dyDescent="0.25">
      <c r="B19" s="50">
        <v>3</v>
      </c>
      <c r="C19" s="53" t="s">
        <v>6</v>
      </c>
      <c r="D19" s="9">
        <v>10</v>
      </c>
      <c r="E19" s="7">
        <v>25000</v>
      </c>
      <c r="F19" s="19">
        <f>D19*E19</f>
        <v>250000</v>
      </c>
      <c r="G19" s="9">
        <v>8</v>
      </c>
      <c r="H19" s="7">
        <v>25000</v>
      </c>
      <c r="I19" s="19">
        <f>G19*H19</f>
        <v>200000</v>
      </c>
      <c r="J19" s="9"/>
      <c r="K19" s="7"/>
      <c r="L19" s="11">
        <f>J19*K19</f>
        <v>0</v>
      </c>
      <c r="M19" s="26"/>
      <c r="N19" s="7"/>
      <c r="O19" s="19">
        <f t="shared" ref="O19" si="11">M19*N19</f>
        <v>0</v>
      </c>
      <c r="P19" s="9">
        <f>G19+D19+J19</f>
        <v>18</v>
      </c>
      <c r="Q19" s="19">
        <f>I19+F19+L19</f>
        <v>450000</v>
      </c>
    </row>
    <row r="20" spans="1:35" ht="16.5" customHeight="1" x14ac:dyDescent="0.25">
      <c r="B20" s="50">
        <v>4</v>
      </c>
      <c r="C20" s="53" t="s">
        <v>55</v>
      </c>
      <c r="D20" s="9">
        <v>19400</v>
      </c>
      <c r="E20" s="7">
        <v>4200</v>
      </c>
      <c r="F20" s="19">
        <f>D20*E20</f>
        <v>81480000</v>
      </c>
      <c r="G20" s="9">
        <v>26400</v>
      </c>
      <c r="H20" s="7">
        <v>4200</v>
      </c>
      <c r="I20" s="19">
        <f>G20*H20</f>
        <v>110880000</v>
      </c>
      <c r="J20" s="9">
        <v>11550</v>
      </c>
      <c r="K20" s="7">
        <v>4200</v>
      </c>
      <c r="L20" s="11">
        <f>J20*K20</f>
        <v>48510000</v>
      </c>
      <c r="M20" s="26">
        <v>500</v>
      </c>
      <c r="N20" s="7">
        <v>4200</v>
      </c>
      <c r="O20" s="19">
        <f>M20*N20</f>
        <v>2100000</v>
      </c>
      <c r="P20" s="9">
        <f>G20+D20+J20</f>
        <v>57350</v>
      </c>
      <c r="Q20" s="19">
        <f>I20+F20+L20</f>
        <v>240870000</v>
      </c>
      <c r="W20" s="28">
        <f t="shared" ref="W20:AH20" si="12">SUM(W7:W19)</f>
        <v>270395000</v>
      </c>
      <c r="X20" s="28">
        <f t="shared" si="12"/>
        <v>0</v>
      </c>
      <c r="Y20" s="28">
        <f t="shared" si="12"/>
        <v>270395000</v>
      </c>
      <c r="Z20" s="28">
        <f t="shared" si="12"/>
        <v>9840000</v>
      </c>
      <c r="AA20" s="28">
        <f t="shared" si="12"/>
        <v>0</v>
      </c>
      <c r="AB20" s="28">
        <f t="shared" si="12"/>
        <v>9840000</v>
      </c>
      <c r="AC20" s="28">
        <f t="shared" si="12"/>
        <v>650000</v>
      </c>
      <c r="AD20" s="28">
        <f t="shared" si="12"/>
        <v>0</v>
      </c>
      <c r="AE20" s="28">
        <f t="shared" si="12"/>
        <v>650000</v>
      </c>
      <c r="AF20" s="28">
        <f t="shared" si="12"/>
        <v>280885000</v>
      </c>
      <c r="AG20" s="28">
        <f t="shared" si="12"/>
        <v>0</v>
      </c>
      <c r="AH20" s="28">
        <f t="shared" si="12"/>
        <v>280885000</v>
      </c>
    </row>
    <row r="21" spans="1:35" ht="16.5" customHeight="1" x14ac:dyDescent="0.25">
      <c r="B21" s="81">
        <v>5</v>
      </c>
      <c r="C21" s="53" t="s">
        <v>56</v>
      </c>
      <c r="D21" s="9">
        <v>9050</v>
      </c>
      <c r="E21" s="7">
        <v>4500</v>
      </c>
      <c r="F21" s="19">
        <f t="shared" ref="F21" si="13">D21*E21</f>
        <v>40725000</v>
      </c>
      <c r="G21" s="9"/>
      <c r="H21" s="7"/>
      <c r="I21" s="19">
        <f t="shared" ref="I21" si="14">G21*H21</f>
        <v>0</v>
      </c>
      <c r="J21" s="9"/>
      <c r="K21" s="7"/>
      <c r="L21" s="11">
        <f t="shared" ref="L21" si="15">J21*K21</f>
        <v>0</v>
      </c>
      <c r="M21" s="26"/>
      <c r="N21" s="7"/>
      <c r="O21" s="19">
        <f>M21*N21</f>
        <v>0</v>
      </c>
      <c r="P21" s="9">
        <f>G21+D21+J21</f>
        <v>9050</v>
      </c>
      <c r="Q21" s="19">
        <f>I21+F21+L21</f>
        <v>40725000</v>
      </c>
      <c r="T21" s="106"/>
    </row>
    <row r="22" spans="1:35" ht="16.5" customHeight="1" thickBot="1" x14ac:dyDescent="0.3">
      <c r="B22" s="51"/>
      <c r="C22" s="109"/>
      <c r="D22" s="110"/>
      <c r="E22" s="111"/>
      <c r="F22" s="112"/>
      <c r="G22" s="110"/>
      <c r="H22" s="111"/>
      <c r="I22" s="112"/>
      <c r="J22" s="110"/>
      <c r="K22" s="111"/>
      <c r="L22" s="113"/>
      <c r="M22" s="114"/>
      <c r="N22" s="111"/>
      <c r="O22" s="112"/>
      <c r="P22" s="110"/>
      <c r="Q22" s="112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35" s="15" customFormat="1" ht="16.5" customHeight="1" thickBot="1" x14ac:dyDescent="0.3">
      <c r="B23" s="177" t="s">
        <v>9</v>
      </c>
      <c r="C23" s="178"/>
      <c r="D23" s="55">
        <f>SUM(D17:D22)</f>
        <v>28460</v>
      </c>
      <c r="E23" s="20"/>
      <c r="F23" s="55">
        <f>SUM(F17:F22)</f>
        <v>122455000</v>
      </c>
      <c r="G23" s="55">
        <f>SUM(G17:G22)</f>
        <v>26414</v>
      </c>
      <c r="H23" s="20"/>
      <c r="I23" s="55">
        <f>SUM(I17:I22)</f>
        <v>111290000</v>
      </c>
      <c r="J23" s="55">
        <f>SUM(J17:J22)</f>
        <v>11550</v>
      </c>
      <c r="K23" s="20"/>
      <c r="L23" s="55">
        <f>SUM(L17:L22)</f>
        <v>48510000</v>
      </c>
      <c r="M23" s="55">
        <f>SUM(M17:M22)</f>
        <v>500</v>
      </c>
      <c r="N23" s="20"/>
      <c r="O23" s="55">
        <f>SUM(O17:O22)</f>
        <v>2100000</v>
      </c>
      <c r="P23" s="55">
        <f>SUM(P17:P22)</f>
        <v>66424</v>
      </c>
      <c r="Q23" s="55">
        <f>SUM(Q17:Q22)</f>
        <v>282255000</v>
      </c>
    </row>
    <row r="24" spans="1:35" s="15" customFormat="1" ht="16.5" customHeight="1" x14ac:dyDescent="0.25">
      <c r="B24" s="25"/>
      <c r="C24" s="2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</row>
    <row r="25" spans="1:35" s="15" customFormat="1" ht="16.5" customHeight="1" x14ac:dyDescent="0.25">
      <c r="B25" s="25"/>
      <c r="C25" s="2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s="12" customFormat="1" ht="21.75" thickBot="1" x14ac:dyDescent="0.3">
      <c r="A26" s="12" t="s">
        <v>43</v>
      </c>
      <c r="E26" s="13"/>
      <c r="F26" s="13"/>
      <c r="G26" s="13"/>
      <c r="H26" s="12" t="s">
        <v>39</v>
      </c>
      <c r="L26" s="13"/>
      <c r="M26" s="13"/>
      <c r="N26" s="13"/>
      <c r="O26" s="13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</row>
    <row r="27" spans="1:35" s="64" customFormat="1" ht="32.25" thickBot="1" x14ac:dyDescent="0.3">
      <c r="B27" s="124" t="s">
        <v>0</v>
      </c>
      <c r="C27" s="39" t="s">
        <v>40</v>
      </c>
      <c r="D27" s="39" t="s">
        <v>4</v>
      </c>
      <c r="E27" s="39" t="s">
        <v>16</v>
      </c>
      <c r="F27" s="125" t="s">
        <v>5</v>
      </c>
      <c r="H27" s="65" t="s">
        <v>0</v>
      </c>
      <c r="I27" s="93" t="s">
        <v>40</v>
      </c>
      <c r="J27" s="67" t="s">
        <v>25</v>
      </c>
      <c r="K27" s="67" t="s">
        <v>1</v>
      </c>
      <c r="L27" s="67" t="s">
        <v>37</v>
      </c>
      <c r="M27" s="67" t="s">
        <v>3</v>
      </c>
      <c r="N27" s="67" t="s">
        <v>44</v>
      </c>
      <c r="O27" s="67" t="s">
        <v>49</v>
      </c>
      <c r="P27" s="93" t="s">
        <v>16</v>
      </c>
      <c r="Q27" s="67" t="s">
        <v>45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6.5" customHeight="1" x14ac:dyDescent="0.25">
      <c r="B28" s="16">
        <v>1</v>
      </c>
      <c r="C28" s="32" t="s">
        <v>29</v>
      </c>
      <c r="D28" s="4">
        <v>0</v>
      </c>
      <c r="E28" s="4"/>
      <c r="F28" s="17">
        <f>D28*E28</f>
        <v>0</v>
      </c>
      <c r="G28" s="1"/>
      <c r="H28" s="50">
        <v>1</v>
      </c>
      <c r="I28" s="52" t="s">
        <v>41</v>
      </c>
      <c r="J28" s="68">
        <f>MAR!O28</f>
        <v>0</v>
      </c>
      <c r="K28" s="68">
        <v>0</v>
      </c>
      <c r="L28" s="68">
        <f>SUM(J28:K28)</f>
        <v>0</v>
      </c>
      <c r="M28" s="73">
        <f>P17</f>
        <v>0</v>
      </c>
      <c r="N28" s="52"/>
      <c r="O28" s="68">
        <f>L28-M28-N28</f>
        <v>0</v>
      </c>
      <c r="P28" s="76"/>
      <c r="Q28" s="68">
        <f>O28*P28</f>
        <v>0</v>
      </c>
    </row>
    <row r="29" spans="1:35" ht="16.5" customHeight="1" x14ac:dyDescent="0.25">
      <c r="B29" s="18">
        <v>2</v>
      </c>
      <c r="C29" s="10" t="s">
        <v>24</v>
      </c>
      <c r="D29" s="7">
        <v>0</v>
      </c>
      <c r="E29" s="7">
        <v>30000</v>
      </c>
      <c r="F29" s="19">
        <f>D29*E29</f>
        <v>0</v>
      </c>
      <c r="G29" s="1"/>
      <c r="H29" s="81">
        <v>2</v>
      </c>
      <c r="I29" s="53" t="s">
        <v>24</v>
      </c>
      <c r="J29" s="69">
        <f>MEI!O29</f>
        <v>75</v>
      </c>
      <c r="K29" s="69">
        <v>0</v>
      </c>
      <c r="L29" s="69">
        <f>SUM(J29:K29)</f>
        <v>75</v>
      </c>
      <c r="M29" s="74">
        <f>P18</f>
        <v>6</v>
      </c>
      <c r="N29" s="53">
        <v>0</v>
      </c>
      <c r="O29" s="69">
        <f>L29-M29-N29</f>
        <v>69</v>
      </c>
      <c r="P29" s="77">
        <v>30000</v>
      </c>
      <c r="Q29" s="80">
        <f t="shared" ref="Q29:Q30" si="16">O29*P29</f>
        <v>2070000</v>
      </c>
    </row>
    <row r="30" spans="1:35" ht="16.5" customHeight="1" x14ac:dyDescent="0.25">
      <c r="B30" s="18">
        <v>3</v>
      </c>
      <c r="C30" s="10" t="s">
        <v>6</v>
      </c>
      <c r="D30" s="7">
        <v>0</v>
      </c>
      <c r="E30" s="7">
        <v>22000</v>
      </c>
      <c r="F30" s="19">
        <f>D30*E30</f>
        <v>0</v>
      </c>
      <c r="G30" s="1"/>
      <c r="H30" s="81">
        <v>3</v>
      </c>
      <c r="I30" s="53" t="s">
        <v>6</v>
      </c>
      <c r="J30" s="69">
        <f>MEI!O30</f>
        <v>133</v>
      </c>
      <c r="K30" s="69">
        <v>0</v>
      </c>
      <c r="L30" s="69">
        <f>SUM(J30:K30)</f>
        <v>133</v>
      </c>
      <c r="M30" s="74">
        <f>P19</f>
        <v>18</v>
      </c>
      <c r="N30" s="53">
        <v>0</v>
      </c>
      <c r="O30" s="69">
        <f>L30-M30-N30</f>
        <v>115</v>
      </c>
      <c r="P30" s="77">
        <v>25000</v>
      </c>
      <c r="Q30" s="80">
        <f t="shared" si="16"/>
        <v>2875000</v>
      </c>
    </row>
    <row r="31" spans="1:35" ht="16.5" customHeight="1" thickBot="1" x14ac:dyDescent="0.3">
      <c r="B31" s="18">
        <v>4</v>
      </c>
      <c r="C31" s="31" t="s">
        <v>30</v>
      </c>
      <c r="D31" s="7">
        <v>24000</v>
      </c>
      <c r="E31" s="7">
        <v>4475</v>
      </c>
      <c r="F31" s="19">
        <f>D31*E31</f>
        <v>107400000</v>
      </c>
      <c r="G31" s="1"/>
      <c r="H31" s="82">
        <v>4</v>
      </c>
      <c r="I31" s="66" t="s">
        <v>15</v>
      </c>
      <c r="J31" s="71">
        <f>MEI!O31</f>
        <v>30450</v>
      </c>
      <c r="K31" s="71">
        <f>D31+D32</f>
        <v>64000</v>
      </c>
      <c r="L31" s="72">
        <f>SUM(J31:K31)</f>
        <v>94450</v>
      </c>
      <c r="M31" s="75">
        <f>P20+P21+P22</f>
        <v>66400</v>
      </c>
      <c r="N31" s="54">
        <v>150</v>
      </c>
      <c r="O31" s="71">
        <f>L31-M31-N31</f>
        <v>27900</v>
      </c>
      <c r="P31" s="72">
        <v>4100</v>
      </c>
      <c r="Q31" s="70">
        <f>O31*P31</f>
        <v>114390000</v>
      </c>
    </row>
    <row r="32" spans="1:35" ht="16.5" customHeight="1" thickBot="1" x14ac:dyDescent="0.3">
      <c r="B32" s="18">
        <v>5</v>
      </c>
      <c r="C32" s="31" t="s">
        <v>23</v>
      </c>
      <c r="D32" s="7">
        <v>40000</v>
      </c>
      <c r="E32" s="7">
        <v>4360</v>
      </c>
      <c r="F32" s="19">
        <f t="shared" ref="F32" si="17">D32*E32</f>
        <v>174400000</v>
      </c>
      <c r="G32" s="1"/>
      <c r="H32" s="174"/>
      <c r="I32" s="175"/>
      <c r="J32" s="126"/>
      <c r="K32" s="79"/>
      <c r="L32" s="126"/>
      <c r="M32" s="126"/>
      <c r="N32" s="126"/>
      <c r="O32" s="126" t="s">
        <v>2</v>
      </c>
      <c r="P32" s="126"/>
      <c r="Q32" s="83">
        <f>SUM(Q28:Q31)</f>
        <v>119335000</v>
      </c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spans="2:35" s="15" customFormat="1" ht="16.5" customHeight="1" thickBot="1" x14ac:dyDescent="0.3">
      <c r="B33" s="166" t="s">
        <v>9</v>
      </c>
      <c r="C33" s="167"/>
      <c r="D33" s="20">
        <f>SUM(D28:D32)</f>
        <v>64000</v>
      </c>
      <c r="E33" s="20"/>
      <c r="F33" s="36">
        <f>SUM(F28:F32)</f>
        <v>281800000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2:35" ht="16.5" customHeight="1" x14ac:dyDescent="0.25">
      <c r="D34" s="2"/>
      <c r="H34" s="1"/>
    </row>
    <row r="35" spans="2:35" ht="16.5" customHeight="1" x14ac:dyDescent="0.25">
      <c r="B35" s="8"/>
      <c r="C35" s="8"/>
      <c r="D35" s="128"/>
      <c r="E35" s="8"/>
      <c r="F35" s="8"/>
      <c r="G35" s="8"/>
      <c r="H35" s="8"/>
      <c r="I35" s="8"/>
      <c r="J35" s="8"/>
      <c r="K35" s="121" t="s">
        <v>78</v>
      </c>
      <c r="M35" s="8"/>
    </row>
    <row r="36" spans="2:35" ht="16.5" customHeight="1" x14ac:dyDescent="0.25">
      <c r="D36" s="2"/>
      <c r="E36" s="8"/>
      <c r="F36" s="168" t="s">
        <v>10</v>
      </c>
      <c r="G36" s="168"/>
      <c r="H36" s="8"/>
      <c r="I36" s="8"/>
      <c r="J36" s="8" t="s">
        <v>14</v>
      </c>
      <c r="K36" s="168" t="s">
        <v>11</v>
      </c>
      <c r="L36" s="168"/>
      <c r="M36" s="8"/>
    </row>
    <row r="37" spans="2:35" ht="16.5" customHeight="1" x14ac:dyDescent="0.25">
      <c r="D37" s="2"/>
      <c r="E37" s="127"/>
      <c r="F37" s="123"/>
      <c r="G37" s="123"/>
      <c r="H37" s="8"/>
      <c r="I37" s="8"/>
      <c r="J37" s="8"/>
      <c r="K37" s="123"/>
      <c r="L37" s="123"/>
      <c r="M37" s="123"/>
    </row>
    <row r="38" spans="2:35" ht="16.5" customHeight="1" x14ac:dyDescent="0.25">
      <c r="D38" s="2"/>
      <c r="E38" s="8"/>
      <c r="F38" s="8"/>
      <c r="G38" s="8"/>
      <c r="H38" s="8"/>
      <c r="I38" s="8"/>
      <c r="J38" s="8"/>
      <c r="K38" s="8"/>
      <c r="L38" s="8"/>
      <c r="M38" s="23"/>
    </row>
    <row r="39" spans="2:35" ht="16.5" customHeight="1" x14ac:dyDescent="0.25">
      <c r="D39" s="2"/>
      <c r="E39" s="129"/>
      <c r="F39" s="22"/>
      <c r="G39" s="22"/>
      <c r="H39" s="23"/>
      <c r="I39" s="23"/>
      <c r="J39" s="8"/>
      <c r="K39" s="8"/>
      <c r="L39" s="8"/>
      <c r="M39" s="23"/>
    </row>
    <row r="40" spans="2:35" ht="16.5" customHeight="1" x14ac:dyDescent="0.25">
      <c r="D40" s="2"/>
      <c r="E40" s="23"/>
      <c r="F40" s="171" t="s">
        <v>12</v>
      </c>
      <c r="G40" s="171"/>
      <c r="H40" s="23"/>
      <c r="I40" s="23"/>
      <c r="J40" s="8"/>
      <c r="K40" s="171" t="s">
        <v>13</v>
      </c>
      <c r="L40" s="171"/>
      <c r="M40" s="8"/>
    </row>
    <row r="41" spans="2:35" ht="16.5" customHeight="1" x14ac:dyDescent="0.25">
      <c r="E41" s="127"/>
      <c r="F41" s="8"/>
      <c r="G41" s="8"/>
      <c r="H41" s="131"/>
      <c r="I41" s="8"/>
      <c r="J41" s="8"/>
      <c r="K41" s="8"/>
      <c r="L41" s="8"/>
      <c r="M41" s="8"/>
    </row>
    <row r="42" spans="2:35" ht="16.5" customHeight="1" x14ac:dyDescent="0.25">
      <c r="E42" s="130"/>
      <c r="F42" s="123"/>
      <c r="G42" s="123"/>
      <c r="H42" s="123"/>
      <c r="I42" s="8"/>
      <c r="J42" s="8"/>
      <c r="K42" s="8"/>
      <c r="L42" s="8"/>
      <c r="M42" s="8"/>
    </row>
    <row r="44" spans="2:35" ht="16.5" customHeight="1" x14ac:dyDescent="0.25">
      <c r="E44" s="1"/>
      <c r="F44" s="1"/>
      <c r="G44" s="1"/>
      <c r="H44" s="1"/>
      <c r="T44" s="132"/>
      <c r="U44" s="132"/>
    </row>
    <row r="45" spans="2:35" ht="16.5" customHeight="1" x14ac:dyDescent="0.25">
      <c r="E45" s="1"/>
      <c r="F45" s="1"/>
      <c r="G45" s="1"/>
      <c r="H45" s="1"/>
      <c r="P45" s="168"/>
      <c r="Q45" s="168"/>
      <c r="R45" s="168"/>
      <c r="S45" s="132"/>
      <c r="T45" s="132"/>
      <c r="U45" s="132"/>
    </row>
    <row r="46" spans="2:35" ht="16.5" customHeight="1" x14ac:dyDescent="0.25">
      <c r="E46" s="1"/>
      <c r="F46" s="1"/>
      <c r="G46" s="1"/>
      <c r="H46" s="1"/>
      <c r="P46" s="132"/>
      <c r="Q46" s="132"/>
      <c r="R46" s="132"/>
      <c r="S46" s="132"/>
      <c r="T46" s="132"/>
      <c r="U46" s="138"/>
    </row>
    <row r="47" spans="2:35" ht="16.5" customHeight="1" x14ac:dyDescent="0.25">
      <c r="E47" s="1"/>
      <c r="F47" s="1"/>
      <c r="G47" s="1"/>
      <c r="H47" s="1"/>
      <c r="P47" s="8"/>
      <c r="Q47" s="132"/>
      <c r="R47" s="138"/>
      <c r="S47" s="8"/>
      <c r="T47" s="132"/>
      <c r="U47" s="132"/>
    </row>
    <row r="48" spans="2:35" ht="16.5" customHeight="1" x14ac:dyDescent="0.25">
      <c r="E48" s="1"/>
      <c r="F48" s="1"/>
      <c r="G48" s="1"/>
      <c r="H48" s="1"/>
      <c r="P48" s="8"/>
      <c r="Q48" s="132"/>
      <c r="R48" s="132"/>
      <c r="S48" s="8"/>
      <c r="T48" s="132"/>
      <c r="U48" s="132"/>
    </row>
    <row r="49" spans="5:21" ht="16.5" customHeight="1" x14ac:dyDescent="0.25">
      <c r="E49" s="1"/>
      <c r="F49" s="1"/>
      <c r="G49" s="1"/>
      <c r="H49" s="1"/>
      <c r="P49" s="8"/>
      <c r="Q49" s="132"/>
      <c r="R49" s="132"/>
      <c r="S49" s="8"/>
      <c r="T49" s="132"/>
      <c r="U49" s="132"/>
    </row>
    <row r="50" spans="5:21" ht="16.5" customHeight="1" x14ac:dyDescent="0.25">
      <c r="E50" s="1"/>
      <c r="F50" s="1"/>
      <c r="G50" s="1"/>
      <c r="H50" s="1"/>
      <c r="P50" s="8"/>
      <c r="Q50" s="132"/>
      <c r="R50" s="132"/>
      <c r="S50" s="8"/>
      <c r="T50" s="132"/>
      <c r="U50" s="139"/>
    </row>
    <row r="51" spans="5:21" ht="16.5" customHeight="1" x14ac:dyDescent="0.25">
      <c r="E51" s="1"/>
      <c r="F51" s="1"/>
      <c r="G51" s="1"/>
      <c r="H51" s="1"/>
      <c r="P51" s="8"/>
      <c r="Q51" s="132"/>
      <c r="R51" s="139"/>
      <c r="S51" s="8"/>
      <c r="T51" s="8"/>
      <c r="U51" s="8"/>
    </row>
    <row r="52" spans="5:21" ht="16.5" customHeight="1" x14ac:dyDescent="0.25">
      <c r="P52" s="8"/>
      <c r="Q52" s="8"/>
      <c r="R52" s="8"/>
      <c r="S52" s="8"/>
    </row>
    <row r="5057" spans="7:7" ht="16.5" customHeight="1" x14ac:dyDescent="0.25">
      <c r="G5057" s="2">
        <v>9</v>
      </c>
    </row>
  </sheetData>
  <mergeCells count="37">
    <mergeCell ref="AF5:AH5"/>
    <mergeCell ref="P45:R45"/>
    <mergeCell ref="W5:Y5"/>
    <mergeCell ref="V5:V6"/>
    <mergeCell ref="U5:U6"/>
    <mergeCell ref="Z5:AB5"/>
    <mergeCell ref="AC5:AE5"/>
    <mergeCell ref="B12:C12"/>
    <mergeCell ref="N12:O12"/>
    <mergeCell ref="A1:Q1"/>
    <mergeCell ref="A2:Q2"/>
    <mergeCell ref="B5:B6"/>
    <mergeCell ref="C5:C6"/>
    <mergeCell ref="D5:F5"/>
    <mergeCell ref="G5:I5"/>
    <mergeCell ref="J5:L5"/>
    <mergeCell ref="M5:O5"/>
    <mergeCell ref="N6:O6"/>
    <mergeCell ref="N7:O7"/>
    <mergeCell ref="N8:O8"/>
    <mergeCell ref="N9:O9"/>
    <mergeCell ref="N10:O10"/>
    <mergeCell ref="N11:O11"/>
    <mergeCell ref="F40:G40"/>
    <mergeCell ref="K40:L40"/>
    <mergeCell ref="P15:Q15"/>
    <mergeCell ref="B23:C23"/>
    <mergeCell ref="H32:I32"/>
    <mergeCell ref="B33:C33"/>
    <mergeCell ref="F36:G36"/>
    <mergeCell ref="K36:L36"/>
    <mergeCell ref="B15:B16"/>
    <mergeCell ref="C15:C16"/>
    <mergeCell ref="D15:F15"/>
    <mergeCell ref="G15:I15"/>
    <mergeCell ref="J15:L15"/>
    <mergeCell ref="M15:O15"/>
  </mergeCells>
  <printOptions horizontalCentered="1" verticalCentered="1"/>
  <pageMargins left="0" right="0" top="0" bottom="0" header="0" footer="0"/>
  <pageSetup paperSize="10000" scale="39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</vt:lpstr>
      <vt:lpstr>FEB</vt:lpstr>
      <vt:lpstr>MAR</vt:lpstr>
      <vt:lpstr>APRIL</vt:lpstr>
      <vt:lpstr>MEI</vt:lpstr>
      <vt:lpstr>JUNI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User</cp:lastModifiedBy>
  <cp:lastPrinted>2026-07-20T03:00:28Z</cp:lastPrinted>
  <dcterms:created xsi:type="dcterms:W3CDTF">2026-02-07T04:17:42Z</dcterms:created>
  <dcterms:modified xsi:type="dcterms:W3CDTF">2026-08-20T04:02:38Z</dcterms:modified>
</cp:coreProperties>
</file>