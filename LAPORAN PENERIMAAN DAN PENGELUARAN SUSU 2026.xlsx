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2527"/>
  <workbookPr defaultThemeVersion="166925"/>
  <bookViews>
    <workbookView xWindow="-120" yWindow="-120" windowWidth="29040" windowHeight="17640" activeTab="6"/>
  </bookViews>
  <sheets>
    <sheet name="Januari" sheetId="1" r:id="rId1"/>
    <sheet name="Februari" sheetId="2" r:id="rId2"/>
    <sheet name="Maret" sheetId="3" r:id="rId3"/>
    <sheet name="April" sheetId="4" r:id="rId4"/>
    <sheet name="Mei" sheetId="5" r:id="rId5"/>
    <sheet name="Juni" sheetId="7" r:id="rId6"/>
    <sheet name="juli." sheetId="9" r:id="rId7"/>
  </sheets>
  <calcPr calcId="114210"/>
</workbook>
</file>

<file path=xl/sharedStrings.xml><?xml version="1.0" encoding="utf-8"?>
<sst xmlns="http://schemas.openxmlformats.org/spreadsheetml/2006/main" uniqueCount="90" count="90">
  <si>
    <t>LAPORAN PEMBELIAN DAN PENJUALAN SUSU</t>
  </si>
  <si>
    <t>BULAN DESEMBER 2025</t>
  </si>
  <si>
    <t xml:space="preserve">                                                               PENERIMAAN</t>
  </si>
  <si>
    <t>PENGELUARAN</t>
  </si>
  <si>
    <t xml:space="preserve">                    DARI</t>
  </si>
  <si>
    <t xml:space="preserve">                    KG</t>
  </si>
  <si>
    <t xml:space="preserve">                RP</t>
  </si>
  <si>
    <t>NO</t>
  </si>
  <si>
    <t xml:space="preserve">             UNTUK</t>
  </si>
  <si>
    <t xml:space="preserve">       LITER</t>
  </si>
  <si>
    <t xml:space="preserve">               RP</t>
  </si>
  <si>
    <t>PENJUALAN PADA</t>
  </si>
  <si>
    <t>ANGGOTA DANA MULYA</t>
  </si>
  <si>
    <t>NESTLE</t>
  </si>
  <si>
    <t>GONDANG</t>
  </si>
  <si>
    <t>AGEN</t>
  </si>
  <si>
    <t>BRANGKAL</t>
  </si>
  <si>
    <t>LOKAL</t>
  </si>
  <si>
    <t>TAWAR</t>
  </si>
  <si>
    <t>JUMLAH</t>
  </si>
  <si>
    <t>KRIAN</t>
  </si>
  <si>
    <t xml:space="preserve">    LAIN-LAIN</t>
  </si>
  <si>
    <t>WONOAYU</t>
  </si>
  <si>
    <t>PECAH/RUSAK</t>
  </si>
  <si>
    <t>PRAMBON</t>
  </si>
  <si>
    <t>KARYAWAN</t>
  </si>
  <si>
    <t>SOSIAL/SUMBANGAN</t>
  </si>
  <si>
    <t xml:space="preserve">              JUMLAH</t>
  </si>
  <si>
    <t>KETERANGAN</t>
  </si>
  <si>
    <t>Stoc susu</t>
  </si>
  <si>
    <t>tgl 30 NOVEMBER 2025</t>
  </si>
  <si>
    <t xml:space="preserve"> Ltr</t>
  </si>
  <si>
    <t>Penerimaan</t>
  </si>
  <si>
    <t>Bulan DESEMBER 2025</t>
  </si>
  <si>
    <t xml:space="preserve">Ltr </t>
  </si>
  <si>
    <t xml:space="preserve">       Persediaan</t>
  </si>
  <si>
    <t>Pengeluaran</t>
  </si>
  <si>
    <t>Stock susu per tgl 30 NOVEMBER</t>
  </si>
  <si>
    <t>per tgl 31 DESEMBER 2025</t>
  </si>
  <si>
    <t>PACET,  15 JANUARI 2025</t>
  </si>
  <si>
    <t>Stok susu per tgl</t>
  </si>
  <si>
    <t>processing</t>
  </si>
  <si>
    <t>Drh.H.M.ILHAM</t>
  </si>
  <si>
    <t>BULAN         2026</t>
  </si>
  <si>
    <t xml:space="preserve">Stock susu per tgl </t>
  </si>
  <si>
    <t>BULAN  JANUARI  2026</t>
  </si>
  <si>
    <t>PACET,  15 FEBRUARI 2025</t>
  </si>
  <si>
    <t>tgl 30 NOVEMBER 2026</t>
  </si>
  <si>
    <t>tgl 31 JANUARI 2026</t>
  </si>
  <si>
    <t>Bulan DESEMBER 2026</t>
  </si>
  <si>
    <t>Bulan FEBRUARI 2026</t>
  </si>
  <si>
    <t>Stock susu per tgl 31 JANUARI 2026</t>
  </si>
  <si>
    <t>PACET,  15 FEBRUARI 2026</t>
  </si>
  <si>
    <t>BULAN  FEBRUARI 2026</t>
  </si>
  <si>
    <t>tgl 28 FEBRUARI 2026</t>
  </si>
  <si>
    <t>Bulan MARET 2026</t>
  </si>
  <si>
    <t>Stock susu per tgl 28 FEBRUARI 2026</t>
  </si>
  <si>
    <t>PACET,  15 MARET 2026</t>
  </si>
  <si>
    <t>tgl 31 MARET 2026</t>
  </si>
  <si>
    <t>Bulan APRIL 2026</t>
  </si>
  <si>
    <t>Stock susu per tgl 31  2026</t>
  </si>
  <si>
    <t>Stock susu per tgl 31 MARET 2026</t>
  </si>
  <si>
    <t>PACET,  15 APRIL 2026</t>
  </si>
  <si>
    <t>BULAN  MARET 2026</t>
  </si>
  <si>
    <t>MOJOSARI</t>
  </si>
  <si>
    <t>BULAN  APRIL 2026</t>
  </si>
  <si>
    <t>PACET,  15 MEI 2026</t>
  </si>
  <si>
    <t>POJEJER</t>
  </si>
  <si>
    <t>TANEN</t>
  </si>
  <si>
    <t>Stock susu per tgl 30 MARET 2026</t>
  </si>
  <si>
    <t>Stock susu per tgl 30 APRIL 2026</t>
  </si>
  <si>
    <t>Stock susu per tgl 31  FEBRUARI 2026</t>
  </si>
  <si>
    <t>tgl 30 APRIL 2026</t>
  </si>
  <si>
    <t>Bulan MEI 2026</t>
  </si>
  <si>
    <t>BULAN  MEI 2026</t>
  </si>
  <si>
    <t>PACET,  15 JUNI 2026</t>
  </si>
  <si>
    <t>Stock susu per tgl 31 MEI 2026</t>
  </si>
  <si>
    <t>TOTAL</t>
  </si>
  <si>
    <t>tgl 30 MEI2026</t>
  </si>
  <si>
    <t>Bulan JUNI2026</t>
  </si>
  <si>
    <t>Stock susu per tgl 30 JUNI 2026</t>
  </si>
  <si>
    <t>PACET,  15 JULI 2026</t>
  </si>
  <si>
    <t>BULAN  JUNI 2026</t>
  </si>
  <si>
    <t>BULAN  JULI  2026</t>
  </si>
  <si>
    <t>PACET,  15 AGUSTUS 2026</t>
  </si>
  <si>
    <t>tgl 30 JUNI2026</t>
  </si>
  <si>
    <t>Bulan JULI 2026</t>
  </si>
  <si>
    <t>tgl 30 JUNI 2026</t>
  </si>
  <si>
    <t>Stock susu per tgl 31 JULI 2026</t>
  </si>
  <si>
    <t>BULAN  JULI 2026</t>
  </si>
</sst>
</file>

<file path=xl/styles.xml><?xml version="1.0" encoding="utf-8"?>
<styleSheet xmlns="http://schemas.openxmlformats.org/spreadsheetml/2006/main">
  <numFmts count="4">
    <numFmt numFmtId="0" formatCode="General"/>
    <numFmt numFmtId="3" formatCode="#,##0"/>
    <numFmt numFmtId="1" formatCode="0"/>
    <numFmt numFmtId="9" formatCode="0%"/>
  </numFmts>
  <fonts count="69">
    <font>
      <name val="Arial"/>
      <sz val="11"/>
    </font>
    <font>
      <name val="Arial"/>
      <sz val="11"/>
    </font>
    <font>
      <name val="Calibri"/>
      <b/>
      <sz val="16"/>
      <color rgb="FF000000"/>
    </font>
    <font>
      <name val="Arial"/>
      <sz val="11"/>
    </font>
    <font>
      <name val="Calibri"/>
      <b/>
      <sz val="14"/>
      <color rgb="FF000000"/>
    </font>
    <font>
      <name val="Arial"/>
      <sz val="11"/>
    </font>
    <font>
      <name val="Calibri"/>
      <b/>
      <sz val="14"/>
      <color rgb="FF000000"/>
    </font>
    <font>
      <name val="Arial"/>
      <sz val="11"/>
    </font>
    <font>
      <name val="Arial"/>
      <sz val="11"/>
    </font>
    <font>
      <name val="Calibri"/>
      <b/>
      <sz val="14"/>
      <color rgb="FF000000"/>
    </font>
    <font>
      <name val="Calibri"/>
      <b/>
      <sz val="14"/>
      <color rgb="FF000000"/>
    </font>
    <font>
      <name val="Calibri"/>
      <b/>
      <sz val="14"/>
      <color rgb="FF000000"/>
    </font>
    <font>
      <name val="Calibri"/>
      <b/>
      <sz val="14"/>
      <color rgb="FF000000"/>
    </font>
    <font>
      <name val="Calibri"/>
      <b/>
      <sz val="14"/>
      <color rgb="FF000000"/>
    </font>
    <font>
      <name val="Calibri"/>
      <b/>
      <sz val="14"/>
      <color rgb="FF000000"/>
    </font>
    <font>
      <name val="Calibri"/>
      <b/>
      <sz val="14"/>
      <color rgb="FF000000"/>
    </font>
    <font>
      <name val="Arial"/>
      <sz val="11"/>
    </font>
    <font>
      <name val="Arial"/>
      <sz val="11"/>
    </font>
    <font>
      <name val="Arial"/>
      <sz val="11"/>
    </font>
    <font>
      <name val="Arial"/>
      <sz val="11"/>
    </font>
    <font>
      <name val="Arial"/>
      <sz val="11"/>
    </font>
    <font>
      <name val="Calibri"/>
      <b/>
      <sz val="14"/>
      <color rgb="FF000000"/>
    </font>
    <font>
      <name val="Calibri"/>
      <b/>
      <sz val="14"/>
      <color rgb="FF000000"/>
    </font>
    <font>
      <name val="Calibri"/>
      <b/>
      <sz val="14"/>
      <color rgb="FF000000"/>
    </font>
    <font>
      <name val="Arial"/>
      <sz val="11"/>
    </font>
    <font>
      <name val="Arial"/>
      <sz val="11"/>
    </font>
    <font>
      <name val="Coming Soon"/>
      <b/>
      <sz val="14"/>
    </font>
    <font>
      <name val="Arial"/>
      <sz val="11"/>
    </font>
    <font>
      <name val="Arial"/>
      <sz val="14"/>
    </font>
    <font>
      <name val="Arial"/>
      <sz val="11"/>
    </font>
    <font>
      <name val="Calibri"/>
      <b/>
      <sz val="14"/>
      <color rgb="FF000000"/>
    </font>
    <font>
      <name val="Arial"/>
      <sz val="11"/>
    </font>
    <font>
      <name val="Arial"/>
      <sz val="11"/>
    </font>
    <font>
      <name val="Calibri"/>
      <b/>
      <sz val="14"/>
      <color rgb="FF000000"/>
    </font>
    <font>
      <name val="Calibri"/>
      <b/>
      <sz val="14"/>
      <color rgb="FF000000"/>
    </font>
    <font>
      <name val="Arial"/>
      <sz val="11"/>
    </font>
    <font>
      <name val="Calibri"/>
      <b/>
      <sz val="14"/>
      <color rgb="FF000000"/>
    </font>
    <font>
      <name val="Arial"/>
      <sz val="11"/>
    </font>
    <font>
      <name val="Arial"/>
      <sz val="11"/>
    </font>
    <font>
      <name val="Calibri"/>
      <b/>
      <sz val="14"/>
      <color rgb="FF000000"/>
    </font>
    <font>
      <name val="Arial"/>
      <sz val="11"/>
    </font>
    <font>
      <name val="Arial"/>
      <sz val="11"/>
    </font>
    <font>
      <name val="Arial"/>
      <sz val="11"/>
    </font>
    <font>
      <name val="Arial"/>
      <sz val="11"/>
    </font>
    <font>
      <name val="Arial"/>
      <sz val="11"/>
    </font>
    <font>
      <name val="Arial"/>
      <sz val="11"/>
    </font>
    <font>
      <name val="Arial"/>
      <sz val="11"/>
    </font>
    <font>
      <name val="Arial"/>
      <sz val="11"/>
    </font>
    <font>
      <name val="Calibri"/>
      <b/>
      <sz val="14"/>
      <color rgb="FF000000"/>
    </font>
    <font>
      <name val="Calibri"/>
      <b/>
      <sz val="14"/>
      <color rgb="FF000000"/>
    </font>
    <font>
      <name val="Calibri"/>
      <b/>
      <sz val="14"/>
      <color rgb="FF000000"/>
    </font>
    <font>
      <name val="Calibri"/>
      <b/>
      <sz val="14"/>
      <color rgb="FF000000"/>
    </font>
    <font>
      <name val="Arial"/>
      <sz val="11"/>
    </font>
    <font>
      <name val="Calibri"/>
      <b/>
      <sz val="14"/>
      <color rgb="FF000000"/>
    </font>
    <font>
      <name val="Calibri"/>
      <b/>
      <sz val="14"/>
      <color rgb="FF000000"/>
    </font>
    <font>
      <name val="Arial"/>
      <sz val="11"/>
    </font>
    <font>
      <name val="Arial"/>
      <sz val="11"/>
    </font>
    <font>
      <name val="Calibri"/>
      <b/>
      <sz val="14"/>
      <color rgb="FF000000"/>
    </font>
    <font>
      <name val="Arial"/>
      <sz val="11"/>
    </font>
    <font>
      <name val="Arial"/>
      <sz val="11"/>
    </font>
    <font>
      <name val="Arial"/>
      <sz val="11"/>
    </font>
    <font>
      <name val="Arial"/>
      <sz val="11"/>
    </font>
    <font>
      <name val="Arial"/>
      <sz val="11"/>
    </font>
    <font>
      <name val="Calibri"/>
      <b/>
      <sz val="14"/>
      <color rgb="FF000000"/>
    </font>
    <font>
      <name val="Calibri"/>
      <b/>
      <sz val="14"/>
      <color rgb="FF000000"/>
    </font>
    <font>
      <name val="Arial"/>
      <sz val="11"/>
    </font>
    <font>
      <name val="Arial"/>
      <sz val="11"/>
    </font>
    <font>
      <name val="Arial"/>
      <sz val="11"/>
    </font>
    <font>
      <name val="Arial"/>
      <sz val="11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0"/>
      </left>
      <right/>
      <top style="thin">
        <color indexed="0"/>
      </top>
      <bottom/>
      <diagonal/>
    </border>
    <border>
      <left/>
      <right/>
      <top style="thin">
        <color indexed="0"/>
      </top>
      <bottom/>
      <diagonal/>
    </border>
    <border>
      <left/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/>
      <top/>
      <bottom/>
      <diagonal/>
    </border>
    <border>
      <left/>
      <right style="thin">
        <color indexed="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0"/>
      </left>
      <right/>
      <top style="thin">
        <color rgb="FF000000"/>
      </top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/>
      <right style="thin">
        <color indexed="0"/>
      </right>
      <top/>
      <bottom style="thin">
        <color indexed="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>
      <alignment vertical="center"/>
    </xf>
  </cellStyleXfs>
  <cellXfs count="78">
    <xf numFmtId="0" fontId="0" fillId="0" borderId="0" xfId="0">
      <alignment vertical="center"/>
    </xf>
    <xf numFmtId="0" fontId="1" fillId="0" borderId="0" xfId="0" applyNumberFormat="1" applyFont="1">
      <alignment vertical="center"/>
    </xf>
    <xf numFmtId="0" fontId="2" fillId="0" borderId="1" xfId="0" applyNumberFormat="1" applyFont="1" applyBorder="1" applyAlignment="1">
      <alignment horizontal="center" vertical="bottom"/>
    </xf>
    <xf numFmtId="0" fontId="2" fillId="0" borderId="0" xfId="0" applyNumberFormat="1" applyFont="1" applyBorder="1" applyAlignment="1">
      <alignment horizontal="center" vertical="center"/>
    </xf>
    <xf numFmtId="0" fontId="3" fillId="0" borderId="2" xfId="0" applyNumberFormat="1" applyFont="1" applyBorder="1" applyAlignment="1">
      <alignment vertical="bottom"/>
    </xf>
    <xf numFmtId="0" fontId="4" fillId="0" borderId="3" xfId="0" applyNumberFormat="1" applyFont="1" applyBorder="1" applyAlignment="1">
      <alignment horizontal="left" vertical="bottom"/>
    </xf>
    <xf numFmtId="0" fontId="5" fillId="0" borderId="4" xfId="0" applyNumberFormat="1" applyFont="1" applyBorder="1" applyAlignment="1">
      <alignment vertical="bottom"/>
    </xf>
    <xf numFmtId="0" fontId="6" fillId="0" borderId="4" xfId="0" applyNumberFormat="1" applyFont="1" applyBorder="1" applyAlignment="1">
      <alignment horizontal="left" vertical="bottom"/>
    </xf>
    <xf numFmtId="0" fontId="7" fillId="0" borderId="5" xfId="0" applyNumberFormat="1" applyFont="1" applyBorder="1" applyAlignment="1">
      <alignment vertical="bottom"/>
    </xf>
    <xf numFmtId="0" fontId="8" fillId="0" borderId="6" xfId="0" applyNumberFormat="1" applyFont="1" applyBorder="1" applyAlignment="1">
      <alignment vertical="bottom"/>
    </xf>
    <xf numFmtId="0" fontId="9" fillId="0" borderId="3" xfId="0" applyNumberFormat="1" applyFont="1" applyBorder="1" applyAlignment="1">
      <alignment horizontal="left" vertical="bottom"/>
    </xf>
    <xf numFmtId="0" fontId="10" fillId="0" borderId="5" xfId="0" applyNumberFormat="1" applyFont="1" applyBorder="1" applyAlignment="1">
      <alignment horizontal="left" vertical="bottom"/>
    </xf>
    <xf numFmtId="0" fontId="11" fillId="0" borderId="7" xfId="0" applyNumberFormat="1" applyFont="1" applyBorder="1" applyAlignment="1">
      <alignment horizontal="left" vertical="bottom"/>
    </xf>
    <xf numFmtId="0" fontId="12" fillId="0" borderId="3" xfId="0" applyNumberFormat="1" applyFont="1" applyBorder="1" applyAlignment="1">
      <alignment horizontal="center" vertical="center"/>
    </xf>
    <xf numFmtId="0" fontId="13" fillId="0" borderId="8" xfId="0" applyNumberFormat="1" applyFont="1" applyBorder="1" applyAlignment="1">
      <alignment horizontal="left" vertical="bottom"/>
    </xf>
    <xf numFmtId="0" fontId="14" fillId="0" borderId="9" xfId="0" applyNumberFormat="1" applyFont="1" applyBorder="1" applyAlignment="1">
      <alignment horizontal="center" vertical="center"/>
    </xf>
    <xf numFmtId="0" fontId="15" fillId="0" borderId="9" xfId="0" applyNumberFormat="1" applyFont="1" applyBorder="1" applyAlignment="1">
      <alignment horizontal="left" vertical="bottom"/>
    </xf>
    <xf numFmtId="0" fontId="16" fillId="0" borderId="9" xfId="0" applyNumberFormat="1" applyFont="1" applyBorder="1" applyAlignment="1">
      <alignment vertical="bottom"/>
    </xf>
    <xf numFmtId="0" fontId="17" fillId="0" borderId="3" xfId="0" applyNumberFormat="1" applyFont="1" applyBorder="1" applyAlignment="1">
      <alignment vertical="bottom"/>
    </xf>
    <xf numFmtId="0" fontId="18" fillId="0" borderId="3" xfId="0" applyNumberFormat="1" applyFont="1" applyBorder="1" applyAlignment="1">
      <alignment horizontal="right" vertical="center"/>
    </xf>
    <xf numFmtId="0" fontId="19" fillId="0" borderId="3" xfId="0" applyNumberFormat="1" applyFont="1" applyBorder="1" applyAlignment="1">
      <alignment horizontal="right" vertical="bottom"/>
    </xf>
    <xf numFmtId="0" fontId="20" fillId="0" borderId="9" xfId="0" applyNumberFormat="1" applyFont="1" applyBorder="1" applyAlignment="1">
      <alignment horizontal="center" vertical="center"/>
    </xf>
    <xf numFmtId="0" fontId="21" fillId="0" borderId="5" xfId="0" applyNumberFormat="1" applyFont="1" applyBorder="1" applyAlignment="1">
      <alignment horizontal="left" vertical="bottom"/>
    </xf>
    <xf numFmtId="0" fontId="22" fillId="0" borderId="9" xfId="0" applyNumberFormat="1" applyFont="1" applyBorder="1" applyAlignment="1">
      <alignment horizontal="center" vertical="center"/>
    </xf>
    <xf numFmtId="3" fontId="23" fillId="0" borderId="3" xfId="0" applyNumberFormat="1" applyFont="1" applyBorder="1" applyAlignment="1">
      <alignment horizontal="center" vertical="center"/>
    </xf>
    <xf numFmtId="3" fontId="24" fillId="0" borderId="3" xfId="0" applyNumberFormat="1" applyFont="1" applyBorder="1" applyAlignment="1">
      <alignment horizontal="right" vertical="bottom"/>
    </xf>
    <xf numFmtId="0" fontId="25" fillId="0" borderId="1" xfId="0" applyNumberFormat="1" applyFont="1" applyBorder="1" applyAlignment="1">
      <alignment horizontal="center" vertical="bottom"/>
    </xf>
    <xf numFmtId="3" fontId="26" fillId="0" borderId="3" xfId="0" applyNumberFormat="1" applyFont="1" applyBorder="1" applyAlignment="1">
      <alignment horizontal="center" vertical="center"/>
    </xf>
    <xf numFmtId="3" fontId="27" fillId="0" borderId="3" xfId="0" applyNumberFormat="1" applyFont="1" applyBorder="1" applyAlignment="1">
      <alignment horizontal="center" vertical="center"/>
    </xf>
    <xf numFmtId="3" fontId="28" fillId="0" borderId="3" xfId="0" applyNumberFormat="1" applyFont="1" applyBorder="1" applyAlignment="1">
      <alignment horizontal="center" vertical="center"/>
    </xf>
    <xf numFmtId="0" fontId="29" fillId="0" borderId="3" xfId="0" applyNumberFormat="1" applyFont="1" applyBorder="1" applyAlignment="1">
      <alignment horizontal="center" vertical="center"/>
    </xf>
    <xf numFmtId="3" fontId="30" fillId="0" borderId="3" xfId="0" applyNumberFormat="1" applyFont="1" applyBorder="1" applyAlignment="1">
      <alignment horizontal="center" vertical="bottom"/>
    </xf>
    <xf numFmtId="3" fontId="31" fillId="0" borderId="3" xfId="0" applyNumberFormat="1" applyFont="1" applyBorder="1" applyAlignment="1">
      <alignment vertical="bottom"/>
    </xf>
    <xf numFmtId="0" fontId="32" fillId="0" borderId="3" xfId="0" applyNumberFormat="1" applyFont="1" applyBorder="1" applyAlignment="1">
      <alignment horizontal="center" vertical="bottom"/>
    </xf>
    <xf numFmtId="0" fontId="33" fillId="0" borderId="6" xfId="0" applyNumberFormat="1" applyFont="1" applyBorder="1" applyAlignment="1">
      <alignment horizontal="left" vertical="bottom"/>
    </xf>
    <xf numFmtId="3" fontId="34" fillId="0" borderId="3" xfId="0" applyNumberFormat="1" applyFont="1" applyBorder="1" applyAlignment="1">
      <alignment horizontal="center" vertical="center"/>
    </xf>
    <xf numFmtId="0" fontId="35" fillId="0" borderId="10" xfId="0" applyNumberFormat="1" applyFont="1" applyBorder="1" applyAlignment="1">
      <alignment vertical="bottom"/>
    </xf>
    <xf numFmtId="1" fontId="36" fillId="0" borderId="5" xfId="0" applyNumberFormat="1" applyFont="1" applyBorder="1" applyAlignment="1">
      <alignment horizontal="center" vertical="bottom"/>
    </xf>
    <xf numFmtId="3" fontId="37" fillId="0" borderId="0" xfId="0" applyNumberFormat="1" applyFont="1">
      <alignment vertical="center"/>
    </xf>
    <xf numFmtId="0" fontId="38" fillId="0" borderId="0" xfId="0" applyNumberFormat="1" applyFont="1">
      <alignment vertical="center"/>
    </xf>
    <xf numFmtId="0" fontId="39" fillId="0" borderId="11" xfId="0" applyNumberFormat="1" applyFont="1" applyBorder="1" applyAlignment="1">
      <alignment horizontal="left" vertical="bottom"/>
    </xf>
    <xf numFmtId="0" fontId="40" fillId="0" borderId="12" xfId="0" applyNumberFormat="1" applyFont="1" applyBorder="1" applyAlignment="1">
      <alignment vertical="bottom"/>
    </xf>
    <xf numFmtId="0" fontId="41" fillId="0" borderId="13" xfId="0" applyNumberFormat="1" applyFont="1" applyBorder="1" applyAlignment="1">
      <alignment vertical="bottom"/>
    </xf>
    <xf numFmtId="0" fontId="42" fillId="0" borderId="14" xfId="0" applyNumberFormat="1" applyFont="1" applyBorder="1" applyAlignment="1">
      <alignment vertical="bottom"/>
    </xf>
    <xf numFmtId="0" fontId="43" fillId="0" borderId="15" xfId="0" applyNumberFormat="1" applyFont="1" applyBorder="1">
      <alignment vertical="center"/>
    </xf>
    <xf numFmtId="0" fontId="44" fillId="0" borderId="1" xfId="0" applyNumberFormat="1" applyFont="1" applyBorder="1" applyAlignment="1">
      <alignment vertical="bottom"/>
    </xf>
    <xf numFmtId="0" fontId="45" fillId="0" borderId="0" xfId="0" applyNumberFormat="1" applyFont="1" applyAlignment="1">
      <alignment vertical="bottom"/>
    </xf>
    <xf numFmtId="0" fontId="46" fillId="0" borderId="16" xfId="0" applyNumberFormat="1" applyFont="1" applyBorder="1" applyAlignment="1">
      <alignment vertical="bottom"/>
    </xf>
    <xf numFmtId="0" fontId="47" fillId="0" borderId="17" xfId="0" applyNumberFormat="1" applyFont="1" applyBorder="1">
      <alignment vertical="center"/>
    </xf>
    <xf numFmtId="0" fontId="48" fillId="0" borderId="1" xfId="0" applyNumberFormat="1" applyFont="1" applyBorder="1" applyAlignment="1">
      <alignment horizontal="left" vertical="bottom"/>
    </xf>
    <xf numFmtId="0" fontId="49" fillId="0" borderId="0" xfId="0" applyNumberFormat="1" applyFont="1" applyAlignment="1">
      <alignment horizontal="left" vertical="bottom"/>
    </xf>
    <xf numFmtId="3" fontId="50" fillId="0" borderId="16" xfId="0" applyNumberFormat="1" applyFont="1" applyBorder="1" applyAlignment="1">
      <alignment horizontal="right" vertical="bottom"/>
    </xf>
    <xf numFmtId="3" fontId="51" fillId="0" borderId="0" xfId="0" applyNumberFormat="1" applyFont="1" applyAlignment="1">
      <alignment horizontal="left" vertical="bottom"/>
    </xf>
    <xf numFmtId="0" fontId="52" fillId="0" borderId="18" xfId="0" applyNumberFormat="1" applyFont="1" applyBorder="1" applyAlignment="1">
      <alignment vertical="bottom"/>
    </xf>
    <xf numFmtId="0" fontId="53" fillId="0" borderId="19" xfId="0" applyNumberFormat="1" applyFont="1" applyBorder="1" applyAlignment="1">
      <alignment horizontal="center" vertical="center"/>
    </xf>
    <xf numFmtId="3" fontId="54" fillId="0" borderId="13" xfId="0" applyNumberFormat="1" applyFont="1" applyBorder="1" applyAlignment="1">
      <alignment horizontal="center" vertical="center"/>
    </xf>
    <xf numFmtId="9" fontId="55" fillId="0" borderId="15" xfId="0" applyNumberFormat="1" applyFont="1" applyBorder="1" applyAlignment="1">
      <alignment vertical="bottom"/>
    </xf>
    <xf numFmtId="0" fontId="4" fillId="0" borderId="10" xfId="0" applyNumberFormat="1" applyFont="1" applyBorder="1" applyAlignment="1">
      <alignment horizontal="center" vertical="bottom"/>
    </xf>
    <xf numFmtId="0" fontId="56" fillId="0" borderId="19" xfId="0" applyNumberFormat="1" applyFont="1" applyBorder="1" applyAlignment="1">
      <alignment vertical="bottom"/>
    </xf>
    <xf numFmtId="3" fontId="57" fillId="0" borderId="16" xfId="0" applyNumberFormat="1" applyFont="1" applyBorder="1" applyAlignment="1">
      <alignment horizontal="center" vertical="center"/>
    </xf>
    <xf numFmtId="0" fontId="58" fillId="0" borderId="0" xfId="0" applyNumberFormat="1" applyFont="1" applyAlignment="1">
      <alignment vertical="bottom"/>
    </xf>
    <xf numFmtId="0" fontId="59" fillId="0" borderId="11" xfId="0" applyNumberFormat="1" applyFont="1" applyBorder="1" applyAlignment="1">
      <alignment vertical="bottom"/>
    </xf>
    <xf numFmtId="0" fontId="60" fillId="0" borderId="12" xfId="0" applyNumberFormat="1" applyFont="1" applyBorder="1" applyAlignment="1">
      <alignment vertical="bottom"/>
    </xf>
    <xf numFmtId="0" fontId="61" fillId="0" borderId="20" xfId="0" applyNumberFormat="1" applyFont="1" applyBorder="1" applyAlignment="1">
      <alignment vertical="bottom"/>
    </xf>
    <xf numFmtId="0" fontId="4" fillId="0" borderId="10" xfId="0" applyNumberFormat="1" applyFont="1" applyBorder="1" applyAlignment="1">
      <alignment horizontal="left" vertical="bottom"/>
    </xf>
    <xf numFmtId="3" fontId="62" fillId="0" borderId="19" xfId="0" applyNumberFormat="1" applyFont="1" applyBorder="1" applyAlignment="1">
      <alignment horizontal="center" vertical="center"/>
    </xf>
    <xf numFmtId="0" fontId="63" fillId="0" borderId="16" xfId="0" applyNumberFormat="1" applyFont="1" applyBorder="1" applyAlignment="1">
      <alignment horizontal="left" vertical="bottom"/>
    </xf>
    <xf numFmtId="0" fontId="4" fillId="0" borderId="6" xfId="0" applyNumberFormat="1" applyFont="1" applyBorder="1" applyAlignment="1">
      <alignment horizontal="center" vertical="center"/>
    </xf>
    <xf numFmtId="3" fontId="64" fillId="0" borderId="21" xfId="0" applyNumberFormat="1" applyFont="1" applyBorder="1" applyAlignment="1">
      <alignment horizontal="right" vertical="bottom"/>
    </xf>
    <xf numFmtId="0" fontId="65" fillId="0" borderId="22" xfId="0" applyNumberFormat="1" applyFont="1" applyBorder="1" applyAlignment="1">
      <alignment vertical="bottom"/>
    </xf>
    <xf numFmtId="0" fontId="66" fillId="0" borderId="23" xfId="0" applyNumberFormat="1" applyFont="1" applyBorder="1">
      <alignment vertical="center"/>
    </xf>
    <xf numFmtId="0" fontId="4" fillId="0" borderId="6" xfId="0" applyNumberFormat="1" applyFont="1" applyBorder="1" applyAlignment="1">
      <alignment horizontal="center" vertical="bottom"/>
    </xf>
    <xf numFmtId="0" fontId="67" fillId="0" borderId="0" xfId="0" applyNumberFormat="1" applyFont="1" applyAlignment="1">
      <alignment vertical="bottom"/>
    </xf>
    <xf numFmtId="0" fontId="68" fillId="0" borderId="24" xfId="0" applyNumberFormat="1" applyFont="1" applyBorder="1" applyAlignment="1">
      <alignment vertical="bottom"/>
    </xf>
    <xf numFmtId="0" fontId="4" fillId="0" borderId="9" xfId="0" applyNumberFormat="1" applyFont="1" applyBorder="1" applyAlignment="1">
      <alignment horizontal="center" vertical="bottom"/>
    </xf>
    <xf numFmtId="0" fontId="4" fillId="0" borderId="9" xfId="0" applyNumberFormat="1" applyFont="1" applyBorder="1" applyAlignment="1">
      <alignment horizontal="left" vertical="center"/>
    </xf>
    <xf numFmtId="3" fontId="4" fillId="0" borderId="3" xfId="0" applyNumberFormat="1" applyFont="1" applyBorder="1" applyAlignment="1">
      <alignment horizontal="center" vertical="center"/>
    </xf>
    <xf numFmtId="0" fontId="4" fillId="0" borderId="3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www.wps.cn/officeDocument/2020/cellImage" Target="cellimages.xml"/><Relationship Id="rId9" Type="http://schemas.openxmlformats.org/officeDocument/2006/relationships/sharedStrings" Target="sharedStrings.xml"/><Relationship Id="rId10" Type="http://schemas.openxmlformats.org/officeDocument/2006/relationships/styles" Target="styles.xml"/><Relationship Id="rId11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EI36"/>
  <sheetViews>
    <sheetView workbookViewId="0" topLeftCell="A2">
      <selection activeCell="G21" sqref="G21"/>
    </sheetView>
  </sheetViews>
  <sheetFormatPr defaultRowHeight="14.25" defaultColWidth="10"/>
  <cols>
    <col min="2" max="2" customWidth="1" width="14.613281" style="0"/>
    <col min="3" max="3" customWidth="1" width="29.074219" style="0"/>
    <col min="4" max="4" customWidth="1" width="18.074219" style="0"/>
    <col min="5" max="5" customWidth="1" width="21.84375" style="0"/>
    <col min="7" max="7" customWidth="1" width="27.074219" style="0"/>
    <col min="8" max="8" customWidth="1" width="13.613281" style="0"/>
    <col min="9" max="9" customWidth="1" width="17.074219" style="0"/>
  </cols>
  <sheetData>
    <row r="1" spans="8: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8:8" ht="21.95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8:8" ht="21.95">
      <c r="A3" s="3" t="s">
        <v>45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8:8" ht="19.15">
      <c r="A4" s="1"/>
      <c r="B4" s="4"/>
      <c r="C4" s="5" t="s">
        <v>2</v>
      </c>
      <c r="D4" s="6"/>
      <c r="E4" s="6"/>
      <c r="F4" s="6"/>
      <c r="G4" s="7" t="s">
        <v>3</v>
      </c>
      <c r="H4" s="6"/>
      <c r="I4" s="8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8:8" ht="19.15">
      <c r="A5" s="1"/>
      <c r="B5" s="9"/>
      <c r="C5" s="10" t="s">
        <v>4</v>
      </c>
      <c r="D5" s="11" t="s">
        <v>5</v>
      </c>
      <c r="E5" s="12" t="s">
        <v>6</v>
      </c>
      <c r="F5" s="13" t="s">
        <v>7</v>
      </c>
      <c r="G5" s="14" t="s">
        <v>8</v>
      </c>
      <c r="H5" s="15" t="s">
        <v>9</v>
      </c>
      <c r="I5" s="16" t="s">
        <v>10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8:8" ht="19.15">
      <c r="A6" s="1"/>
      <c r="B6" s="17"/>
      <c r="C6" s="18"/>
      <c r="D6" s="19"/>
      <c r="E6" s="20"/>
      <c r="F6" s="21"/>
      <c r="G6" s="22" t="s">
        <v>11</v>
      </c>
      <c r="H6" s="18"/>
      <c r="I6" s="18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8:8" ht="19.15">
      <c r="A7" s="1"/>
      <c r="B7" s="23">
        <v>1.0</v>
      </c>
      <c r="C7" s="5" t="s">
        <v>12</v>
      </c>
      <c r="D7" s="24">
        <v>88220.0</v>
      </c>
      <c r="E7" s="25"/>
      <c r="F7" s="13">
        <v>1.0</v>
      </c>
      <c r="G7" s="5" t="s">
        <v>13</v>
      </c>
      <c r="H7" s="24">
        <v>53340.0</v>
      </c>
      <c r="I7" s="25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8:8" ht="19.15">
      <c r="A8" s="1"/>
      <c r="B8" s="13">
        <v>2.0</v>
      </c>
      <c r="C8" s="5" t="s">
        <v>14</v>
      </c>
      <c r="D8" s="26"/>
      <c r="E8" s="25"/>
      <c r="F8" s="13">
        <v>2.0</v>
      </c>
      <c r="G8" s="5" t="s">
        <v>15</v>
      </c>
      <c r="H8" s="27">
        <v>6726.0</v>
      </c>
      <c r="I8" s="25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8:8" ht="19.15">
      <c r="A9" s="1"/>
      <c r="B9" s="13">
        <v>3.0</v>
      </c>
      <c r="C9" s="5" t="s">
        <v>16</v>
      </c>
      <c r="D9" s="24"/>
      <c r="E9" s="25"/>
      <c r="F9" s="13">
        <v>3.0</v>
      </c>
      <c r="G9" s="5" t="s">
        <v>17</v>
      </c>
      <c r="H9" s="24">
        <v>36134.0</v>
      </c>
      <c r="I9" s="25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8:8" ht="19.15">
      <c r="A10" s="1"/>
      <c r="B10" s="13">
        <v>4.0</v>
      </c>
      <c r="C10" s="5" t="s">
        <v>18</v>
      </c>
      <c r="D10" s="28"/>
      <c r="E10" s="25"/>
      <c r="F10" s="18"/>
      <c r="G10" s="5" t="s">
        <v>19</v>
      </c>
      <c r="H10" s="24">
        <f>SUM(H7:H9)</f>
        <v>96200.0</v>
      </c>
      <c r="I10" s="25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8:8" ht="19.15">
      <c r="A11" s="1"/>
      <c r="B11" s="13">
        <v>5.0</v>
      </c>
      <c r="C11" s="5" t="s">
        <v>20</v>
      </c>
      <c r="D11" s="29">
        <v>3920.0</v>
      </c>
      <c r="E11" s="25"/>
      <c r="F11" s="10" t="s">
        <v>21</v>
      </c>
      <c r="G11" s="18"/>
      <c r="H11" s="28"/>
      <c r="I11" s="20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8:8" ht="19.15">
      <c r="A12" s="1"/>
      <c r="B12" s="13">
        <v>6.0</v>
      </c>
      <c r="C12" s="5" t="s">
        <v>22</v>
      </c>
      <c r="D12" s="30">
        <v>4194.0</v>
      </c>
      <c r="E12" s="18"/>
      <c r="F12" s="13">
        <v>1.0</v>
      </c>
      <c r="G12" s="5" t="s">
        <v>23</v>
      </c>
      <c r="H12" s="13">
        <v>30.0</v>
      </c>
      <c r="I12" s="18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8:8" ht="19.15">
      <c r="A13" s="1"/>
      <c r="B13" s="13">
        <v>7.0</v>
      </c>
      <c r="C13" s="5" t="s">
        <v>24</v>
      </c>
      <c r="D13" s="31">
        <v>2443.0</v>
      </c>
      <c r="E13" s="32"/>
      <c r="F13" s="13">
        <v>2.0</v>
      </c>
      <c r="G13" s="5" t="s">
        <v>25</v>
      </c>
      <c r="H13" s="24">
        <v>40.0</v>
      </c>
      <c r="I13" s="18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8:8" ht="19.15">
      <c r="A14" s="1"/>
      <c r="B14" s="18"/>
      <c r="C14" s="18"/>
      <c r="D14" s="33"/>
      <c r="E14" s="18"/>
      <c r="F14" s="13">
        <v>3.0</v>
      </c>
      <c r="G14" s="5" t="s">
        <v>26</v>
      </c>
      <c r="H14" s="24">
        <v>160.0</v>
      </c>
      <c r="I14" s="18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8:8" ht="19.15">
      <c r="A15" s="1"/>
      <c r="B15" s="4"/>
      <c r="C15" s="34" t="s">
        <v>27</v>
      </c>
      <c r="D15" s="35">
        <f>SUM(D7:D13)</f>
        <v>98777.0</v>
      </c>
      <c r="E15" s="32"/>
      <c r="F15" s="30"/>
      <c r="G15" s="5" t="s">
        <v>19</v>
      </c>
      <c r="H15" s="24">
        <f>SUM(H12:H14)</f>
        <v>230.0</v>
      </c>
      <c r="I15" s="18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8:8" ht="19.15">
      <c r="A16" s="1"/>
      <c r="B16" s="36"/>
      <c r="C16" s="17"/>
      <c r="D16" s="37">
        <f>D15/1.025</f>
        <v>96367.80487804879</v>
      </c>
      <c r="E16" s="18"/>
      <c r="F16" s="18"/>
      <c r="G16" s="5" t="s">
        <v>19</v>
      </c>
      <c r="H16" s="24">
        <f>H10+H15</f>
        <v>96430.0</v>
      </c>
      <c r="I16" s="18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8:8">
      <c r="A17" s="1"/>
      <c r="B17" s="1"/>
      <c r="C17" s="1"/>
      <c r="D17" s="38"/>
      <c r="E17" s="39"/>
      <c r="F17" s="39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8:8" ht="19.15">
      <c r="A18" s="1"/>
      <c r="B18" s="40" t="s">
        <v>28</v>
      </c>
      <c r="C18" s="41"/>
      <c r="D18" s="42"/>
      <c r="E18" s="43"/>
      <c r="F18" s="44"/>
      <c r="G18" s="39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8:8">
      <c r="A19" s="1"/>
      <c r="B19" s="45"/>
      <c r="C19" s="46"/>
      <c r="D19" s="47"/>
      <c r="E19" s="46"/>
      <c r="F19" s="48"/>
      <c r="G19" s="39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8:8" ht="19.15">
      <c r="A20" s="1"/>
      <c r="B20" s="49" t="s">
        <v>29</v>
      </c>
      <c r="C20" s="50" t="s">
        <v>48</v>
      </c>
      <c r="D20" s="51">
        <v>357.0</v>
      </c>
      <c r="E20" s="52" t="s">
        <v>31</v>
      </c>
      <c r="F20" s="48"/>
      <c r="G20" s="39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8:8" ht="19.15">
      <c r="A21" s="1"/>
      <c r="B21" s="49" t="s">
        <v>32</v>
      </c>
      <c r="C21" s="50" t="s">
        <v>50</v>
      </c>
      <c r="D21" s="51">
        <f>D16</f>
        <v>96367.80487804879</v>
      </c>
      <c r="E21" s="52" t="s">
        <v>34</v>
      </c>
      <c r="F21" s="48"/>
      <c r="G21" s="39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8:8">
      <c r="A22" s="1"/>
      <c r="B22" s="45"/>
      <c r="C22" s="46"/>
      <c r="D22" s="47"/>
      <c r="E22" s="46"/>
      <c r="F22" s="48"/>
      <c r="G22" s="39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8:8">
      <c r="A23" s="1"/>
      <c r="B23" s="45"/>
      <c r="C23" s="46"/>
      <c r="D23" s="47"/>
      <c r="E23" s="46"/>
      <c r="F23" s="48"/>
      <c r="G23" s="39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8:8">
      <c r="A24" s="1"/>
      <c r="B24" s="45"/>
      <c r="C24" s="46"/>
      <c r="D24" s="47"/>
      <c r="E24" s="46"/>
      <c r="F24" s="48"/>
      <c r="G24" s="39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8:8" ht="19.15">
      <c r="A25" s="1"/>
      <c r="B25" s="45"/>
      <c r="C25" s="53"/>
      <c r="D25" s="54" t="s">
        <v>35</v>
      </c>
      <c r="E25" s="55">
        <f>D20+D21</f>
        <v>96724.8048780488</v>
      </c>
      <c r="F25" s="56"/>
      <c r="G25" s="39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8:8" ht="19.15">
      <c r="A26" s="1"/>
      <c r="B26" s="57" t="s">
        <v>36</v>
      </c>
      <c r="C26" s="57"/>
      <c r="D26" s="58"/>
      <c r="E26" s="59">
        <f>H16</f>
        <v>96430.0</v>
      </c>
      <c r="F26" s="48"/>
      <c r="G26" s="60"/>
      <c r="H26" s="61"/>
      <c r="I26" s="62"/>
      <c r="J26" s="62"/>
      <c r="K26" s="62"/>
      <c r="L26" s="63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8:8" ht="19.15">
      <c r="A27" s="1"/>
      <c r="B27" s="64" t="s">
        <v>51</v>
      </c>
      <c r="C27" s="64"/>
      <c r="D27" s="65"/>
      <c r="E27" s="66"/>
      <c r="F27" s="48"/>
      <c r="G27" s="60"/>
      <c r="H27" s="67" t="s">
        <v>52</v>
      </c>
      <c r="I27" s="67"/>
      <c r="J27" s="67"/>
      <c r="K27" s="67"/>
      <c r="L27" s="67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8:8" ht="19.15">
      <c r="A28" s="1"/>
      <c r="B28" s="64" t="s">
        <v>40</v>
      </c>
      <c r="C28" s="64"/>
      <c r="D28" s="68">
        <f>E25-E26</f>
        <v>294.8048780488025</v>
      </c>
      <c r="E28" s="69"/>
      <c r="F28" s="70"/>
      <c r="G28" s="60"/>
      <c r="H28" s="71" t="s">
        <v>41</v>
      </c>
      <c r="I28" s="71"/>
      <c r="J28" s="71"/>
      <c r="K28" s="71"/>
      <c r="L28" s="7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8:8">
      <c r="A29" s="1"/>
      <c r="B29" s="1"/>
      <c r="C29" s="1"/>
      <c r="D29" s="39"/>
      <c r="E29" s="39"/>
      <c r="F29" s="39"/>
      <c r="G29" s="72"/>
      <c r="H29" s="45"/>
      <c r="I29" s="72"/>
      <c r="J29" s="72"/>
      <c r="K29" s="72"/>
      <c r="L29" s="73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8:8">
      <c r="A30" s="1"/>
      <c r="B30" s="1"/>
      <c r="C30" s="1"/>
      <c r="D30" s="1"/>
      <c r="E30" s="1"/>
      <c r="F30" s="1"/>
      <c r="G30" s="72"/>
      <c r="H30" s="45"/>
      <c r="I30" s="72"/>
      <c r="J30" s="72"/>
      <c r="K30" s="72"/>
      <c r="L30" s="73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8:8">
      <c r="A31" s="1"/>
      <c r="B31" s="1"/>
      <c r="C31" s="1"/>
      <c r="D31" s="1"/>
      <c r="E31" s="1"/>
      <c r="F31" s="1"/>
      <c r="G31" s="72"/>
      <c r="H31" s="45"/>
      <c r="I31" s="72"/>
      <c r="J31" s="72"/>
      <c r="K31" s="72"/>
      <c r="L31" s="73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8:8">
      <c r="A32" s="1"/>
      <c r="B32" s="1"/>
      <c r="C32" s="1"/>
      <c r="D32" s="1"/>
      <c r="E32" s="1"/>
      <c r="F32" s="1"/>
      <c r="G32" s="72"/>
      <c r="H32" s="45"/>
      <c r="I32" s="72"/>
      <c r="J32" s="72"/>
      <c r="K32" s="72"/>
      <c r="L32" s="73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8:8">
      <c r="A33" s="1"/>
      <c r="B33" s="1"/>
      <c r="C33" s="1"/>
      <c r="D33" s="1"/>
      <c r="E33" s="1"/>
      <c r="F33" s="1"/>
      <c r="G33" s="72"/>
      <c r="H33" s="45"/>
      <c r="I33" s="72"/>
      <c r="J33" s="72"/>
      <c r="K33" s="72"/>
      <c r="L33" s="73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8:8" ht="19.15">
      <c r="A34" s="1"/>
      <c r="B34" s="1"/>
      <c r="C34" s="1"/>
      <c r="D34" s="1"/>
      <c r="E34" s="1"/>
      <c r="F34" s="1"/>
      <c r="G34" s="72"/>
      <c r="H34" s="74" t="s">
        <v>42</v>
      </c>
      <c r="I34" s="74"/>
      <c r="J34" s="74"/>
      <c r="K34" s="74"/>
      <c r="L34" s="74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8:8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8:8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</sheetData>
  <mergeCells count="8">
    <mergeCell ref="A2:L2"/>
    <mergeCell ref="A3:L3"/>
    <mergeCell ref="B26:C26"/>
    <mergeCell ref="B27:C27"/>
    <mergeCell ref="B28:C28"/>
    <mergeCell ref="H27:L27"/>
    <mergeCell ref="H28:L28"/>
    <mergeCell ref="H34:L34"/>
  </mergeCells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DW36"/>
  <sheetViews>
    <sheetView workbookViewId="0" topLeftCell="A5">
      <selection activeCell="C22" sqref="C22"/>
    </sheetView>
  </sheetViews>
  <sheetFormatPr defaultRowHeight="14.25" defaultColWidth="10"/>
  <cols>
    <col min="2" max="2" customWidth="1" bestFit="1" width="14.613281" style="0"/>
    <col min="3" max="3" customWidth="1" bestFit="1" width="29.074219" style="0"/>
    <col min="4" max="4" customWidth="1" bestFit="1" width="18.074219" style="0"/>
    <col min="5" max="5" customWidth="1" bestFit="1" width="21.84375" style="0"/>
    <col min="7" max="7" customWidth="1" bestFit="1" width="27.074219" style="0"/>
    <col min="8" max="8" customWidth="1" bestFit="1" width="13.613281" style="0"/>
    <col min="9" max="9" customWidth="1" bestFit="1" width="17.074219" style="0"/>
  </cols>
  <sheetData>
    <row r="1" spans="8: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8:8" ht="21.95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8:8" ht="21.95">
      <c r="A3" s="3" t="s">
        <v>53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8:8" ht="19.15">
      <c r="A4" s="1"/>
      <c r="B4" s="4"/>
      <c r="C4" s="5" t="s">
        <v>2</v>
      </c>
      <c r="D4" s="6"/>
      <c r="E4" s="6"/>
      <c r="F4" s="6"/>
      <c r="G4" s="7" t="s">
        <v>3</v>
      </c>
      <c r="H4" s="6"/>
      <c r="I4" s="8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8:8" ht="19.15">
      <c r="A5" s="1"/>
      <c r="B5" s="9"/>
      <c r="C5" s="10" t="s">
        <v>4</v>
      </c>
      <c r="D5" s="11" t="s">
        <v>5</v>
      </c>
      <c r="E5" s="12" t="s">
        <v>6</v>
      </c>
      <c r="F5" s="13" t="s">
        <v>7</v>
      </c>
      <c r="G5" s="14" t="s">
        <v>8</v>
      </c>
      <c r="H5" s="15" t="s">
        <v>9</v>
      </c>
      <c r="I5" s="16" t="s">
        <v>10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8:8" ht="19.15">
      <c r="A6" s="1"/>
      <c r="B6" s="17"/>
      <c r="C6" s="18"/>
      <c r="D6" s="19"/>
      <c r="E6" s="20"/>
      <c r="F6" s="21"/>
      <c r="G6" s="22" t="s">
        <v>11</v>
      </c>
      <c r="H6" s="18"/>
      <c r="I6" s="18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8:8" ht="19.15">
      <c r="A7" s="1"/>
      <c r="B7" s="23">
        <v>1.0</v>
      </c>
      <c r="C7" s="5" t="s">
        <v>12</v>
      </c>
      <c r="D7" s="24">
        <v>77464.0</v>
      </c>
      <c r="E7" s="25"/>
      <c r="F7" s="13">
        <v>1.0</v>
      </c>
      <c r="G7" s="5" t="s">
        <v>13</v>
      </c>
      <c r="H7" s="24">
        <v>52460.0</v>
      </c>
      <c r="I7" s="25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8:8" ht="21.5">
      <c r="A8" s="1"/>
      <c r="B8" s="13">
        <v>2.0</v>
      </c>
      <c r="C8" s="5" t="s">
        <v>14</v>
      </c>
      <c r="D8" s="26"/>
      <c r="E8" s="25"/>
      <c r="F8" s="13">
        <v>2.0</v>
      </c>
      <c r="G8" s="5" t="s">
        <v>15</v>
      </c>
      <c r="H8" s="27">
        <v>5500.0</v>
      </c>
      <c r="I8" s="25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8:8" ht="19.15">
      <c r="A9" s="1"/>
      <c r="B9" s="13">
        <v>3.0</v>
      </c>
      <c r="C9" s="5" t="s">
        <v>16</v>
      </c>
      <c r="D9" s="24"/>
      <c r="E9" s="25"/>
      <c r="F9" s="13">
        <v>3.0</v>
      </c>
      <c r="G9" s="5" t="s">
        <v>17</v>
      </c>
      <c r="H9" s="24">
        <v>24930.0</v>
      </c>
      <c r="I9" s="25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8:8" ht="19.15">
      <c r="A10" s="1"/>
      <c r="B10" s="13">
        <v>4.0</v>
      </c>
      <c r="C10" s="5" t="s">
        <v>18</v>
      </c>
      <c r="D10" s="28"/>
      <c r="E10" s="25"/>
      <c r="F10" s="18"/>
      <c r="G10" s="5" t="s">
        <v>19</v>
      </c>
      <c r="H10" s="24">
        <f>SUM(H7:H9)</f>
        <v>82890.0</v>
      </c>
      <c r="I10" s="25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8:8" ht="19.15">
      <c r="A11" s="1"/>
      <c r="B11" s="13">
        <v>5.0</v>
      </c>
      <c r="C11" s="5" t="s">
        <v>20</v>
      </c>
      <c r="D11" s="29">
        <v>3275.0</v>
      </c>
      <c r="E11" s="25"/>
      <c r="F11" s="10" t="s">
        <v>21</v>
      </c>
      <c r="G11" s="18"/>
      <c r="H11" s="28"/>
      <c r="I11" s="20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8:8" ht="19.15">
      <c r="A12" s="1"/>
      <c r="B12" s="13">
        <v>6.0</v>
      </c>
      <c r="C12" s="5" t="s">
        <v>22</v>
      </c>
      <c r="D12" s="30">
        <v>3659.0</v>
      </c>
      <c r="E12" s="18"/>
      <c r="F12" s="13">
        <v>1.0</v>
      </c>
      <c r="G12" s="5" t="s">
        <v>23</v>
      </c>
      <c r="H12" s="13">
        <v>260.0</v>
      </c>
      <c r="I12" s="18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8:8" ht="19.15">
      <c r="A13" s="1"/>
      <c r="B13" s="13">
        <v>7.0</v>
      </c>
      <c r="C13" s="5" t="s">
        <v>24</v>
      </c>
      <c r="D13" s="31">
        <v>2289.0</v>
      </c>
      <c r="E13" s="32"/>
      <c r="F13" s="13">
        <v>2.0</v>
      </c>
      <c r="G13" s="5" t="s">
        <v>25</v>
      </c>
      <c r="H13" s="24">
        <v>90.0</v>
      </c>
      <c r="I13" s="18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8:8" ht="19.15">
      <c r="A14" s="1"/>
      <c r="B14" s="18"/>
      <c r="C14" s="18"/>
      <c r="D14" s="33"/>
      <c r="E14" s="18"/>
      <c r="F14" s="13">
        <v>3.0</v>
      </c>
      <c r="G14" s="5" t="s">
        <v>26</v>
      </c>
      <c r="H14" s="24">
        <v>80.0</v>
      </c>
      <c r="I14" s="18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8:8" ht="19.15">
      <c r="A15" s="1"/>
      <c r="B15" s="4"/>
      <c r="C15" s="34" t="s">
        <v>27</v>
      </c>
      <c r="D15" s="35">
        <f>SUM(D7:D13)</f>
        <v>86687.0</v>
      </c>
      <c r="E15" s="32"/>
      <c r="F15" s="30"/>
      <c r="G15" s="5" t="s">
        <v>19</v>
      </c>
      <c r="H15" s="24">
        <f>SUM(H12:H14)</f>
        <v>430.0</v>
      </c>
      <c r="I15" s="18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8:8" ht="19.15">
      <c r="A16" s="1"/>
      <c r="B16" s="36"/>
      <c r="C16" s="17"/>
      <c r="D16" s="37">
        <f>D15/1.025</f>
        <v>84572.68292682928</v>
      </c>
      <c r="E16" s="18"/>
      <c r="F16" s="18"/>
      <c r="G16" s="5" t="s">
        <v>19</v>
      </c>
      <c r="H16" s="24">
        <f>H10+H15</f>
        <v>83320.0</v>
      </c>
      <c r="I16" s="18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8:8">
      <c r="A17" s="1"/>
      <c r="B17" s="1"/>
      <c r="C17" s="1"/>
      <c r="D17" s="38"/>
      <c r="E17" s="39"/>
      <c r="F17" s="39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8:8" ht="19.15">
      <c r="A18" s="1"/>
      <c r="B18" s="40" t="s">
        <v>28</v>
      </c>
      <c r="C18" s="41"/>
      <c r="D18" s="42"/>
      <c r="E18" s="43"/>
      <c r="F18" s="44"/>
      <c r="G18" s="39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8:8">
      <c r="A19" s="1"/>
      <c r="B19" s="45"/>
      <c r="C19" s="46"/>
      <c r="D19" s="47"/>
      <c r="E19" s="46"/>
      <c r="F19" s="48"/>
      <c r="G19" s="39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8:8" ht="19.15">
      <c r="A20" s="1"/>
      <c r="B20" s="49" t="s">
        <v>29</v>
      </c>
      <c r="C20" s="50" t="s">
        <v>54</v>
      </c>
      <c r="D20" s="51">
        <v>295.0</v>
      </c>
      <c r="E20" s="52" t="s">
        <v>31</v>
      </c>
      <c r="F20" s="48"/>
      <c r="G20" s="39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8:8" ht="19.15">
      <c r="A21" s="1"/>
      <c r="B21" s="49" t="s">
        <v>32</v>
      </c>
      <c r="C21" s="50" t="s">
        <v>55</v>
      </c>
      <c r="D21" s="51">
        <f>D16</f>
        <v>84572.68292682928</v>
      </c>
      <c r="E21" s="52" t="s">
        <v>34</v>
      </c>
      <c r="F21" s="48"/>
      <c r="G21" s="39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8:8">
      <c r="A22" s="1"/>
      <c r="B22" s="45"/>
      <c r="C22" s="46"/>
      <c r="D22" s="47"/>
      <c r="E22" s="46"/>
      <c r="F22" s="48"/>
      <c r="G22" s="39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8:8">
      <c r="A23" s="1"/>
      <c r="B23" s="45"/>
      <c r="C23" s="46"/>
      <c r="D23" s="47"/>
      <c r="E23" s="46"/>
      <c r="F23" s="48"/>
      <c r="G23" s="39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8:8">
      <c r="A24" s="1"/>
      <c r="B24" s="45"/>
      <c r="C24" s="46"/>
      <c r="D24" s="47"/>
      <c r="E24" s="46"/>
      <c r="F24" s="48"/>
      <c r="G24" s="39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8:8" ht="19.15">
      <c r="A25" s="1"/>
      <c r="B25" s="45"/>
      <c r="C25" s="53"/>
      <c r="D25" s="54" t="s">
        <v>35</v>
      </c>
      <c r="E25" s="55">
        <f>D20+D21</f>
        <v>84867.6829268293</v>
      </c>
      <c r="F25" s="56"/>
      <c r="G25" s="39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8:8" ht="19.15">
      <c r="A26" s="1"/>
      <c r="B26" s="57" t="s">
        <v>36</v>
      </c>
      <c r="C26" s="57"/>
      <c r="D26" s="58"/>
      <c r="E26" s="59">
        <f>H16</f>
        <v>83320.0</v>
      </c>
      <c r="F26" s="48"/>
      <c r="G26" s="60"/>
      <c r="H26" s="61"/>
      <c r="I26" s="62"/>
      <c r="J26" s="62"/>
      <c r="K26" s="62"/>
      <c r="L26" s="63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8:8" ht="19.15">
      <c r="A27" s="1"/>
      <c r="B27" s="64" t="s">
        <v>56</v>
      </c>
      <c r="C27" s="64"/>
      <c r="D27" s="65"/>
      <c r="E27" s="66"/>
      <c r="F27" s="48"/>
      <c r="G27" s="60"/>
      <c r="H27" s="67" t="s">
        <v>57</v>
      </c>
      <c r="I27" s="67"/>
      <c r="J27" s="67"/>
      <c r="K27" s="67"/>
      <c r="L27" s="67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8:8" ht="19.15">
      <c r="A28" s="1"/>
      <c r="B28" s="64" t="s">
        <v>40</v>
      </c>
      <c r="C28" s="64"/>
      <c r="D28" s="68">
        <f>E25-E26</f>
        <v>1547.6829268292931</v>
      </c>
      <c r="E28" s="69"/>
      <c r="F28" s="70"/>
      <c r="G28" s="60"/>
      <c r="H28" s="71" t="s">
        <v>41</v>
      </c>
      <c r="I28" s="71"/>
      <c r="J28" s="71"/>
      <c r="K28" s="71"/>
      <c r="L28" s="7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8:8">
      <c r="A29" s="1"/>
      <c r="B29" s="1"/>
      <c r="C29" s="1"/>
      <c r="D29" s="39"/>
      <c r="E29" s="39"/>
      <c r="F29" s="39"/>
      <c r="G29" s="72"/>
      <c r="H29" s="45"/>
      <c r="I29" s="72"/>
      <c r="J29" s="72"/>
      <c r="K29" s="72"/>
      <c r="L29" s="73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8:8">
      <c r="A30" s="1"/>
      <c r="B30" s="1"/>
      <c r="C30" s="1"/>
      <c r="D30" s="1"/>
      <c r="E30" s="1"/>
      <c r="F30" s="1"/>
      <c r="G30" s="72"/>
      <c r="H30" s="45"/>
      <c r="I30" s="72"/>
      <c r="J30" s="72"/>
      <c r="K30" s="72"/>
      <c r="L30" s="73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8:8">
      <c r="A31" s="1"/>
      <c r="B31" s="1"/>
      <c r="C31" s="1"/>
      <c r="D31" s="1"/>
      <c r="E31" s="1"/>
      <c r="F31" s="1"/>
      <c r="G31" s="72"/>
      <c r="H31" s="45"/>
      <c r="I31" s="72"/>
      <c r="J31" s="72"/>
      <c r="K31" s="72"/>
      <c r="L31" s="73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8:8">
      <c r="A32" s="1"/>
      <c r="B32" s="1"/>
      <c r="C32" s="1"/>
      <c r="D32" s="1"/>
      <c r="E32" s="1"/>
      <c r="F32" s="1"/>
      <c r="G32" s="72"/>
      <c r="H32" s="45"/>
      <c r="I32" s="72"/>
      <c r="J32" s="72"/>
      <c r="K32" s="72"/>
      <c r="L32" s="73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8:8">
      <c r="A33" s="1"/>
      <c r="B33" s="1"/>
      <c r="C33" s="1"/>
      <c r="D33" s="1"/>
      <c r="E33" s="1"/>
      <c r="F33" s="1"/>
      <c r="G33" s="72"/>
      <c r="H33" s="45"/>
      <c r="I33" s="72"/>
      <c r="J33" s="72"/>
      <c r="K33" s="72"/>
      <c r="L33" s="73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8:8" ht="19.15">
      <c r="A34" s="1"/>
      <c r="B34" s="1"/>
      <c r="C34" s="1"/>
      <c r="D34" s="1"/>
      <c r="E34" s="1"/>
      <c r="F34" s="1"/>
      <c r="G34" s="72"/>
      <c r="H34" s="74" t="s">
        <v>42</v>
      </c>
      <c r="I34" s="74"/>
      <c r="J34" s="74"/>
      <c r="K34" s="74"/>
      <c r="L34" s="74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8:8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8:8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</sheetData>
  <mergeCells count="8">
    <mergeCell ref="H34:L34"/>
    <mergeCell ref="H28:L28"/>
    <mergeCell ref="H27:L27"/>
    <mergeCell ref="B28:C28"/>
    <mergeCell ref="B27:C27"/>
    <mergeCell ref="B26:C26"/>
    <mergeCell ref="A3:L3"/>
    <mergeCell ref="A2:L2"/>
  </mergeCells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:DI36"/>
  <sheetViews>
    <sheetView workbookViewId="0" topLeftCell="A4" zoomScale="90">
      <selection activeCell="C37" sqref="C37"/>
    </sheetView>
  </sheetViews>
  <sheetFormatPr defaultRowHeight="14.25" defaultColWidth="10"/>
  <cols>
    <col min="2" max="2" customWidth="1" bestFit="1" width="14.613281" style="0"/>
    <col min="3" max="3" customWidth="1" bestFit="1" width="29.074219" style="0"/>
    <col min="4" max="4" customWidth="1" bestFit="1" width="18.074219" style="0"/>
    <col min="5" max="5" customWidth="1" bestFit="1" width="21.84375" style="0"/>
    <col min="7" max="7" customWidth="1" bestFit="1" width="27.074219" style="0"/>
    <col min="8" max="8" customWidth="1" bestFit="1" width="13.613281" style="0"/>
    <col min="9" max="9" customWidth="1" bestFit="1" width="17.074219" style="0"/>
  </cols>
  <sheetData>
    <row r="1" spans="8: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8:8" ht="21.95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8:8" ht="22.3">
      <c r="A3" s="3" t="s">
        <v>63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8:8" ht="19.15">
      <c r="A4" s="1"/>
      <c r="B4" s="4"/>
      <c r="C4" s="5" t="s">
        <v>2</v>
      </c>
      <c r="D4" s="6"/>
      <c r="E4" s="6"/>
      <c r="F4" s="6"/>
      <c r="G4" s="7" t="s">
        <v>3</v>
      </c>
      <c r="H4" s="6"/>
      <c r="I4" s="8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8:8" ht="19.15">
      <c r="A5" s="1"/>
      <c r="B5" s="9"/>
      <c r="C5" s="10" t="s">
        <v>4</v>
      </c>
      <c r="D5" s="11" t="s">
        <v>5</v>
      </c>
      <c r="E5" s="12" t="s">
        <v>6</v>
      </c>
      <c r="F5" s="13" t="s">
        <v>7</v>
      </c>
      <c r="G5" s="14" t="s">
        <v>8</v>
      </c>
      <c r="H5" s="15" t="s">
        <v>9</v>
      </c>
      <c r="I5" s="16" t="s">
        <v>10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8:8" ht="19.15">
      <c r="A6" s="1"/>
      <c r="B6" s="17"/>
      <c r="C6" s="18"/>
      <c r="D6" s="19"/>
      <c r="E6" s="20"/>
      <c r="F6" s="21"/>
      <c r="G6" s="22" t="s">
        <v>11</v>
      </c>
      <c r="H6" s="18"/>
      <c r="I6" s="18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8:8" ht="19.75">
      <c r="A7" s="1"/>
      <c r="B7" s="23">
        <v>1.0</v>
      </c>
      <c r="C7" s="5" t="s">
        <v>12</v>
      </c>
      <c r="D7" s="24">
        <v>87141.0</v>
      </c>
      <c r="E7" s="25"/>
      <c r="F7" s="13">
        <v>1.0</v>
      </c>
      <c r="G7" s="5" t="s">
        <v>13</v>
      </c>
      <c r="H7" s="24">
        <v>65540.0</v>
      </c>
      <c r="I7" s="25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8:8" ht="21.8">
      <c r="A8" s="1"/>
      <c r="B8" s="13">
        <v>2.0</v>
      </c>
      <c r="C8" s="5" t="s">
        <v>14</v>
      </c>
      <c r="D8" s="26"/>
      <c r="E8" s="25"/>
      <c r="F8" s="13">
        <v>2.0</v>
      </c>
      <c r="G8" s="5" t="s">
        <v>15</v>
      </c>
      <c r="H8" s="27">
        <v>4643.0</v>
      </c>
      <c r="I8" s="25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8:8" ht="19.75">
      <c r="A9" s="1"/>
      <c r="B9" s="13">
        <v>3.0</v>
      </c>
      <c r="C9" s="5" t="s">
        <v>16</v>
      </c>
      <c r="D9" s="24"/>
      <c r="E9" s="25"/>
      <c r="F9" s="13">
        <v>3.0</v>
      </c>
      <c r="G9" s="5" t="s">
        <v>17</v>
      </c>
      <c r="H9" s="24">
        <v>25952.0</v>
      </c>
      <c r="I9" s="25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8:8" ht="19.15">
      <c r="A10" s="1"/>
      <c r="B10" s="13">
        <v>4.0</v>
      </c>
      <c r="C10" s="5" t="s">
        <v>18</v>
      </c>
      <c r="D10" s="28"/>
      <c r="E10" s="25"/>
      <c r="F10" s="18"/>
      <c r="G10" s="5" t="s">
        <v>19</v>
      </c>
      <c r="H10" s="24">
        <f>SUM(H7:H9)</f>
        <v>96135.0</v>
      </c>
      <c r="I10" s="25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8:8" ht="19.75">
      <c r="A11" s="1"/>
      <c r="B11" s="13">
        <v>5.0</v>
      </c>
      <c r="C11" s="5" t="s">
        <v>20</v>
      </c>
      <c r="D11" s="29">
        <v>3530.0</v>
      </c>
      <c r="E11" s="25"/>
      <c r="F11" s="10" t="s">
        <v>21</v>
      </c>
      <c r="G11" s="18"/>
      <c r="H11" s="28"/>
      <c r="I11" s="20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8:8" ht="19.75">
      <c r="A12" s="1"/>
      <c r="B12" s="13">
        <v>6.0</v>
      </c>
      <c r="C12" s="5" t="s">
        <v>22</v>
      </c>
      <c r="D12" s="30">
        <v>3916.0</v>
      </c>
      <c r="E12" s="18"/>
      <c r="F12" s="13">
        <v>1.0</v>
      </c>
      <c r="G12" s="5" t="s">
        <v>23</v>
      </c>
      <c r="H12" s="13">
        <v>55.0</v>
      </c>
      <c r="I12" s="18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8:8" ht="19.75">
      <c r="A13" s="1"/>
      <c r="B13" s="13">
        <v>7.0</v>
      </c>
      <c r="C13" s="5" t="s">
        <v>24</v>
      </c>
      <c r="D13" s="31">
        <v>3455.0</v>
      </c>
      <c r="E13" s="32"/>
      <c r="F13" s="13">
        <v>2.0</v>
      </c>
      <c r="G13" s="5" t="s">
        <v>25</v>
      </c>
      <c r="H13" s="24">
        <v>90.0</v>
      </c>
      <c r="I13" s="18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8:8" ht="19.75">
      <c r="A14" s="1"/>
      <c r="B14" s="18"/>
      <c r="C14" s="18"/>
      <c r="D14" s="33"/>
      <c r="E14" s="18"/>
      <c r="F14" s="13">
        <v>3.0</v>
      </c>
      <c r="G14" s="5" t="s">
        <v>26</v>
      </c>
      <c r="H14" s="24">
        <v>120.0</v>
      </c>
      <c r="I14" s="18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8:8" ht="19.15">
      <c r="A15" s="1"/>
      <c r="B15" s="4"/>
      <c r="C15" s="34" t="s">
        <v>27</v>
      </c>
      <c r="D15" s="35">
        <f>SUM(D7:D13)</f>
        <v>98042.0</v>
      </c>
      <c r="E15" s="32"/>
      <c r="F15" s="30"/>
      <c r="G15" s="5" t="s">
        <v>19</v>
      </c>
      <c r="H15" s="24">
        <f>SUM(H12:H14)</f>
        <v>265.0</v>
      </c>
      <c r="I15" s="18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8:8" ht="19.15">
      <c r="A16" s="1"/>
      <c r="B16" s="36"/>
      <c r="C16" s="17"/>
      <c r="D16" s="37">
        <f>D15/1.025</f>
        <v>95650.73170731709</v>
      </c>
      <c r="E16" s="18"/>
      <c r="F16" s="18"/>
      <c r="G16" s="5" t="s">
        <v>19</v>
      </c>
      <c r="H16" s="24">
        <f>H10+H15</f>
        <v>96400.0</v>
      </c>
      <c r="I16" s="18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8:8">
      <c r="A17" s="1"/>
      <c r="B17" s="1"/>
      <c r="C17" s="1"/>
      <c r="D17" s="38"/>
      <c r="E17" s="39"/>
      <c r="F17" s="39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8:8" ht="19.15">
      <c r="A18" s="1"/>
      <c r="B18" s="40" t="s">
        <v>28</v>
      </c>
      <c r="C18" s="41"/>
      <c r="D18" s="42"/>
      <c r="E18" s="43"/>
      <c r="F18" s="44"/>
      <c r="G18" s="39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8:8">
      <c r="A19" s="1"/>
      <c r="B19" s="45"/>
      <c r="C19" s="46"/>
      <c r="D19" s="47"/>
      <c r="E19" s="46"/>
      <c r="F19" s="48"/>
      <c r="G19" s="39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8:8" ht="19.15">
      <c r="A20" s="1"/>
      <c r="B20" s="49" t="s">
        <v>29</v>
      </c>
      <c r="C20" s="50" t="s">
        <v>58</v>
      </c>
      <c r="D20" s="51">
        <v>1548.0</v>
      </c>
      <c r="E20" s="52" t="s">
        <v>31</v>
      </c>
      <c r="F20" s="48"/>
      <c r="G20" s="39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8:8" ht="19.15">
      <c r="A21" s="1"/>
      <c r="B21" s="49" t="s">
        <v>32</v>
      </c>
      <c r="C21" s="50" t="s">
        <v>59</v>
      </c>
      <c r="D21" s="51">
        <f>D16</f>
        <v>95650.73170731709</v>
      </c>
      <c r="E21" s="52" t="s">
        <v>34</v>
      </c>
      <c r="F21" s="48"/>
      <c r="G21" s="39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8:8">
      <c r="A22" s="1"/>
      <c r="B22" s="45"/>
      <c r="C22" s="46"/>
      <c r="D22" s="47"/>
      <c r="E22" s="46"/>
      <c r="F22" s="48"/>
      <c r="G22" s="39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8:8">
      <c r="A23" s="1"/>
      <c r="B23" s="45"/>
      <c r="C23" s="46"/>
      <c r="D23" s="47"/>
      <c r="E23" s="46"/>
      <c r="F23" s="48"/>
      <c r="G23" s="39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8:8">
      <c r="A24" s="1"/>
      <c r="B24" s="45"/>
      <c r="C24" s="46"/>
      <c r="D24" s="47"/>
      <c r="E24" s="46"/>
      <c r="F24" s="48"/>
      <c r="G24" s="39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8:8" ht="19.15">
      <c r="A25" s="1"/>
      <c r="B25" s="45"/>
      <c r="C25" s="53"/>
      <c r="D25" s="54" t="s">
        <v>35</v>
      </c>
      <c r="E25" s="55">
        <f>D20+D21</f>
        <v>97198.7317073171</v>
      </c>
      <c r="F25" s="56"/>
      <c r="G25" s="39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8:8" ht="19.15">
      <c r="A26" s="1"/>
      <c r="B26" s="57" t="s">
        <v>36</v>
      </c>
      <c r="C26" s="57"/>
      <c r="D26" s="58"/>
      <c r="E26" s="59">
        <f>H16</f>
        <v>96400.0</v>
      </c>
      <c r="F26" s="48"/>
      <c r="G26" s="60"/>
      <c r="H26" s="61"/>
      <c r="I26" s="62"/>
      <c r="J26" s="62"/>
      <c r="K26" s="62"/>
      <c r="L26" s="63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8:8" ht="19.15">
      <c r="A27" s="1"/>
      <c r="B27" s="64" t="s">
        <v>61</v>
      </c>
      <c r="C27" s="64"/>
      <c r="D27" s="65"/>
      <c r="E27" s="66"/>
      <c r="F27" s="48"/>
      <c r="G27" s="60"/>
      <c r="H27" s="67" t="s">
        <v>62</v>
      </c>
      <c r="I27" s="67"/>
      <c r="J27" s="67"/>
      <c r="K27" s="67"/>
      <c r="L27" s="67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8:8" ht="19.15">
      <c r="A28" s="1"/>
      <c r="B28" s="64" t="s">
        <v>40</v>
      </c>
      <c r="C28" s="64"/>
      <c r="D28" s="68">
        <f>E25-E26</f>
        <v>798.7317073170998</v>
      </c>
      <c r="E28" s="69"/>
      <c r="F28" s="70"/>
      <c r="G28" s="60"/>
      <c r="H28" s="71" t="s">
        <v>41</v>
      </c>
      <c r="I28" s="71"/>
      <c r="J28" s="71"/>
      <c r="K28" s="71"/>
      <c r="L28" s="7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8:8">
      <c r="A29" s="1"/>
      <c r="B29" s="1"/>
      <c r="C29" s="1"/>
      <c r="D29" s="39"/>
      <c r="E29" s="39"/>
      <c r="F29" s="39"/>
      <c r="G29" s="72"/>
      <c r="H29" s="45"/>
      <c r="I29" s="72"/>
      <c r="J29" s="72"/>
      <c r="K29" s="72"/>
      <c r="L29" s="73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8:8">
      <c r="A30" s="1"/>
      <c r="B30" s="1"/>
      <c r="C30" s="1"/>
      <c r="D30" s="1"/>
      <c r="E30" s="1"/>
      <c r="F30" s="1"/>
      <c r="G30" s="72"/>
      <c r="H30" s="45"/>
      <c r="I30" s="72"/>
      <c r="J30" s="72"/>
      <c r="K30" s="72"/>
      <c r="L30" s="73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8:8">
      <c r="A31" s="1"/>
      <c r="B31" s="1"/>
      <c r="C31" s="1"/>
      <c r="D31" s="1"/>
      <c r="E31" s="1"/>
      <c r="F31" s="1"/>
      <c r="G31" s="72"/>
      <c r="H31" s="45"/>
      <c r="I31" s="72"/>
      <c r="J31" s="72"/>
      <c r="K31" s="72"/>
      <c r="L31" s="73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8:8">
      <c r="A32" s="1"/>
      <c r="B32" s="1"/>
      <c r="C32" s="1"/>
      <c r="D32" s="1"/>
      <c r="E32" s="1"/>
      <c r="F32" s="1"/>
      <c r="G32" s="72"/>
      <c r="H32" s="45"/>
      <c r="I32" s="72"/>
      <c r="J32" s="72"/>
      <c r="K32" s="72"/>
      <c r="L32" s="73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8:8">
      <c r="A33" s="1"/>
      <c r="B33" s="1"/>
      <c r="C33" s="1"/>
      <c r="D33" s="1"/>
      <c r="E33" s="1"/>
      <c r="F33" s="1"/>
      <c r="G33" s="72"/>
      <c r="H33" s="45"/>
      <c r="I33" s="72"/>
      <c r="J33" s="72"/>
      <c r="K33" s="72"/>
      <c r="L33" s="73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8:8" ht="19.15">
      <c r="A34" s="1"/>
      <c r="B34" s="1"/>
      <c r="C34" s="1"/>
      <c r="D34" s="1"/>
      <c r="E34" s="1"/>
      <c r="F34" s="1"/>
      <c r="G34" s="72"/>
      <c r="H34" s="74" t="s">
        <v>42</v>
      </c>
      <c r="I34" s="74"/>
      <c r="J34" s="74"/>
      <c r="K34" s="74"/>
      <c r="L34" s="74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8:8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8:8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</sheetData>
  <mergeCells count="8">
    <mergeCell ref="A2:L2"/>
    <mergeCell ref="A3:L3"/>
    <mergeCell ref="B26:C26"/>
    <mergeCell ref="B27:C27"/>
    <mergeCell ref="B28:C28"/>
    <mergeCell ref="H27:L27"/>
    <mergeCell ref="H28:L28"/>
    <mergeCell ref="H34:L34"/>
  </mergeCells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:CU36"/>
  <sheetViews>
    <sheetView workbookViewId="0" zoomScale="55">
      <selection activeCell="A1" sqref="A1:XFD1048576"/>
    </sheetView>
  </sheetViews>
  <sheetFormatPr defaultRowHeight="16.25" defaultColWidth="10"/>
  <cols>
    <col min="2" max="2" customWidth="1" bestFit="1" width="14.613281" style="0"/>
    <col min="3" max="3" customWidth="1" bestFit="1" width="29.074219" style="0"/>
    <col min="4" max="4" customWidth="1" bestFit="1" width="18.074219" style="0"/>
    <col min="5" max="5" customWidth="1" bestFit="1" width="21.84375" style="0"/>
    <col min="7" max="7" customWidth="1" bestFit="1" width="27.074219" style="0"/>
    <col min="8" max="8" customWidth="1" bestFit="1" width="13.613281" style="0"/>
    <col min="9" max="9" customWidth="1" bestFit="1" width="17.074219" style="0"/>
  </cols>
  <sheetData>
    <row r="1" spans="8: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8:8" ht="21.95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8:8" ht="21.95">
      <c r="A3" s="3" t="s">
        <v>65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8:8" ht="19.15">
      <c r="A4" s="1"/>
      <c r="B4" s="4"/>
      <c r="C4" s="5" t="s">
        <v>2</v>
      </c>
      <c r="D4" s="6"/>
      <c r="E4" s="6"/>
      <c r="F4" s="6"/>
      <c r="G4" s="7" t="s">
        <v>3</v>
      </c>
      <c r="H4" s="6"/>
      <c r="I4" s="8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8:8" ht="19.15">
      <c r="A5" s="1"/>
      <c r="B5" s="9"/>
      <c r="C5" s="10" t="s">
        <v>4</v>
      </c>
      <c r="D5" s="11" t="s">
        <v>5</v>
      </c>
      <c r="E5" s="12" t="s">
        <v>6</v>
      </c>
      <c r="F5" s="13" t="s">
        <v>7</v>
      </c>
      <c r="G5" s="14" t="s">
        <v>8</v>
      </c>
      <c r="H5" s="15" t="s">
        <v>9</v>
      </c>
      <c r="I5" s="16" t="s">
        <v>10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8:8" ht="19.15">
      <c r="A6" s="1"/>
      <c r="B6" s="17"/>
      <c r="C6" s="18"/>
      <c r="D6" s="19"/>
      <c r="E6" s="20"/>
      <c r="F6" s="21"/>
      <c r="G6" s="22" t="s">
        <v>11</v>
      </c>
      <c r="H6" s="18"/>
      <c r="I6" s="18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8:8" ht="19.15">
      <c r="A7" s="1"/>
      <c r="B7" s="23">
        <v>1.0</v>
      </c>
      <c r="C7" s="5" t="s">
        <v>12</v>
      </c>
      <c r="D7" s="24">
        <v>84236.0</v>
      </c>
      <c r="E7" s="25"/>
      <c r="F7" s="13">
        <v>1.0</v>
      </c>
      <c r="G7" s="5" t="s">
        <v>13</v>
      </c>
      <c r="H7" s="24">
        <v>48800.0</v>
      </c>
      <c r="I7" s="25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8:8" ht="21.5">
      <c r="A8" s="1"/>
      <c r="B8" s="13">
        <v>2.0</v>
      </c>
      <c r="C8" s="5" t="s">
        <v>64</v>
      </c>
      <c r="D8" s="26">
        <v>1600.0</v>
      </c>
      <c r="E8" s="25"/>
      <c r="F8" s="13">
        <v>2.0</v>
      </c>
      <c r="G8" s="5" t="s">
        <v>15</v>
      </c>
      <c r="H8" s="27">
        <v>6341.0</v>
      </c>
      <c r="I8" s="25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8:8" ht="19.15">
      <c r="A9" s="1"/>
      <c r="B9" s="13">
        <v>3.0</v>
      </c>
      <c r="C9" s="5" t="s">
        <v>67</v>
      </c>
      <c r="D9" s="24">
        <v>1753.0</v>
      </c>
      <c r="E9" s="25"/>
      <c r="F9" s="13">
        <v>3.0</v>
      </c>
      <c r="G9" s="5" t="s">
        <v>17</v>
      </c>
      <c r="H9" s="24">
        <v>35180.0</v>
      </c>
      <c r="I9" s="25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8:8" ht="19.15">
      <c r="A10" s="1"/>
      <c r="B10" s="13">
        <v>4.0</v>
      </c>
      <c r="C10" s="5" t="s">
        <v>18</v>
      </c>
      <c r="D10" s="28"/>
      <c r="E10" s="25"/>
      <c r="F10" s="18"/>
      <c r="G10" s="5" t="s">
        <v>19</v>
      </c>
      <c r="H10" s="24">
        <f>SUM(H7:H9)</f>
        <v>90321.0</v>
      </c>
      <c r="I10" s="25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8:8" ht="19.15">
      <c r="A11" s="1"/>
      <c r="B11" s="13">
        <v>5.0</v>
      </c>
      <c r="C11" s="5" t="s">
        <v>20</v>
      </c>
      <c r="D11" s="29">
        <v>2550.0</v>
      </c>
      <c r="E11" s="25"/>
      <c r="F11" s="10" t="s">
        <v>21</v>
      </c>
      <c r="G11" s="18"/>
      <c r="H11" s="28"/>
      <c r="I11" s="20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8:8" ht="19.15">
      <c r="A12" s="1"/>
      <c r="B12" s="13">
        <v>6.0</v>
      </c>
      <c r="C12" s="5" t="s">
        <v>68</v>
      </c>
      <c r="D12" s="30">
        <v>560.0</v>
      </c>
      <c r="E12" s="18"/>
      <c r="F12" s="13">
        <v>1.0</v>
      </c>
      <c r="G12" s="5" t="s">
        <v>23</v>
      </c>
      <c r="H12" s="13">
        <v>40.0</v>
      </c>
      <c r="I12" s="18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8:8" ht="19.15">
      <c r="A13" s="1"/>
      <c r="B13" s="13">
        <v>7.0</v>
      </c>
      <c r="C13" s="5" t="s">
        <v>24</v>
      </c>
      <c r="D13" s="31">
        <v>1800.0</v>
      </c>
      <c r="E13" s="32"/>
      <c r="F13" s="13">
        <v>2.0</v>
      </c>
      <c r="G13" s="5" t="s">
        <v>25</v>
      </c>
      <c r="H13" s="24">
        <v>90.0</v>
      </c>
      <c r="I13" s="18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8:8" ht="19.15">
      <c r="A14" s="1"/>
      <c r="B14" s="18"/>
      <c r="C14" s="18"/>
      <c r="D14" s="33"/>
      <c r="E14" s="18"/>
      <c r="F14" s="13">
        <v>3.0</v>
      </c>
      <c r="G14" s="5" t="s">
        <v>26</v>
      </c>
      <c r="H14" s="24">
        <v>180.0</v>
      </c>
      <c r="I14" s="18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8:8" ht="19.15">
      <c r="A15" s="1"/>
      <c r="B15" s="4"/>
      <c r="C15" s="34" t="s">
        <v>27</v>
      </c>
      <c r="D15" s="35">
        <f>SUM(D7:D13)</f>
        <v>92499.0</v>
      </c>
      <c r="E15" s="32"/>
      <c r="F15" s="30"/>
      <c r="G15" s="5" t="s">
        <v>19</v>
      </c>
      <c r="H15" s="24">
        <f>SUM(H12:H14)</f>
        <v>310.0</v>
      </c>
      <c r="I15" s="18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8:8" ht="19.15">
      <c r="A16" s="1"/>
      <c r="B16" s="36"/>
      <c r="C16" s="17"/>
      <c r="D16" s="37">
        <f>D15/1.025</f>
        <v>90242.9268292683</v>
      </c>
      <c r="E16" s="18"/>
      <c r="F16" s="18"/>
      <c r="G16" s="5" t="s">
        <v>19</v>
      </c>
      <c r="H16" s="24">
        <f>H10+H15</f>
        <v>90631.0</v>
      </c>
      <c r="I16" s="18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8:8">
      <c r="A17" s="1"/>
      <c r="B17" s="1"/>
      <c r="C17" s="1"/>
      <c r="D17" s="38"/>
      <c r="E17" s="39"/>
      <c r="F17" s="39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8:8" ht="19.15">
      <c r="A18" s="1"/>
      <c r="B18" s="40" t="s">
        <v>28</v>
      </c>
      <c r="C18" s="41"/>
      <c r="D18" s="42"/>
      <c r="E18" s="43"/>
      <c r="F18" s="44"/>
      <c r="G18" s="39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8:8">
      <c r="A19" s="1"/>
      <c r="B19" s="45"/>
      <c r="C19" s="46"/>
      <c r="D19" s="47"/>
      <c r="E19" s="46"/>
      <c r="F19" s="48"/>
      <c r="G19" s="39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8:8" ht="19.15">
      <c r="A20" s="1"/>
      <c r="B20" s="49" t="s">
        <v>29</v>
      </c>
      <c r="C20" s="50" t="s">
        <v>72</v>
      </c>
      <c r="D20" s="51">
        <v>799.0</v>
      </c>
      <c r="E20" s="52" t="s">
        <v>31</v>
      </c>
      <c r="F20" s="48"/>
      <c r="G20" s="39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8:8" ht="19.15">
      <c r="A21" s="1"/>
      <c r="B21" s="49" t="s">
        <v>32</v>
      </c>
      <c r="C21" s="50" t="s">
        <v>73</v>
      </c>
      <c r="D21" s="51">
        <f>D16</f>
        <v>90242.9268292683</v>
      </c>
      <c r="E21" s="52" t="s">
        <v>34</v>
      </c>
      <c r="F21" s="48"/>
      <c r="G21" s="39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8:8">
      <c r="A22" s="1"/>
      <c r="B22" s="45"/>
      <c r="C22" s="46"/>
      <c r="D22" s="47"/>
      <c r="E22" s="46"/>
      <c r="F22" s="48"/>
      <c r="G22" s="39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8:8">
      <c r="A23" s="1"/>
      <c r="B23" s="45"/>
      <c r="C23" s="46"/>
      <c r="D23" s="47"/>
      <c r="E23" s="46"/>
      <c r="F23" s="48"/>
      <c r="G23" s="39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8:8">
      <c r="A24" s="1"/>
      <c r="B24" s="45"/>
      <c r="C24" s="46"/>
      <c r="D24" s="47"/>
      <c r="E24" s="46"/>
      <c r="F24" s="48"/>
      <c r="G24" s="39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8:8" ht="19.15">
      <c r="A25" s="1"/>
      <c r="B25" s="45"/>
      <c r="C25" s="53"/>
      <c r="D25" s="54" t="s">
        <v>35</v>
      </c>
      <c r="E25" s="55">
        <f>D20+D21</f>
        <v>91041.9268292683</v>
      </c>
      <c r="F25" s="56"/>
      <c r="G25" s="39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8:8" ht="19.15">
      <c r="A26" s="1"/>
      <c r="B26" s="57" t="s">
        <v>36</v>
      </c>
      <c r="C26" s="57"/>
      <c r="D26" s="58"/>
      <c r="E26" s="59">
        <f>H16</f>
        <v>90631.0</v>
      </c>
      <c r="F26" s="48"/>
      <c r="G26" s="60"/>
      <c r="H26" s="61"/>
      <c r="I26" s="62"/>
      <c r="J26" s="62"/>
      <c r="K26" s="62"/>
      <c r="L26" s="63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8:8" ht="19.15">
      <c r="A27" s="1"/>
      <c r="B27" s="64" t="s">
        <v>70</v>
      </c>
      <c r="C27" s="64"/>
      <c r="D27" s="65"/>
      <c r="E27" s="66"/>
      <c r="F27" s="48"/>
      <c r="G27" s="60"/>
      <c r="H27" s="67" t="s">
        <v>66</v>
      </c>
      <c r="I27" s="67"/>
      <c r="J27" s="67"/>
      <c r="K27" s="67"/>
      <c r="L27" s="67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8:8" ht="19.15">
      <c r="A28" s="1"/>
      <c r="B28" s="64" t="s">
        <v>40</v>
      </c>
      <c r="C28" s="64"/>
      <c r="D28" s="68">
        <f>E25-E26</f>
        <v>410.9268292682973</v>
      </c>
      <c r="E28" s="69"/>
      <c r="F28" s="70"/>
      <c r="G28" s="60"/>
      <c r="H28" s="71" t="s">
        <v>41</v>
      </c>
      <c r="I28" s="71"/>
      <c r="J28" s="71"/>
      <c r="K28" s="71"/>
      <c r="L28" s="7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8:8">
      <c r="A29" s="1"/>
      <c r="B29" s="1"/>
      <c r="C29" s="1"/>
      <c r="D29" s="39"/>
      <c r="E29" s="39"/>
      <c r="F29" s="39"/>
      <c r="G29" s="72"/>
      <c r="H29" s="45"/>
      <c r="I29" s="72"/>
      <c r="J29" s="72"/>
      <c r="K29" s="72"/>
      <c r="L29" s="73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8:8">
      <c r="A30" s="1"/>
      <c r="B30" s="1"/>
      <c r="C30" s="1"/>
      <c r="D30" s="1"/>
      <c r="E30" s="1"/>
      <c r="F30" s="1"/>
      <c r="G30" s="72"/>
      <c r="H30" s="45"/>
      <c r="I30" s="72"/>
      <c r="J30" s="72"/>
      <c r="K30" s="72"/>
      <c r="L30" s="73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8:8">
      <c r="A31" s="1"/>
      <c r="B31" s="1"/>
      <c r="C31" s="1"/>
      <c r="D31" s="1"/>
      <c r="E31" s="1"/>
      <c r="F31" s="1"/>
      <c r="G31" s="72"/>
      <c r="H31" s="45"/>
      <c r="I31" s="72"/>
      <c r="J31" s="72"/>
      <c r="K31" s="72"/>
      <c r="L31" s="73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8:8">
      <c r="A32" s="1"/>
      <c r="B32" s="1"/>
      <c r="C32" s="1"/>
      <c r="D32" s="1"/>
      <c r="E32" s="1"/>
      <c r="F32" s="1"/>
      <c r="G32" s="72"/>
      <c r="H32" s="45"/>
      <c r="I32" s="72"/>
      <c r="J32" s="72"/>
      <c r="K32" s="72"/>
      <c r="L32" s="73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8:8">
      <c r="A33" s="1"/>
      <c r="B33" s="1"/>
      <c r="C33" s="1"/>
      <c r="D33" s="1"/>
      <c r="E33" s="1"/>
      <c r="F33" s="1"/>
      <c r="G33" s="72"/>
      <c r="H33" s="45"/>
      <c r="I33" s="72"/>
      <c r="J33" s="72"/>
      <c r="K33" s="72"/>
      <c r="L33" s="73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8:8" ht="19.15">
      <c r="A34" s="1"/>
      <c r="B34" s="1"/>
      <c r="C34" s="1"/>
      <c r="D34" s="1"/>
      <c r="E34" s="1"/>
      <c r="F34" s="1"/>
      <c r="G34" s="72"/>
      <c r="H34" s="74" t="s">
        <v>42</v>
      </c>
      <c r="I34" s="74"/>
      <c r="J34" s="74"/>
      <c r="K34" s="74"/>
      <c r="L34" s="74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8:8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8:8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</sheetData>
  <mergeCells count="8">
    <mergeCell ref="H34:L34"/>
    <mergeCell ref="H28:L28"/>
    <mergeCell ref="H27:L27"/>
    <mergeCell ref="B28:C28"/>
    <mergeCell ref="B27:C27"/>
    <mergeCell ref="B26:C26"/>
    <mergeCell ref="A3:L3"/>
    <mergeCell ref="A2:L2"/>
  </mergeCells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:CF37"/>
  <sheetViews>
    <sheetView workbookViewId="0" zoomScale="82">
      <selection activeCell="A1" sqref="A1:XFD1048576"/>
    </sheetView>
  </sheetViews>
  <sheetFormatPr defaultRowHeight="16.25" defaultColWidth="10"/>
  <cols>
    <col min="2" max="2" customWidth="1" bestFit="1" width="14.613281" style="0"/>
    <col min="3" max="3" customWidth="1" bestFit="1" width="29.074219" style="0"/>
    <col min="4" max="4" customWidth="1" bestFit="1" width="18.074219" style="0"/>
    <col min="5" max="5" customWidth="1" bestFit="1" width="21.84375" style="0"/>
    <col min="7" max="7" customWidth="1" bestFit="1" width="27.074219" style="0"/>
    <col min="8" max="8" customWidth="1" bestFit="1" width="13.613281" style="0"/>
    <col min="9" max="9" customWidth="1" bestFit="1" width="17.074219" style="0"/>
  </cols>
  <sheetData>
    <row r="1" spans="8: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8:8" ht="21.95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8:8" ht="21.95">
      <c r="A3" s="3" t="s">
        <v>74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8:8" ht="19.15">
      <c r="A4" s="1"/>
      <c r="B4" s="4"/>
      <c r="C4" s="5" t="s">
        <v>2</v>
      </c>
      <c r="D4" s="6"/>
      <c r="E4" s="6"/>
      <c r="F4" s="6"/>
      <c r="G4" s="7" t="s">
        <v>3</v>
      </c>
      <c r="H4" s="6"/>
      <c r="I4" s="8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8:8" ht="19.15">
      <c r="A5" s="1"/>
      <c r="B5" s="9"/>
      <c r="C5" s="10" t="s">
        <v>4</v>
      </c>
      <c r="D5" s="11" t="s">
        <v>5</v>
      </c>
      <c r="E5" s="12" t="s">
        <v>6</v>
      </c>
      <c r="F5" s="13" t="s">
        <v>7</v>
      </c>
      <c r="G5" s="14" t="s">
        <v>8</v>
      </c>
      <c r="H5" s="15" t="s">
        <v>9</v>
      </c>
      <c r="I5" s="16" t="s">
        <v>10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8:8" ht="19.15">
      <c r="A6" s="1"/>
      <c r="B6" s="17"/>
      <c r="C6" s="18"/>
      <c r="D6" s="19"/>
      <c r="E6" s="20"/>
      <c r="F6" s="21"/>
      <c r="G6" s="22" t="s">
        <v>11</v>
      </c>
      <c r="H6" s="18"/>
      <c r="I6" s="18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8:8" ht="19.15">
      <c r="A7" s="1"/>
      <c r="B7" s="23">
        <v>1.0</v>
      </c>
      <c r="C7" s="5" t="s">
        <v>12</v>
      </c>
      <c r="D7" s="24">
        <v>89698.0</v>
      </c>
      <c r="E7" s="25"/>
      <c r="F7" s="13">
        <v>1.0</v>
      </c>
      <c r="G7" s="5" t="s">
        <v>13</v>
      </c>
      <c r="H7" s="24">
        <v>55490.0</v>
      </c>
      <c r="I7" s="25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8:8" ht="21.3">
      <c r="A8" s="1"/>
      <c r="B8" s="13">
        <v>2.0</v>
      </c>
      <c r="C8" s="5" t="s">
        <v>64</v>
      </c>
      <c r="D8" s="24">
        <v>1663.0</v>
      </c>
      <c r="E8" s="25"/>
      <c r="F8" s="13">
        <v>2.0</v>
      </c>
      <c r="G8" s="5" t="s">
        <v>15</v>
      </c>
      <c r="H8" s="27">
        <v>6948.0</v>
      </c>
      <c r="I8" s="25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8:8" ht="19.15">
      <c r="A9" s="1"/>
      <c r="B9" s="13">
        <v>3.0</v>
      </c>
      <c r="C9" s="5" t="s">
        <v>67</v>
      </c>
      <c r="D9" s="24">
        <v>7779.0</v>
      </c>
      <c r="E9" s="25"/>
      <c r="F9" s="13">
        <v>3.0</v>
      </c>
      <c r="G9" s="5" t="s">
        <v>17</v>
      </c>
      <c r="H9" s="24">
        <v>41052.0</v>
      </c>
      <c r="I9" s="25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8:8" ht="19.15">
      <c r="A10" s="1"/>
      <c r="B10" s="13">
        <v>4.0</v>
      </c>
      <c r="C10" s="5" t="s">
        <v>18</v>
      </c>
      <c r="D10" s="28"/>
      <c r="E10" s="25"/>
      <c r="F10" s="18"/>
      <c r="G10" s="5" t="s">
        <v>19</v>
      </c>
      <c r="H10" s="24">
        <f>SUM(H7:H9)</f>
        <v>103490.0</v>
      </c>
      <c r="I10" s="25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8:8" ht="19.15">
      <c r="A11" s="1"/>
      <c r="B11" s="13">
        <v>5.0</v>
      </c>
      <c r="C11" s="5" t="s">
        <v>20</v>
      </c>
      <c r="D11" s="29">
        <v>2590.0</v>
      </c>
      <c r="E11" s="25"/>
      <c r="F11" s="10" t="s">
        <v>21</v>
      </c>
      <c r="G11" s="18"/>
      <c r="H11" s="28"/>
      <c r="I11" s="20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8:8" ht="19.5">
      <c r="A12" s="1"/>
      <c r="B12" s="13">
        <v>6.0</v>
      </c>
      <c r="C12" s="5" t="s">
        <v>68</v>
      </c>
      <c r="D12" s="29">
        <v>1040.0</v>
      </c>
      <c r="E12" s="18"/>
      <c r="F12" s="13">
        <v>1.0</v>
      </c>
      <c r="G12" s="5" t="s">
        <v>23</v>
      </c>
      <c r="H12" s="13">
        <v>60.0</v>
      </c>
      <c r="I12" s="18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8:8" ht="19.15">
      <c r="A13" s="1"/>
      <c r="B13" s="13">
        <v>7.0</v>
      </c>
      <c r="C13" s="5" t="s">
        <v>24</v>
      </c>
      <c r="D13" s="31">
        <v>2150.0</v>
      </c>
      <c r="E13" s="32"/>
      <c r="F13" s="13">
        <v>2.0</v>
      </c>
      <c r="G13" s="5" t="s">
        <v>25</v>
      </c>
      <c r="H13" s="24">
        <v>130.0</v>
      </c>
      <c r="I13" s="18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8:8" ht="19.15">
      <c r="A14" s="1"/>
      <c r="B14" s="18"/>
      <c r="C14" s="18"/>
      <c r="D14" s="33"/>
      <c r="E14" s="18"/>
      <c r="F14" s="13">
        <v>3.0</v>
      </c>
      <c r="G14" s="5" t="s">
        <v>26</v>
      </c>
      <c r="H14" s="24">
        <v>180.0</v>
      </c>
      <c r="I14" s="18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8:8" ht="19.15">
      <c r="A15" s="1"/>
      <c r="B15" s="4"/>
      <c r="C15" s="75" t="s">
        <v>27</v>
      </c>
      <c r="D15" s="35">
        <f>SUM(D7:D13)</f>
        <v>104920.0</v>
      </c>
      <c r="E15" s="32"/>
      <c r="F15" s="30"/>
      <c r="G15" s="5" t="s">
        <v>19</v>
      </c>
      <c r="H15" s="24">
        <f>SUM(H12:H14)</f>
        <v>370.0</v>
      </c>
      <c r="I15" s="18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8:8" ht="19.5">
      <c r="A16" s="1"/>
      <c r="B16" s="36"/>
      <c r="C16" s="75"/>
      <c r="D16" s="76">
        <f>D15/1.025</f>
        <v>102360.9756097561</v>
      </c>
      <c r="E16" s="18"/>
      <c r="F16" s="18"/>
      <c r="G16" s="77" t="s">
        <v>77</v>
      </c>
      <c r="H16" s="24">
        <f>H10+H15</f>
        <v>103860.0</v>
      </c>
      <c r="I16" s="18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8:8" ht="16.8" customFormat="1">
      <c r="A17" s="1"/>
      <c r="B17" s="36"/>
      <c r="C17" s="75"/>
      <c r="D17" s="76"/>
      <c r="E17" s="18"/>
      <c r="F17" s="18"/>
      <c r="G17" s="77"/>
      <c r="H17" s="24">
        <f>H16/1.025</f>
        <v>101326.8292682927</v>
      </c>
      <c r="I17" s="18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8:8">
      <c r="A18" s="1"/>
      <c r="B18" s="1"/>
      <c r="C18" s="1"/>
      <c r="D18" s="38"/>
      <c r="E18" s="39"/>
      <c r="F18" s="39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8:8" ht="19.15">
      <c r="A19" s="1"/>
      <c r="B19" s="40" t="s">
        <v>28</v>
      </c>
      <c r="C19" s="41"/>
      <c r="D19" s="42"/>
      <c r="E19" s="43"/>
      <c r="F19" s="44"/>
      <c r="G19" s="39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8:8">
      <c r="A20" s="1"/>
      <c r="B20" s="45"/>
      <c r="C20" s="46"/>
      <c r="D20" s="47"/>
      <c r="E20" s="46"/>
      <c r="F20" s="48"/>
      <c r="G20" s="39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8:8" ht="19.15">
      <c r="A21" s="1"/>
      <c r="B21" s="49" t="s">
        <v>29</v>
      </c>
      <c r="C21" s="50" t="s">
        <v>72</v>
      </c>
      <c r="D21" s="51">
        <v>411.0</v>
      </c>
      <c r="E21" s="52" t="s">
        <v>31</v>
      </c>
      <c r="F21" s="48"/>
      <c r="G21" s="39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8:8" ht="19.15">
      <c r="A22" s="1"/>
      <c r="B22" s="49" t="s">
        <v>32</v>
      </c>
      <c r="C22" s="50" t="s">
        <v>73</v>
      </c>
      <c r="D22" s="51">
        <f>D16</f>
        <v>102360.9756097561</v>
      </c>
      <c r="E22" s="52" t="s">
        <v>34</v>
      </c>
      <c r="F22" s="48"/>
      <c r="G22" s="39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8:8">
      <c r="A23" s="1"/>
      <c r="B23" s="45"/>
      <c r="C23" s="46"/>
      <c r="D23" s="47"/>
      <c r="E23" s="46"/>
      <c r="F23" s="48"/>
      <c r="G23" s="39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8:8">
      <c r="A24" s="1"/>
      <c r="B24" s="45"/>
      <c r="C24" s="46"/>
      <c r="D24" s="47"/>
      <c r="E24" s="46"/>
      <c r="F24" s="48"/>
      <c r="G24" s="39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8:8">
      <c r="A25" s="1"/>
      <c r="B25" s="45"/>
      <c r="C25" s="46"/>
      <c r="D25" s="47"/>
      <c r="E25" s="46"/>
      <c r="F25" s="48"/>
      <c r="G25" s="39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8:8" ht="19.15">
      <c r="A26" s="1"/>
      <c r="B26" s="45"/>
      <c r="C26" s="53"/>
      <c r="D26" s="54" t="s">
        <v>35</v>
      </c>
      <c r="E26" s="55">
        <f>D21+D22</f>
        <v>102771.975609756</v>
      </c>
      <c r="F26" s="56"/>
      <c r="G26" s="39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8:8" ht="22.75">
      <c r="A27" s="1"/>
      <c r="B27" s="57" t="s">
        <v>36</v>
      </c>
      <c r="C27" s="57"/>
      <c r="D27" s="58"/>
      <c r="E27" s="59">
        <f>H17</f>
        <v>101326.8292682927</v>
      </c>
      <c r="F27" s="48"/>
      <c r="G27" s="60"/>
      <c r="H27" s="61"/>
      <c r="I27" s="62"/>
      <c r="J27" s="62"/>
      <c r="K27" s="62"/>
      <c r="L27" s="63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8:8" ht="19.15">
      <c r="A28" s="1"/>
      <c r="B28" s="64" t="s">
        <v>76</v>
      </c>
      <c r="C28" s="64"/>
      <c r="D28" s="65"/>
      <c r="E28" s="66"/>
      <c r="F28" s="48"/>
      <c r="G28" s="60"/>
      <c r="H28" s="67" t="s">
        <v>75</v>
      </c>
      <c r="I28" s="67"/>
      <c r="J28" s="67"/>
      <c r="K28" s="67"/>
      <c r="L28" s="67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8:8" ht="19.15">
      <c r="A29" s="1"/>
      <c r="B29" s="64" t="s">
        <v>40</v>
      </c>
      <c r="C29" s="64"/>
      <c r="D29" s="68">
        <f>E26-E27</f>
        <v>1445.146341462998</v>
      </c>
      <c r="E29" s="69"/>
      <c r="F29" s="70"/>
      <c r="G29" s="60"/>
      <c r="H29" s="71" t="s">
        <v>41</v>
      </c>
      <c r="I29" s="71"/>
      <c r="J29" s="71"/>
      <c r="K29" s="71"/>
      <c r="L29" s="7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8:8">
      <c r="A30" s="1"/>
      <c r="B30" s="1"/>
      <c r="C30" s="1"/>
      <c r="D30" s="39"/>
      <c r="E30" s="39"/>
      <c r="F30" s="39"/>
      <c r="G30" s="72"/>
      <c r="H30" s="45"/>
      <c r="I30" s="72"/>
      <c r="J30" s="72"/>
      <c r="K30" s="72"/>
      <c r="L30" s="73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8:8">
      <c r="A31" s="1"/>
      <c r="B31" s="1"/>
      <c r="C31" s="1"/>
      <c r="D31" s="1"/>
      <c r="E31" s="1"/>
      <c r="F31" s="1"/>
      <c r="G31" s="72"/>
      <c r="H31" s="45"/>
      <c r="I31" s="72"/>
      <c r="J31" s="72"/>
      <c r="K31" s="72"/>
      <c r="L31" s="73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8:8">
      <c r="A32" s="1"/>
      <c r="B32" s="1"/>
      <c r="C32" s="1"/>
      <c r="D32" s="1"/>
      <c r="E32" s="1"/>
      <c r="F32" s="1"/>
      <c r="G32" s="72"/>
      <c r="H32" s="45"/>
      <c r="I32" s="72"/>
      <c r="J32" s="72"/>
      <c r="K32" s="72"/>
      <c r="L32" s="73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8:8">
      <c r="A33" s="1"/>
      <c r="B33" s="1"/>
      <c r="C33" s="1"/>
      <c r="D33" s="1"/>
      <c r="E33" s="1"/>
      <c r="F33" s="1"/>
      <c r="G33" s="72"/>
      <c r="H33" s="45"/>
      <c r="I33" s="72"/>
      <c r="J33" s="72"/>
      <c r="K33" s="72"/>
      <c r="L33" s="73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8:8">
      <c r="A34" s="1"/>
      <c r="B34" s="1"/>
      <c r="C34" s="1"/>
      <c r="D34" s="1"/>
      <c r="E34" s="1"/>
      <c r="F34" s="1"/>
      <c r="G34" s="72"/>
      <c r="H34" s="45"/>
      <c r="I34" s="72"/>
      <c r="J34" s="72"/>
      <c r="K34" s="72"/>
      <c r="L34" s="73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8:8" ht="19.15">
      <c r="A35" s="1"/>
      <c r="B35" s="1"/>
      <c r="C35" s="1"/>
      <c r="D35" s="1"/>
      <c r="E35" s="1"/>
      <c r="F35" s="1"/>
      <c r="G35" s="72"/>
      <c r="H35" s="74" t="s">
        <v>42</v>
      </c>
      <c r="I35" s="74"/>
      <c r="J35" s="74"/>
      <c r="K35" s="74"/>
      <c r="L35" s="74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8:8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8:8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</sheetData>
  <mergeCells count="11">
    <mergeCell ref="A2:L2"/>
    <mergeCell ref="A3:L3"/>
    <mergeCell ref="C15:C17"/>
    <mergeCell ref="H29:L29"/>
    <mergeCell ref="B28:C28"/>
    <mergeCell ref="H28:L28"/>
    <mergeCell ref="G16:G17"/>
    <mergeCell ref="B27:C27"/>
    <mergeCell ref="H35:L35"/>
    <mergeCell ref="D16:D17"/>
    <mergeCell ref="B29:C29"/>
  </mergeCells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:BP37"/>
  <sheetViews>
    <sheetView workbookViewId="0" topLeftCell="B19" zoomScale="98">
      <selection activeCell="E35" sqref="E35"/>
    </sheetView>
  </sheetViews>
  <sheetFormatPr defaultRowHeight="16.25" defaultColWidth="10"/>
  <cols>
    <col min="2" max="2" customWidth="1" bestFit="1" width="14.613281" style="0"/>
    <col min="3" max="3" customWidth="1" bestFit="1" width="29.074219" style="0"/>
    <col min="4" max="4" customWidth="1" bestFit="1" width="18.074219" style="0"/>
    <col min="5" max="5" customWidth="1" bestFit="1" width="21.84375" style="0"/>
    <col min="7" max="7" customWidth="1" bestFit="1" width="27.074219" style="0"/>
    <col min="8" max="8" customWidth="1" bestFit="1" width="13.613281" style="0"/>
    <col min="9" max="9" customWidth="1" bestFit="1" width="17.074219" style="0"/>
  </cols>
  <sheetData>
    <row r="1" spans="8: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8:8" ht="21.95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8:8" ht="21.95">
      <c r="A3" s="3" t="s">
        <v>82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8:8" ht="19.15">
      <c r="A4" s="1"/>
      <c r="B4" s="4"/>
      <c r="C4" s="5" t="s">
        <v>2</v>
      </c>
      <c r="D4" s="6"/>
      <c r="E4" s="6"/>
      <c r="F4" s="6"/>
      <c r="G4" s="7" t="s">
        <v>3</v>
      </c>
      <c r="H4" s="6"/>
      <c r="I4" s="8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8:8" ht="19.15">
      <c r="A5" s="1"/>
      <c r="B5" s="9"/>
      <c r="C5" s="10" t="s">
        <v>4</v>
      </c>
      <c r="D5" s="11" t="s">
        <v>5</v>
      </c>
      <c r="E5" s="12" t="s">
        <v>6</v>
      </c>
      <c r="F5" s="13" t="s">
        <v>7</v>
      </c>
      <c r="G5" s="14" t="s">
        <v>8</v>
      </c>
      <c r="H5" s="15" t="s">
        <v>9</v>
      </c>
      <c r="I5" s="16" t="s">
        <v>10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8:8" ht="19.15">
      <c r="A6" s="1"/>
      <c r="B6" s="17"/>
      <c r="C6" s="18"/>
      <c r="D6" s="19"/>
      <c r="E6" s="20"/>
      <c r="F6" s="21"/>
      <c r="G6" s="22" t="s">
        <v>11</v>
      </c>
      <c r="H6" s="18"/>
      <c r="I6" s="18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8:8" ht="19.05">
      <c r="A7" s="1"/>
      <c r="B7" s="23">
        <v>1.0</v>
      </c>
      <c r="C7" s="5" t="s">
        <v>12</v>
      </c>
      <c r="D7" s="24">
        <v>87876.0</v>
      </c>
      <c r="E7" s="25"/>
      <c r="F7" s="13">
        <v>1.0</v>
      </c>
      <c r="G7" s="5" t="s">
        <v>13</v>
      </c>
      <c r="H7" s="24">
        <v>54590.0</v>
      </c>
      <c r="I7" s="25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8:8" ht="19.05">
      <c r="A8" s="1"/>
      <c r="B8" s="13">
        <v>2.0</v>
      </c>
      <c r="C8" s="5" t="s">
        <v>64</v>
      </c>
      <c r="D8" s="24">
        <v>1511.0</v>
      </c>
      <c r="E8" s="25"/>
      <c r="F8" s="13">
        <v>2.0</v>
      </c>
      <c r="G8" s="5" t="s">
        <v>15</v>
      </c>
      <c r="H8" s="24">
        <v>7528.0</v>
      </c>
      <c r="I8" s="25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8:8" ht="19.6">
      <c r="A9" s="1"/>
      <c r="B9" s="13">
        <v>3.0</v>
      </c>
      <c r="C9" s="5" t="s">
        <v>67</v>
      </c>
      <c r="D9" s="24">
        <v>8606.0</v>
      </c>
      <c r="E9" s="25"/>
      <c r="F9" s="13">
        <v>3.0</v>
      </c>
      <c r="G9" s="5" t="s">
        <v>17</v>
      </c>
      <c r="H9" s="24">
        <v>39675.0</v>
      </c>
      <c r="I9" s="25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8:8" ht="19.05">
      <c r="A10" s="1"/>
      <c r="B10" s="13">
        <v>4.0</v>
      </c>
      <c r="C10" s="5" t="s">
        <v>18</v>
      </c>
      <c r="D10" s="28"/>
      <c r="E10" s="25"/>
      <c r="F10" s="18"/>
      <c r="G10" s="5" t="s">
        <v>19</v>
      </c>
      <c r="H10" s="24">
        <f>SUM(H7:H9)</f>
        <v>101793.0</v>
      </c>
      <c r="I10" s="25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8:8" ht="19.05">
      <c r="A11" s="1"/>
      <c r="B11" s="13">
        <v>5.0</v>
      </c>
      <c r="C11" s="5" t="s">
        <v>20</v>
      </c>
      <c r="D11" s="24">
        <v>2190.0</v>
      </c>
      <c r="E11" s="25"/>
      <c r="F11" s="10" t="s">
        <v>21</v>
      </c>
      <c r="G11" s="18"/>
      <c r="H11" s="28"/>
      <c r="I11" s="20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8:8" ht="19.6">
      <c r="A12" s="1"/>
      <c r="B12" s="13">
        <v>6.0</v>
      </c>
      <c r="C12" s="5" t="s">
        <v>68</v>
      </c>
      <c r="D12" s="29">
        <v>1480.0</v>
      </c>
      <c r="E12" s="18"/>
      <c r="F12" s="13">
        <v>1.0</v>
      </c>
      <c r="G12" s="5" t="s">
        <v>23</v>
      </c>
      <c r="H12" s="13">
        <v>30.0</v>
      </c>
      <c r="I12" s="18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8:8" ht="19.05">
      <c r="A13" s="1"/>
      <c r="B13" s="13">
        <v>7.0</v>
      </c>
      <c r="C13" s="5" t="s">
        <v>24</v>
      </c>
      <c r="D13" s="31">
        <v>1830.0</v>
      </c>
      <c r="E13" s="32"/>
      <c r="F13" s="13">
        <v>2.0</v>
      </c>
      <c r="G13" s="5" t="s">
        <v>25</v>
      </c>
      <c r="H13" s="24">
        <v>80.0</v>
      </c>
      <c r="I13" s="18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8:8" ht="19.15">
      <c r="A14" s="1"/>
      <c r="B14" s="18"/>
      <c r="C14" s="18"/>
      <c r="D14" s="33"/>
      <c r="E14" s="18"/>
      <c r="F14" s="13">
        <v>3.0</v>
      </c>
      <c r="G14" s="5" t="s">
        <v>26</v>
      </c>
      <c r="H14" s="24">
        <v>180.0</v>
      </c>
      <c r="I14" s="18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8:8" ht="19.15">
      <c r="A15" s="1"/>
      <c r="B15" s="4"/>
      <c r="C15" s="75" t="s">
        <v>27</v>
      </c>
      <c r="D15" s="35">
        <f>SUM(D7:D13)</f>
        <v>103493.0</v>
      </c>
      <c r="E15" s="32"/>
      <c r="F15" s="30"/>
      <c r="G15" s="5" t="s">
        <v>19</v>
      </c>
      <c r="H15" s="24">
        <f>SUM(H12:H14)</f>
        <v>290.0</v>
      </c>
      <c r="I15" s="18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8:8" ht="19.15">
      <c r="A16" s="1"/>
      <c r="B16" s="36"/>
      <c r="C16" s="75"/>
      <c r="D16" s="76">
        <f>D15/1.025</f>
        <v>100968.78048780489</v>
      </c>
      <c r="E16" s="18"/>
      <c r="F16" s="18"/>
      <c r="G16" s="77" t="s">
        <v>77</v>
      </c>
      <c r="H16" s="24">
        <f>H10+H15</f>
        <v>102083.0</v>
      </c>
      <c r="I16" s="18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8:8" ht="19.35" customFormat="1">
      <c r="A17" s="1"/>
      <c r="B17" s="36"/>
      <c r="C17" s="75"/>
      <c r="D17" s="76"/>
      <c r="E17" s="18"/>
      <c r="F17" s="18"/>
      <c r="G17" s="77"/>
      <c r="H17" s="24">
        <f>H16</f>
        <v>102083.0</v>
      </c>
      <c r="I17" s="18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8:8">
      <c r="A18" s="1"/>
      <c r="B18" s="1"/>
      <c r="C18" s="1"/>
      <c r="D18" s="38"/>
      <c r="E18" s="39"/>
      <c r="F18" s="39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8:8" ht="19.15">
      <c r="A19" s="1"/>
      <c r="B19" s="40" t="s">
        <v>28</v>
      </c>
      <c r="C19" s="41"/>
      <c r="D19" s="42"/>
      <c r="E19" s="43"/>
      <c r="F19" s="44"/>
      <c r="G19" s="39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8:8">
      <c r="A20" s="1"/>
      <c r="B20" s="45"/>
      <c r="C20" s="46"/>
      <c r="D20" s="47"/>
      <c r="E20" s="46"/>
      <c r="F20" s="48"/>
      <c r="G20" s="39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8:8" ht="19.05">
      <c r="A21" s="1"/>
      <c r="B21" s="49" t="s">
        <v>29</v>
      </c>
      <c r="C21" s="50" t="s">
        <v>78</v>
      </c>
      <c r="D21" s="51">
        <v>1445.0</v>
      </c>
      <c r="E21" s="52" t="s">
        <v>31</v>
      </c>
      <c r="F21" s="48"/>
      <c r="G21" s="39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8:8" ht="19.15">
      <c r="A22" s="1"/>
      <c r="B22" s="49" t="s">
        <v>32</v>
      </c>
      <c r="C22" s="50" t="s">
        <v>79</v>
      </c>
      <c r="D22" s="51">
        <f>D16</f>
        <v>100968.78048780489</v>
      </c>
      <c r="E22" s="52" t="s">
        <v>34</v>
      </c>
      <c r="F22" s="48"/>
      <c r="G22" s="39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8:8">
      <c r="A23" s="1"/>
      <c r="B23" s="45"/>
      <c r="C23" s="46"/>
      <c r="D23" s="47"/>
      <c r="E23" s="46"/>
      <c r="F23" s="48"/>
      <c r="G23" s="39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8:8">
      <c r="A24" s="1"/>
      <c r="B24" s="45"/>
      <c r="C24" s="46"/>
      <c r="D24" s="47"/>
      <c r="E24" s="46"/>
      <c r="F24" s="48"/>
      <c r="G24" s="39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8:8">
      <c r="A25" s="1"/>
      <c r="B25" s="45"/>
      <c r="C25" s="46"/>
      <c r="D25" s="47"/>
      <c r="E25" s="46"/>
      <c r="F25" s="48"/>
      <c r="G25" s="39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8:8" ht="19.15">
      <c r="A26" s="1"/>
      <c r="B26" s="45"/>
      <c r="C26" s="53"/>
      <c r="D26" s="54" t="s">
        <v>35</v>
      </c>
      <c r="E26" s="55">
        <f>D21+D22</f>
        <v>102413.780487805</v>
      </c>
      <c r="F26" s="56"/>
      <c r="G26" s="39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8:8" ht="22.75">
      <c r="A27" s="1"/>
      <c r="B27" s="57" t="s">
        <v>36</v>
      </c>
      <c r="C27" s="57"/>
      <c r="D27" s="58"/>
      <c r="E27" s="59">
        <f>H17</f>
        <v>102083.0</v>
      </c>
      <c r="F27" s="48"/>
      <c r="G27" s="60"/>
      <c r="H27" s="61"/>
      <c r="I27" s="62"/>
      <c r="J27" s="62"/>
      <c r="K27" s="62"/>
      <c r="L27" s="63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8:8" ht="19.15">
      <c r="A28" s="1"/>
      <c r="B28" s="64" t="s">
        <v>80</v>
      </c>
      <c r="C28" s="64"/>
      <c r="D28" s="65"/>
      <c r="E28" s="66"/>
      <c r="F28" s="48"/>
      <c r="G28" s="60"/>
      <c r="H28" s="67" t="s">
        <v>81</v>
      </c>
      <c r="I28" s="67"/>
      <c r="J28" s="67"/>
      <c r="K28" s="67"/>
      <c r="L28" s="67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8:8" ht="19.15">
      <c r="A29" s="1"/>
      <c r="B29" s="64" t="s">
        <v>40</v>
      </c>
      <c r="C29" s="64"/>
      <c r="D29" s="68">
        <f>E26-E27</f>
        <v>330.78048780499375</v>
      </c>
      <c r="E29" s="69"/>
      <c r="F29" s="70"/>
      <c r="G29" s="60"/>
      <c r="H29" s="71" t="s">
        <v>41</v>
      </c>
      <c r="I29" s="71"/>
      <c r="J29" s="71"/>
      <c r="K29" s="71"/>
      <c r="L29" s="7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8:8">
      <c r="A30" s="1"/>
      <c r="B30" s="1"/>
      <c r="C30" s="1"/>
      <c r="D30" s="39"/>
      <c r="E30" s="39"/>
      <c r="F30" s="39"/>
      <c r="G30" s="72"/>
      <c r="H30" s="45"/>
      <c r="I30" s="72"/>
      <c r="J30" s="72"/>
      <c r="K30" s="72"/>
      <c r="L30" s="73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8:8">
      <c r="A31" s="1"/>
      <c r="B31" s="1"/>
      <c r="C31" s="1"/>
      <c r="D31" s="1"/>
      <c r="E31" s="1"/>
      <c r="F31" s="1"/>
      <c r="G31" s="72"/>
      <c r="H31" s="45"/>
      <c r="I31" s="72"/>
      <c r="J31" s="72"/>
      <c r="K31" s="72"/>
      <c r="L31" s="73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8:8">
      <c r="A32" s="1"/>
      <c r="B32" s="1"/>
      <c r="C32" s="1"/>
      <c r="D32" s="1"/>
      <c r="E32" s="1"/>
      <c r="F32" s="1"/>
      <c r="G32" s="72"/>
      <c r="H32" s="45"/>
      <c r="I32" s="72"/>
      <c r="J32" s="72"/>
      <c r="K32" s="72"/>
      <c r="L32" s="73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8:8">
      <c r="A33" s="1"/>
      <c r="B33" s="1"/>
      <c r="C33" s="1"/>
      <c r="D33" s="1"/>
      <c r="E33" s="1"/>
      <c r="F33" s="1"/>
      <c r="G33" s="72"/>
      <c r="H33" s="45"/>
      <c r="I33" s="72"/>
      <c r="J33" s="72"/>
      <c r="K33" s="72"/>
      <c r="L33" s="73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8:8">
      <c r="A34" s="1"/>
      <c r="B34" s="1"/>
      <c r="C34" s="1"/>
      <c r="D34" s="1"/>
      <c r="E34" s="1"/>
      <c r="F34" s="1"/>
      <c r="G34" s="72"/>
      <c r="H34" s="45"/>
      <c r="I34" s="72"/>
      <c r="J34" s="72"/>
      <c r="K34" s="72"/>
      <c r="L34" s="73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8:8" ht="19.15">
      <c r="A35" s="1"/>
      <c r="B35" s="1"/>
      <c r="C35" s="1"/>
      <c r="D35" s="1"/>
      <c r="E35" s="1"/>
      <c r="F35" s="1"/>
      <c r="G35" s="72"/>
      <c r="H35" s="74" t="s">
        <v>42</v>
      </c>
      <c r="I35" s="74"/>
      <c r="J35" s="74"/>
      <c r="K35" s="74"/>
      <c r="L35" s="74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8:8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8:8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</sheetData>
  <mergeCells count="11">
    <mergeCell ref="B29:C29"/>
    <mergeCell ref="D16:D17"/>
    <mergeCell ref="H35:L35"/>
    <mergeCell ref="G16:G17"/>
    <mergeCell ref="B27:C27"/>
    <mergeCell ref="H28:L28"/>
    <mergeCell ref="B28:C28"/>
    <mergeCell ref="H29:L29"/>
    <mergeCell ref="C15:C17"/>
    <mergeCell ref="A3:L3"/>
    <mergeCell ref="A2:L2"/>
  </mergeCells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:AE37"/>
  <sheetViews>
    <sheetView tabSelected="1" workbookViewId="0" topLeftCell="E11">
      <selection activeCell="G27" sqref="G27"/>
    </sheetView>
  </sheetViews>
  <sheetFormatPr defaultRowHeight="16.25" defaultColWidth="10"/>
  <cols>
    <col min="2" max="2" customWidth="1" bestFit="1" width="14.613281" style="0"/>
    <col min="3" max="3" customWidth="1" bestFit="1" width="29.074219" style="0"/>
    <col min="4" max="4" customWidth="1" bestFit="1" width="18.074219" style="0"/>
    <col min="5" max="5" customWidth="1" bestFit="1" width="21.84375" style="0"/>
    <col min="7" max="7" customWidth="1" bestFit="1" width="27.074219" style="0"/>
    <col min="8" max="8" customWidth="1" bestFit="1" width="13.613281" style="0"/>
    <col min="9" max="9" customWidth="1" bestFit="1" width="17.074219" style="0"/>
  </cols>
  <sheetData>
    <row r="1" spans="8: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8:8" ht="21.95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8:8" ht="21.95">
      <c r="A3" s="3" t="s">
        <v>89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8:8" ht="19.15">
      <c r="A4" s="1"/>
      <c r="B4" s="4"/>
      <c r="C4" s="5" t="s">
        <v>2</v>
      </c>
      <c r="D4" s="6"/>
      <c r="E4" s="6"/>
      <c r="F4" s="6"/>
      <c r="G4" s="7" t="s">
        <v>3</v>
      </c>
      <c r="H4" s="6"/>
      <c r="I4" s="8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8:8" ht="19.15">
      <c r="A5" s="1"/>
      <c r="B5" s="9"/>
      <c r="C5" s="10" t="s">
        <v>4</v>
      </c>
      <c r="D5" s="11" t="s">
        <v>5</v>
      </c>
      <c r="E5" s="12" t="s">
        <v>6</v>
      </c>
      <c r="F5" s="13" t="s">
        <v>7</v>
      </c>
      <c r="G5" s="14" t="s">
        <v>8</v>
      </c>
      <c r="H5" s="15" t="s">
        <v>9</v>
      </c>
      <c r="I5" s="16" t="s">
        <v>10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8:8" ht="19.15">
      <c r="A6" s="1"/>
      <c r="B6" s="17"/>
      <c r="C6" s="18"/>
      <c r="D6" s="19"/>
      <c r="E6" s="20"/>
      <c r="F6" s="21"/>
      <c r="G6" s="22" t="s">
        <v>11</v>
      </c>
      <c r="H6" s="18"/>
      <c r="I6" s="18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8:8" ht="19.15">
      <c r="A7" s="1"/>
      <c r="B7" s="23">
        <v>1.0</v>
      </c>
      <c r="C7" s="5" t="s">
        <v>12</v>
      </c>
      <c r="D7" s="24">
        <v>96282.0</v>
      </c>
      <c r="E7" s="25"/>
      <c r="F7" s="13">
        <v>1.0</v>
      </c>
      <c r="G7" s="5" t="s">
        <v>13</v>
      </c>
      <c r="H7" s="24">
        <v>66140.0</v>
      </c>
      <c r="I7" s="25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8:8" ht="19.15">
      <c r="A8" s="1"/>
      <c r="B8" s="13">
        <v>2.0</v>
      </c>
      <c r="C8" s="5" t="s">
        <v>64</v>
      </c>
      <c r="D8" s="24">
        <v>1752.0</v>
      </c>
      <c r="E8" s="25"/>
      <c r="F8" s="13">
        <v>2.0</v>
      </c>
      <c r="G8" s="5" t="s">
        <v>15</v>
      </c>
      <c r="H8" s="24">
        <v>7683.0</v>
      </c>
      <c r="I8" s="25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8:8" ht="19.15">
      <c r="A9" s="1"/>
      <c r="B9" s="13">
        <v>3.0</v>
      </c>
      <c r="C9" s="5" t="s">
        <v>67</v>
      </c>
      <c r="D9" s="24">
        <v>8155.0</v>
      </c>
      <c r="E9" s="25"/>
      <c r="F9" s="13">
        <v>3.0</v>
      </c>
      <c r="G9" s="5" t="s">
        <v>17</v>
      </c>
      <c r="H9" s="24">
        <v>38030.0</v>
      </c>
      <c r="I9" s="25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8:8" ht="19.15">
      <c r="A10" s="1"/>
      <c r="B10" s="13">
        <v>4.0</v>
      </c>
      <c r="C10" s="5" t="s">
        <v>18</v>
      </c>
      <c r="D10" s="28"/>
      <c r="E10" s="25"/>
      <c r="F10" s="18"/>
      <c r="G10" s="5" t="s">
        <v>19</v>
      </c>
      <c r="H10" s="24">
        <f>SUM(H7:H9)</f>
        <v>111853.0</v>
      </c>
      <c r="I10" s="25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8:8" ht="19.15">
      <c r="A11" s="1"/>
      <c r="B11" s="13">
        <v>5.0</v>
      </c>
      <c r="C11" s="5" t="s">
        <v>20</v>
      </c>
      <c r="D11" s="24">
        <v>2390.0</v>
      </c>
      <c r="E11" s="25"/>
      <c r="F11" s="10" t="s">
        <v>21</v>
      </c>
      <c r="G11" s="18"/>
      <c r="H11" s="28"/>
      <c r="I11" s="20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8:8" ht="19.15">
      <c r="A12" s="1"/>
      <c r="B12" s="13">
        <v>6.0</v>
      </c>
      <c r="C12" s="5" t="s">
        <v>68</v>
      </c>
      <c r="D12" s="29">
        <v>2800.0</v>
      </c>
      <c r="E12" s="18"/>
      <c r="F12" s="13">
        <v>1.0</v>
      </c>
      <c r="G12" s="5" t="s">
        <v>23</v>
      </c>
      <c r="H12" s="13">
        <v>80.0</v>
      </c>
      <c r="I12" s="18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8:8" ht="19.15">
      <c r="A13" s="1"/>
      <c r="B13" s="13">
        <v>7.0</v>
      </c>
      <c r="C13" s="5" t="s">
        <v>24</v>
      </c>
      <c r="D13" s="31">
        <v>1785.0</v>
      </c>
      <c r="E13" s="32"/>
      <c r="F13" s="13">
        <v>2.0</v>
      </c>
      <c r="G13" s="5" t="s">
        <v>25</v>
      </c>
      <c r="H13" s="24">
        <v>140.0</v>
      </c>
      <c r="I13" s="18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8:8" ht="19.15">
      <c r="A14" s="1"/>
      <c r="B14" s="18"/>
      <c r="C14" s="18"/>
      <c r="D14" s="33"/>
      <c r="E14" s="18"/>
      <c r="F14" s="13">
        <v>3.0</v>
      </c>
      <c r="G14" s="5" t="s">
        <v>26</v>
      </c>
      <c r="H14" s="24">
        <v>186.0</v>
      </c>
      <c r="I14" s="18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8:8" ht="19.15">
      <c r="A15" s="1"/>
      <c r="B15" s="4"/>
      <c r="C15" s="75" t="s">
        <v>27</v>
      </c>
      <c r="D15" s="35">
        <f>SUM(D7:D13)</f>
        <v>113164.0</v>
      </c>
      <c r="E15" s="32"/>
      <c r="F15" s="30"/>
      <c r="G15" s="5" t="s">
        <v>19</v>
      </c>
      <c r="H15" s="24">
        <f>SUM(H12:H14)</f>
        <v>406.0</v>
      </c>
      <c r="I15" s="18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8:8" ht="19.15">
      <c r="A16" s="1"/>
      <c r="B16" s="36"/>
      <c r="C16" s="75"/>
      <c r="D16" s="76">
        <f>D15/1.025</f>
        <v>110403.9024390244</v>
      </c>
      <c r="E16" s="18"/>
      <c r="F16" s="18"/>
      <c r="G16" s="77" t="s">
        <v>77</v>
      </c>
      <c r="H16" s="24">
        <f>H10+H15</f>
        <v>112259.0</v>
      </c>
      <c r="I16" s="18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8:8" ht="19.15" customFormat="1">
      <c r="A17" s="1"/>
      <c r="B17" s="36"/>
      <c r="C17" s="75"/>
      <c r="D17" s="76"/>
      <c r="E17" s="18"/>
      <c r="F17" s="18"/>
      <c r="G17" s="77"/>
      <c r="H17" s="24">
        <f>H16/1.025</f>
        <v>109520.9756097561</v>
      </c>
      <c r="I17" s="18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8:8">
      <c r="A18" s="1"/>
      <c r="B18" s="1"/>
      <c r="C18" s="1"/>
      <c r="D18" s="38"/>
      <c r="E18" s="39"/>
      <c r="F18" s="39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8:8" ht="19.15">
      <c r="A19" s="1"/>
      <c r="B19" s="40" t="s">
        <v>28</v>
      </c>
      <c r="C19" s="41"/>
      <c r="D19" s="42"/>
      <c r="E19" s="43"/>
      <c r="F19" s="44"/>
      <c r="G19" s="39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8:8">
      <c r="A20" s="1"/>
      <c r="B20" s="45"/>
      <c r="C20" s="46"/>
      <c r="D20" s="47"/>
      <c r="E20" s="46"/>
      <c r="F20" s="48"/>
      <c r="G20" s="39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8:8" ht="19.15">
      <c r="A21" s="1"/>
      <c r="B21" s="49" t="s">
        <v>29</v>
      </c>
      <c r="C21" s="50" t="s">
        <v>87</v>
      </c>
      <c r="D21" s="51">
        <v>331.0</v>
      </c>
      <c r="E21" s="52" t="s">
        <v>31</v>
      </c>
      <c r="F21" s="48"/>
      <c r="G21" s="39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8:8" ht="19.15">
      <c r="A22" s="1"/>
      <c r="B22" s="49" t="s">
        <v>32</v>
      </c>
      <c r="C22" s="50" t="s">
        <v>86</v>
      </c>
      <c r="D22" s="51">
        <f>D16</f>
        <v>110403.9024390244</v>
      </c>
      <c r="E22" s="52" t="s">
        <v>34</v>
      </c>
      <c r="F22" s="48"/>
      <c r="G22" s="39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8:8">
      <c r="A23" s="1"/>
      <c r="B23" s="45"/>
      <c r="C23" s="46"/>
      <c r="D23" s="47"/>
      <c r="E23" s="46"/>
      <c r="F23" s="48"/>
      <c r="G23" s="39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8:8">
      <c r="A24" s="1"/>
      <c r="B24" s="45"/>
      <c r="C24" s="46"/>
      <c r="D24" s="47"/>
      <c r="E24" s="46"/>
      <c r="F24" s="48"/>
      <c r="G24" s="39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8:8">
      <c r="A25" s="1"/>
      <c r="B25" s="45"/>
      <c r="C25" s="46"/>
      <c r="D25" s="47"/>
      <c r="E25" s="46"/>
      <c r="F25" s="48"/>
      <c r="G25" s="39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8:8" ht="19.15">
      <c r="A26" s="1"/>
      <c r="B26" s="45"/>
      <c r="C26" s="53"/>
      <c r="D26" s="54" t="s">
        <v>35</v>
      </c>
      <c r="E26" s="55">
        <f>D21+D22</f>
        <v>110734.902439024</v>
      </c>
      <c r="F26" s="56"/>
      <c r="G26" s="39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8:8" ht="22.75">
      <c r="A27" s="1"/>
      <c r="B27" s="57" t="s">
        <v>36</v>
      </c>
      <c r="C27" s="57"/>
      <c r="D27" s="58"/>
      <c r="E27" s="59">
        <f>H17</f>
        <v>109520.9756097561</v>
      </c>
      <c r="F27" s="48"/>
      <c r="G27" s="60"/>
      <c r="H27" s="61"/>
      <c r="I27" s="62"/>
      <c r="J27" s="62"/>
      <c r="K27" s="62"/>
      <c r="L27" s="63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8:8" ht="19.15">
      <c r="A28" s="1"/>
      <c r="B28" s="64" t="s">
        <v>88</v>
      </c>
      <c r="C28" s="64"/>
      <c r="D28" s="65"/>
      <c r="E28" s="66"/>
      <c r="F28" s="48"/>
      <c r="G28" s="60"/>
      <c r="H28" s="67" t="s">
        <v>84</v>
      </c>
      <c r="I28" s="67"/>
      <c r="J28" s="67"/>
      <c r="K28" s="67"/>
      <c r="L28" s="67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8:8" ht="19.15">
      <c r="A29" s="1"/>
      <c r="B29" s="64" t="s">
        <v>40</v>
      </c>
      <c r="C29" s="64"/>
      <c r="D29" s="68">
        <f>E26-E27</f>
        <v>1213.9268292679917</v>
      </c>
      <c r="E29" s="69"/>
      <c r="F29" s="70"/>
      <c r="G29" s="60"/>
      <c r="H29" s="71" t="s">
        <v>41</v>
      </c>
      <c r="I29" s="71"/>
      <c r="J29" s="71"/>
      <c r="K29" s="71"/>
      <c r="L29" s="7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8:8">
      <c r="A30" s="1"/>
      <c r="B30" s="1"/>
      <c r="C30" s="1"/>
      <c r="D30" s="39"/>
      <c r="E30" s="39"/>
      <c r="F30" s="39"/>
      <c r="G30" s="72"/>
      <c r="H30" s="45"/>
      <c r="I30" s="72"/>
      <c r="J30" s="72"/>
      <c r="K30" s="72"/>
      <c r="L30" s="73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8:8">
      <c r="A31" s="1"/>
      <c r="B31" s="1"/>
      <c r="C31" s="1"/>
      <c r="D31" s="1"/>
      <c r="E31" s="1"/>
      <c r="F31" s="1"/>
      <c r="G31" s="72"/>
      <c r="H31" s="45"/>
      <c r="I31" s="72"/>
      <c r="J31" s="72"/>
      <c r="K31" s="72"/>
      <c r="L31" s="73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8:8">
      <c r="A32" s="1"/>
      <c r="B32" s="1"/>
      <c r="C32" s="1"/>
      <c r="D32" s="1"/>
      <c r="E32" s="1"/>
      <c r="F32" s="1"/>
      <c r="G32" s="72"/>
      <c r="H32" s="45"/>
      <c r="I32" s="72"/>
      <c r="J32" s="72"/>
      <c r="K32" s="72"/>
      <c r="L32" s="73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8:8">
      <c r="A33" s="1"/>
      <c r="B33" s="1"/>
      <c r="C33" s="1"/>
      <c r="D33" s="1"/>
      <c r="E33" s="1"/>
      <c r="F33" s="1"/>
      <c r="G33" s="72"/>
      <c r="H33" s="45"/>
      <c r="I33" s="72"/>
      <c r="J33" s="72"/>
      <c r="K33" s="72"/>
      <c r="L33" s="73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8:8">
      <c r="A34" s="1"/>
      <c r="B34" s="1"/>
      <c r="C34" s="1"/>
      <c r="D34" s="1"/>
      <c r="E34" s="1"/>
      <c r="F34" s="1"/>
      <c r="G34" s="72"/>
      <c r="H34" s="45"/>
      <c r="I34" s="72"/>
      <c r="J34" s="72"/>
      <c r="K34" s="72"/>
      <c r="L34" s="73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8:8" ht="19.15">
      <c r="A35" s="1"/>
      <c r="B35" s="1"/>
      <c r="C35" s="1"/>
      <c r="D35" s="1"/>
      <c r="E35" s="1"/>
      <c r="F35" s="1"/>
      <c r="G35" s="72"/>
      <c r="H35" s="74" t="s">
        <v>42</v>
      </c>
      <c r="I35" s="74"/>
      <c r="J35" s="74"/>
      <c r="K35" s="74"/>
      <c r="L35" s="74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8:8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8:8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</sheetData>
  <mergeCells count="11">
    <mergeCell ref="B29:C29"/>
    <mergeCell ref="H35:L35"/>
    <mergeCell ref="H28:L28"/>
    <mergeCell ref="H29:L29"/>
    <mergeCell ref="B27:C27"/>
    <mergeCell ref="G16:G17"/>
    <mergeCell ref="B28:C28"/>
    <mergeCell ref="C15:C17"/>
    <mergeCell ref="D16:D17"/>
    <mergeCell ref="A3:L3"/>
    <mergeCell ref="A2: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SM-P619</dc:creator>
  <dcterms:created xsi:type="dcterms:W3CDTF">2025-12-01T19:16:21Z</dcterms:created>
  <dcterms:modified xsi:type="dcterms:W3CDTF">2026-08-13T23:23:19Z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19c2a589e4f84f558dedb7d40130f219</vt:lpwstr>
  </property>
</Properties>
</file>